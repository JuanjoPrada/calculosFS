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2" activeTab="6" autoFilterDateGrouping="1"/>
  </bookViews>
  <sheets>
    <sheet xmlns:r="http://schemas.openxmlformats.org/officeDocument/2006/relationships" name="Informe Subasta" sheetId="1" state="visible" r:id="rId1"/>
    <sheet xmlns:r="http://schemas.openxmlformats.org/officeDocument/2006/relationships" name="Comparativa Tipos" sheetId="2" state="visible" r:id="rId2"/>
    <sheet xmlns:r="http://schemas.openxmlformats.org/officeDocument/2006/relationships" name="Cálculo Intereses" sheetId="3" state="visible" r:id="rId3"/>
    <sheet xmlns:r="http://schemas.openxmlformats.org/officeDocument/2006/relationships" name="Tipos BdE" sheetId="4" state="visible" r:id="rId4"/>
    <sheet xmlns:r="http://schemas.openxmlformats.org/officeDocument/2006/relationships" name="Formato Cliente HO" sheetId="5" state="visible" r:id="rId5"/>
    <sheet xmlns:r="http://schemas.openxmlformats.org/officeDocument/2006/relationships" name="Formato Cliente CES" sheetId="6" state="visible" r:id="rId6"/>
    <sheet xmlns:r="http://schemas.openxmlformats.org/officeDocument/2006/relationships" name="Formato Cliente" sheetId="7" state="visible" r:id="rId7"/>
    <sheet xmlns:r="http://schemas.openxmlformats.org/officeDocument/2006/relationships" name="Guía" sheetId="8" state="visible" r:id="rId8"/>
    <sheet xmlns:r="http://schemas.openxmlformats.org/officeDocument/2006/relationships" name="BBDD Guardados" sheetId="9" state="visible" r:id="rId9"/>
    <sheet xmlns:r="http://schemas.openxmlformats.org/officeDocument/2006/relationships" name="BBDD Guardados Fincas" sheetId="10" state="visible" r:id="rId10"/>
    <sheet xmlns:r="http://schemas.openxmlformats.org/officeDocument/2006/relationships" name="CI Variable" sheetId="11" state="hidden" r:id="rId11"/>
    <sheet xmlns:r="http://schemas.openxmlformats.org/officeDocument/2006/relationships" name="CI Variable +3%" sheetId="12" state="hidden" r:id="rId12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\ &quot;€&quot;"/>
    <numFmt numFmtId="165" formatCode="0.000&quot;%&quot;"/>
    <numFmt numFmtId="166" formatCode="_-* #,##0.00\ &quot;€&quot;_-;\-* #,##0.00\ &quot;€&quot;_-;_-* &quot;-&quot;??\ &quot;€&quot;_-;_-@_-"/>
    <numFmt numFmtId="167" formatCode="#,##0.00\ &quot;€&quot;;[Red]\-#,##0.00\ &quot;€&quot;"/>
    <numFmt numFmtId="168" formatCode="0.000%"/>
    <numFmt numFmtId="169" formatCode="_-* #,##0\ &quot;€&quot;_-;\-* #,##0\ &quot;€&quot;_-;_-* &quot;-&quot;\ &quot;€&quot;_-;_-@_-"/>
    <numFmt numFmtId="170" formatCode="_-* #,##0.00_-;\-* #,##0.00_-;_-* &quot;-&quot;??_-;_-@_-"/>
    <numFmt numFmtId="171" formatCode="0.0%"/>
    <numFmt numFmtId="172" formatCode="mmm\ yyyy"/>
    <numFmt numFmtId="173" formatCode="0.000"/>
    <numFmt numFmtId="174" formatCode="#,##0.00\ &quot;€&quot;"/>
  </numFmts>
  <fonts count="5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rgb="FF0563C1"/>
      <sz val="10"/>
    </font>
    <font>
      <name val="Calibri"/>
      <family val="2"/>
      <i val="1"/>
      <color rgb="FF808080"/>
      <sz val="10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8"/>
    </font>
    <font>
      <name val="Calibri"/>
      <family val="2"/>
      <sz val="8"/>
    </font>
    <font>
      <name val="Calibri"/>
      <family val="2"/>
      <b val="1"/>
      <color rgb="FFFFFFFF"/>
      <sz val="15"/>
    </font>
    <font>
      <name val="Calibri"/>
      <family val="2"/>
      <i val="1"/>
      <color rgb="FF808080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0000"/>
      <sz val="9"/>
    </font>
    <font>
      <name val="Calibri"/>
      <family val="2"/>
      <b val="1"/>
      <color rgb="FF548235"/>
      <sz val="10"/>
    </font>
    <font>
      <name val="Calibri"/>
      <family val="2"/>
      <color rgb="FF000000"/>
      <sz val="9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9"/>
    </font>
    <font>
      <name val="Calibri"/>
      <family val="2"/>
      <b val="1"/>
      <color rgb="FF1F3864"/>
      <sz val="15"/>
    </font>
    <font>
      <name val="Calibri"/>
      <family val="2"/>
      <b val="1"/>
      <color rgb="FF1F6E6E"/>
      <sz val="15"/>
    </font>
    <font>
      <name val="Calibri"/>
      <family val="2"/>
      <b val="1"/>
      <color rgb="FF1F3864"/>
      <sz val="9"/>
    </font>
    <font>
      <name val="Calibri"/>
      <family val="2"/>
      <b val="1"/>
      <sz val="8"/>
    </font>
    <font>
      <name val="Calibri"/>
      <family val="2"/>
      <b val="1"/>
      <i val="1"/>
      <color rgb="FF000000"/>
      <sz val="9"/>
    </font>
    <font>
      <name val="Calibri"/>
      <family val="2"/>
      <b val="1"/>
      <color rgb="FF000000"/>
      <sz val="11"/>
    </font>
    <font>
      <name val="Trebuchet MS"/>
      <family val="2"/>
      <b val="1"/>
      <color theme="1"/>
      <sz val="8"/>
    </font>
    <font>
      <name val="Trebuchet MS"/>
      <family val="2"/>
      <color theme="1"/>
      <sz val="8"/>
    </font>
    <font>
      <name val="Trebuchet MS"/>
      <family val="2"/>
      <color theme="0"/>
      <sz val="8"/>
    </font>
    <font>
      <name val="Trebuchet MS"/>
      <family val="2"/>
      <sz val="8"/>
    </font>
    <font>
      <name val="Trebuchet MS"/>
      <family val="2"/>
      <b val="1"/>
      <color theme="0"/>
      <sz val="8"/>
    </font>
    <font>
      <name val="Trebuchet MS"/>
      <family val="2"/>
      <b val="1"/>
      <sz val="8"/>
    </font>
    <font>
      <name val="Trebuchet MS"/>
      <family val="2"/>
      <color rgb="FF548235"/>
      <sz val="8"/>
    </font>
    <font>
      <name val="Trebuchet MS"/>
      <family val="2"/>
      <b val="1"/>
      <color rgb="FF548235"/>
      <sz val="8"/>
    </font>
    <font>
      <name val="Trebuchet MS"/>
      <family val="2"/>
      <sz val="8"/>
    </font>
    <font>
      <name val="Calibri"/>
      <family val="2"/>
      <b val="1"/>
      <color rgb="FFFFFFFF"/>
      <sz val="16"/>
    </font>
    <font>
      <name val="Calibri"/>
      <family val="2"/>
      <sz val="10"/>
    </font>
    <font>
      <name val="Calibri"/>
      <family val="2"/>
      <b val="1"/>
      <color rgb="FF1F3864"/>
      <sz val="12"/>
    </font>
    <font>
      <name val="Calibri"/>
      <family val="2"/>
      <sz val="10"/>
    </font>
    <font>
      <name val="Calibri"/>
      <family val="2"/>
      <b val="1"/>
      <color rgb="FFFFFFFF"/>
      <sz val="9"/>
    </font>
    <font>
      <name val="Calibri"/>
      <family val="2"/>
      <i val="1"/>
      <color theme="1"/>
      <sz val="9"/>
      <scheme val="minor"/>
    </font>
    <font>
      <name val="Calibri"/>
      <family val="2"/>
      <b val="1"/>
      <sz val="10"/>
    </font>
    <font>
      <name val="Calibri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5700"/>
      <sz val="11"/>
      <scheme val="minor"/>
    </font>
    <font>
      <name val="Trebuchet MS"/>
      <family val="2"/>
      <color rgb="FF9C5700"/>
      <sz val="8"/>
    </font>
    <font>
      <name val="Trebuchet MS"/>
      <family val="2"/>
      <color rgb="FF006100"/>
      <sz val="8"/>
    </font>
    <font>
      <name val="Trebuchet MS"/>
      <family val="2"/>
      <b val="1"/>
      <color rgb="FFFF0000"/>
      <sz val="8"/>
    </font>
    <font>
      <name val="Calibri"/>
      <sz val="8"/>
    </font>
    <font>
      <name val="Calibri"/>
      <b val="1"/>
      <sz val="10"/>
    </font>
    <font>
      <name val="Calibri"/>
      <sz val="10"/>
    </font>
    <font>
      <name val="Calibri"/>
      <b val="1"/>
      <color rgb="FFFFFFFF"/>
      <sz val="9"/>
    </font>
    <font>
      <b val="1"/>
      <color rgb="FFFFFFFF"/>
      <sz val="13"/>
    </font>
    <font>
      <i val="1"/>
      <sz val="9"/>
    </font>
    <font>
      <b val="1"/>
      <color rgb="FFFFFFFF"/>
    </font>
    <font>
      <b val="1"/>
    </font>
    <font>
      <sz val="9"/>
    </font>
  </fonts>
  <fills count="1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BDD7EE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7030A0"/>
      </patternFill>
    </fill>
    <fill>
      <patternFill patternType="solid">
        <fgColor rgb="FFF2F6FC"/>
      </patternFill>
    </fill>
    <fill>
      <patternFill patternType="solid">
        <fgColor rgb="FF8EAADB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</patternFill>
    </fill>
    <fill>
      <patternFill patternType="solid">
        <fgColor rgb="FFFFFFCC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49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rgb="FF8EAADB"/>
      </left>
      <right style="medium">
        <color rgb="FF8EAADB"/>
      </right>
      <top style="medium">
        <color rgb="FF8EAADB"/>
      </top>
      <bottom style="medium">
        <color rgb="FF8EAAD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0" tint="-0.3499862666707358"/>
      </right>
      <top/>
      <bottom/>
      <diagonal/>
    </border>
    <border>
      <left style="medium">
        <color theme="0" tint="-0.3499862666707358"/>
      </left>
      <right style="medium">
        <color theme="0" tint="-0.3499862666707358"/>
      </right>
      <top style="medium">
        <color theme="0" tint="-0.3499862666707358"/>
      </top>
      <bottom/>
      <diagonal/>
    </border>
    <border>
      <left/>
      <right style="medium">
        <color theme="0" tint="-0.3499862666707358"/>
      </right>
      <top style="medium">
        <color theme="0" tint="-0.3499862666707358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theme="0" tint="-0.3499862666707358"/>
      </bottom>
      <diagonal/>
    </border>
    <border>
      <left style="medium">
        <color theme="0" tint="-0.3499862666707358"/>
      </left>
      <right/>
      <top style="medium">
        <color theme="0" tint="-0.3499862666707358"/>
      </top>
      <bottom style="medium">
        <color theme="0" tint="-0.3499862666707358"/>
      </bottom>
      <diagonal/>
    </border>
    <border>
      <left/>
      <right/>
      <top style="medium">
        <color theme="0" tint="-0.3499862666707358"/>
      </top>
      <bottom style="medium">
        <color theme="0" tint="-0.3499862666707358"/>
      </bottom>
      <diagonal/>
    </border>
    <border>
      <left/>
      <right style="medium">
        <color theme="0" tint="-0.3499862666707358"/>
      </right>
      <top style="medium">
        <color theme="0" tint="-0.3499862666707358"/>
      </top>
      <bottom style="medium">
        <color theme="0" tint="-0.3499862666707358"/>
      </bottom>
      <diagonal/>
    </border>
    <border>
      <left style="medium">
        <color theme="0" tint="-0.3499862666707358"/>
      </left>
      <right/>
      <top/>
      <bottom/>
      <diagonal/>
    </border>
    <border>
      <left/>
      <right style="medium">
        <color theme="0" tint="-0.3499862666707358"/>
      </right>
      <top/>
      <bottom style="medium">
        <color theme="0" tint="-0.3499862666707358"/>
      </bottom>
      <diagonal/>
    </border>
    <border>
      <left style="medium">
        <color theme="0" tint="-0.3499862666707358"/>
      </left>
      <right/>
      <top/>
      <bottom style="medium">
        <color theme="0" tint="-0.3499862666707358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/>
      <right/>
      <top style="medium">
        <color rgb="FF8EAADB"/>
      </top>
      <bottom style="medium">
        <color rgb="FF8EAADB"/>
      </bottom>
      <diagonal/>
    </border>
    <border>
      <left/>
      <right style="medium">
        <color rgb="FF8EAADB"/>
      </right>
      <top style="medium">
        <color rgb="FF8EAADB"/>
      </top>
      <bottom style="medium">
        <color rgb="FF8EAADB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theme="0" tint="-0.3499862666707358"/>
      </left>
      <right style="medium">
        <color theme="0" tint="-0.3499862666707358"/>
      </right>
      <top style="medium">
        <color theme="0" tint="-0.3499862666707358"/>
      </top>
      <bottom style="medium">
        <color theme="0" tint="-0.349986266670735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/>
      <diagonal/>
    </border>
    <border>
      <left/>
      <right style="thin">
        <color rgb="FFB4C6E7"/>
      </right>
      <top/>
      <bottom/>
      <diagonal/>
    </border>
    <border>
      <left/>
      <right/>
      <top style="medium">
        <color rgb="FF8EAADB"/>
      </top>
      <bottom/>
      <diagonal/>
    </border>
    <border>
      <left/>
      <right style="medium">
        <color rgb="FF8EAADB"/>
      </right>
      <top style="medium">
        <color rgb="FF8EAADB"/>
      </top>
      <bottom/>
      <diagonal/>
    </border>
    <border>
      <left/>
      <right/>
      <top style="medium">
        <color theme="0" tint="-0.3499862666707358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</borders>
  <cellStyleXfs count="4">
    <xf numFmtId="0" fontId="40" fillId="0" borderId="0"/>
    <xf numFmtId="44" fontId="40" fillId="0" borderId="0"/>
    <xf numFmtId="0" fontId="41" fillId="16" borderId="0"/>
    <xf numFmtId="0" fontId="42" fillId="15" borderId="0"/>
  </cellStyleXfs>
  <cellXfs count="253">
    <xf numFmtId="0" fontId="0" fillId="0" borderId="0" pivotButton="0" quotePrefix="0" xfId="0"/>
    <xf numFmtId="0" fontId="32" fillId="2" borderId="0" applyAlignment="1" pivotButton="0" quotePrefix="0" xfId="0">
      <alignment vertical="center"/>
    </xf>
    <xf numFmtId="0" fontId="33" fillId="0" borderId="0" applyAlignment="1" pivotButton="0" quotePrefix="0" xfId="0">
      <alignment vertical="top" wrapText="1"/>
    </xf>
    <xf numFmtId="0" fontId="34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164" fontId="20" fillId="0" borderId="2" pivotButton="0" quotePrefix="0" xfId="0"/>
    <xf numFmtId="0" fontId="8" fillId="0" borderId="1" pivotButton="0" quotePrefix="0" xfId="0"/>
    <xf numFmtId="14" fontId="8" fillId="0" borderId="1" pivotButton="0" quotePrefix="0" xfId="0"/>
    <xf numFmtId="165" fontId="8" fillId="0" borderId="1" pivotButton="0" quotePrefix="0" xfId="0"/>
    <xf numFmtId="166" fontId="8" fillId="0" borderId="1" pivotButton="0" quotePrefix="0" xfId="0"/>
    <xf numFmtId="0" fontId="23" fillId="0" borderId="0" applyAlignment="1" pivotButton="0" quotePrefix="0" xfId="0">
      <alignment vertical="center"/>
    </xf>
    <xf numFmtId="0" fontId="25" fillId="11" borderId="3" applyAlignment="1" pivotButton="0" quotePrefix="0" xfId="0">
      <alignment vertical="center"/>
    </xf>
    <xf numFmtId="0" fontId="26" fillId="10" borderId="4" applyAlignment="1" pivotButton="0" quotePrefix="0" xfId="0">
      <alignment vertical="center"/>
    </xf>
    <xf numFmtId="4" fontId="24" fillId="0" borderId="0" applyAlignment="1" pivotButton="0" quotePrefix="0" xfId="0">
      <alignment vertical="center"/>
    </xf>
    <xf numFmtId="0" fontId="23" fillId="0" borderId="3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166" fontId="26" fillId="10" borderId="5" applyAlignment="1" pivotButton="0" quotePrefix="0" xfId="0">
      <alignment vertical="center"/>
    </xf>
    <xf numFmtId="0" fontId="24" fillId="0" borderId="8" applyAlignment="1" pivotButton="0" quotePrefix="0" xfId="0">
      <alignment vertical="center"/>
    </xf>
    <xf numFmtId="167" fontId="29" fillId="5" borderId="9" applyAlignment="1" pivotButton="0" quotePrefix="0" xfId="0">
      <alignment vertical="center"/>
    </xf>
    <xf numFmtId="0" fontId="26" fillId="0" borderId="8" applyAlignment="1" pivotButton="0" quotePrefix="0" xfId="0">
      <alignment vertical="center"/>
    </xf>
    <xf numFmtId="166" fontId="26" fillId="10" borderId="9" applyAlignment="1" pivotButton="0" quotePrefix="0" xfId="0">
      <alignment vertical="center"/>
    </xf>
    <xf numFmtId="0" fontId="26" fillId="0" borderId="10" applyAlignment="1" pivotButton="0" quotePrefix="0" xfId="0">
      <alignment vertical="center"/>
    </xf>
    <xf numFmtId="166" fontId="24" fillId="0" borderId="0" applyAlignment="1" pivotButton="0" quotePrefix="0" xfId="0">
      <alignment vertical="center"/>
    </xf>
    <xf numFmtId="166" fontId="29" fillId="5" borderId="9" applyAlignment="1" pivotButton="0" quotePrefix="0" xfId="0">
      <alignment vertical="center"/>
    </xf>
    <xf numFmtId="0" fontId="24" fillId="0" borderId="11" applyAlignment="1" pivotButton="0" quotePrefix="0" xfId="0">
      <alignment vertical="center"/>
    </xf>
    <xf numFmtId="166" fontId="29" fillId="5" borderId="12" applyAlignment="1" pivotButton="0" quotePrefix="0" xfId="0">
      <alignment vertical="center"/>
    </xf>
    <xf numFmtId="0" fontId="23" fillId="0" borderId="13" applyAlignment="1" pivotButton="0" quotePrefix="0" xfId="0">
      <alignment vertical="center"/>
    </xf>
    <xf numFmtId="166" fontId="28" fillId="10" borderId="14" applyAlignment="1" pivotButton="0" quotePrefix="0" xfId="0">
      <alignment vertical="center"/>
    </xf>
    <xf numFmtId="0" fontId="28" fillId="0" borderId="8" applyAlignment="1" pivotButton="0" quotePrefix="0" xfId="0">
      <alignment vertical="center"/>
    </xf>
    <xf numFmtId="166" fontId="28" fillId="10" borderId="9" applyAlignment="1" pivotButton="0" quotePrefix="0" xfId="0">
      <alignment vertical="center"/>
    </xf>
    <xf numFmtId="0" fontId="28" fillId="0" borderId="10" applyAlignment="1" pivotButton="0" quotePrefix="0" xfId="0">
      <alignment vertical="center"/>
    </xf>
    <xf numFmtId="166" fontId="26" fillId="0" borderId="9" applyAlignment="1" pivotButton="0" quotePrefix="0" xfId="0">
      <alignment vertical="center"/>
    </xf>
    <xf numFmtId="0" fontId="24" fillId="0" borderId="10" applyAlignment="1" pivotButton="0" quotePrefix="0" xfId="0">
      <alignment vertical="center"/>
    </xf>
    <xf numFmtId="14" fontId="27" fillId="12" borderId="0" applyAlignment="1" pivotButton="0" quotePrefix="0" xfId="0">
      <alignment vertical="center" wrapText="1"/>
    </xf>
    <xf numFmtId="167" fontId="27" fillId="12" borderId="0" applyAlignment="1" pivotButton="0" quotePrefix="0" xfId="0">
      <alignment vertical="center" wrapText="1"/>
    </xf>
    <xf numFmtId="166" fontId="27" fillId="12" borderId="0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14" fontId="27" fillId="12" borderId="3" applyAlignment="1" pivotButton="0" quotePrefix="0" xfId="0">
      <alignment vertical="center" wrapText="1"/>
    </xf>
    <xf numFmtId="14" fontId="29" fillId="5" borderId="3" applyAlignment="1" pivotButton="0" quotePrefix="0" xfId="0">
      <alignment vertical="center"/>
    </xf>
    <xf numFmtId="168" fontId="29" fillId="5" borderId="3" applyAlignment="1" pivotButton="0" quotePrefix="0" xfId="0">
      <alignment vertical="center"/>
    </xf>
    <xf numFmtId="168" fontId="29" fillId="5" borderId="3" applyAlignment="1" pivotButton="0" quotePrefix="0" xfId="0">
      <alignment horizontal="center" vertical="center"/>
    </xf>
    <xf numFmtId="166" fontId="30" fillId="5" borderId="3" applyAlignment="1" pivotButton="0" quotePrefix="0" xfId="0">
      <alignment vertical="center"/>
    </xf>
    <xf numFmtId="166" fontId="28" fillId="10" borderId="3" applyAlignment="1" pivotButton="0" quotePrefix="0" xfId="0">
      <alignment vertical="center"/>
    </xf>
    <xf numFmtId="0" fontId="23" fillId="0" borderId="0" applyAlignment="1" pivotButton="0" quotePrefix="0" xfId="0">
      <alignment vertical="center" wrapText="1"/>
    </xf>
    <xf numFmtId="0" fontId="27" fillId="12" borderId="19" applyAlignment="1" pivotButton="0" quotePrefix="0" xfId="0">
      <alignment vertical="center" wrapText="1"/>
    </xf>
    <xf numFmtId="0" fontId="27" fillId="12" borderId="20" applyAlignment="1" pivotButton="0" quotePrefix="0" xfId="0">
      <alignment vertical="center" wrapText="1"/>
    </xf>
    <xf numFmtId="0" fontId="27" fillId="12" borderId="21" applyAlignment="1" pivotButton="0" quotePrefix="0" xfId="0">
      <alignment vertical="center" wrapText="1"/>
    </xf>
    <xf numFmtId="0" fontId="27" fillId="12" borderId="6" applyAlignment="1" pivotButton="0" quotePrefix="0" xfId="0">
      <alignment horizontal="center" vertical="center" wrapText="1"/>
    </xf>
    <xf numFmtId="0" fontId="29" fillId="5" borderId="0" applyAlignment="1" pivotButton="0" quotePrefix="0" xfId="0">
      <alignment horizontal="center" vertical="center"/>
    </xf>
    <xf numFmtId="166" fontId="29" fillId="5" borderId="22" applyAlignment="1" pivotButton="0" quotePrefix="0" xfId="0">
      <alignment vertical="center"/>
    </xf>
    <xf numFmtId="166" fontId="29" fillId="5" borderId="0" applyAlignment="1" pivotButton="0" quotePrefix="0" xfId="0">
      <alignment vertical="center"/>
    </xf>
    <xf numFmtId="166" fontId="31" fillId="11" borderId="0" applyAlignment="1" pivotButton="0" quotePrefix="0" xfId="0">
      <alignment vertical="center"/>
    </xf>
    <xf numFmtId="9" fontId="26" fillId="10" borderId="0" applyAlignment="1" pivotButton="0" quotePrefix="0" xfId="0">
      <alignment vertical="center"/>
    </xf>
    <xf numFmtId="0" fontId="27" fillId="12" borderId="18" applyAlignment="1" pivotButton="0" quotePrefix="0" xfId="0">
      <alignment vertical="center"/>
    </xf>
    <xf numFmtId="166" fontId="27" fillId="12" borderId="23" applyAlignment="1" pivotButton="0" quotePrefix="0" xfId="0">
      <alignment vertical="center"/>
    </xf>
    <xf numFmtId="9" fontId="27" fillId="12" borderId="23" applyAlignment="1" pivotButton="0" quotePrefix="0" xfId="0">
      <alignment vertical="center"/>
    </xf>
    <xf numFmtId="0" fontId="25" fillId="11" borderId="0" applyAlignment="1" pivotButton="0" quotePrefix="0" xfId="0">
      <alignment horizontal="center" vertical="center"/>
    </xf>
    <xf numFmtId="169" fontId="26" fillId="10" borderId="22" applyAlignment="1" pivotButton="0" quotePrefix="0" xfId="0">
      <alignment vertical="center"/>
    </xf>
    <xf numFmtId="169" fontId="26" fillId="10" borderId="0" applyAlignment="1" pivotButton="0" quotePrefix="0" xfId="0">
      <alignment vertical="center"/>
    </xf>
    <xf numFmtId="169" fontId="26" fillId="10" borderId="5" applyAlignment="1" pivotButton="0" quotePrefix="0" xfId="0">
      <alignment vertical="center"/>
    </xf>
    <xf numFmtId="0" fontId="25" fillId="11" borderId="22" applyAlignment="1" pivotButton="0" quotePrefix="0" xfId="0">
      <alignment horizontal="center" vertical="center"/>
    </xf>
    <xf numFmtId="0" fontId="27" fillId="12" borderId="24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/>
    </xf>
    <xf numFmtId="0" fontId="35" fillId="0" borderId="0" applyAlignment="1" pivotButton="0" quotePrefix="0" xfId="0">
      <alignment vertical="top" wrapText="1"/>
    </xf>
    <xf numFmtId="0" fontId="37" fillId="0" borderId="0" pivotButton="0" quotePrefix="0" xfId="0"/>
    <xf numFmtId="0" fontId="12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 vertical="center"/>
    </xf>
    <xf numFmtId="0" fontId="38" fillId="0" borderId="0" pivotButton="0" quotePrefix="0" xfId="0"/>
    <xf numFmtId="0" fontId="33" fillId="4" borderId="34" applyAlignment="1" pivotButton="0" quotePrefix="0" xfId="0">
      <alignment horizontal="center"/>
    </xf>
    <xf numFmtId="170" fontId="0" fillId="0" borderId="0" pivotButton="0" quotePrefix="0" xfId="0"/>
    <xf numFmtId="14" fontId="0" fillId="0" borderId="0" pivotButton="0" quotePrefix="0" xfId="0"/>
    <xf numFmtId="171" fontId="0" fillId="0" borderId="0" pivotButton="0" quotePrefix="0" xfId="0"/>
    <xf numFmtId="0" fontId="6" fillId="13" borderId="35" applyAlignment="1" pivotButton="0" quotePrefix="0" xfId="0">
      <alignment horizontal="center" vertical="center" wrapText="1"/>
    </xf>
    <xf numFmtId="0" fontId="33" fillId="14" borderId="35" applyAlignment="1" pivotButton="0" quotePrefix="0" xfId="0">
      <alignment horizontal="center"/>
    </xf>
    <xf numFmtId="0" fontId="0" fillId="0" borderId="35" pivotButton="0" quotePrefix="0" xfId="0"/>
    <xf numFmtId="170" fontId="0" fillId="14" borderId="35" applyAlignment="1" pivotButton="0" quotePrefix="0" xfId="0">
      <alignment horizontal="center"/>
    </xf>
    <xf numFmtId="170" fontId="0" fillId="0" borderId="35" pivotButton="0" quotePrefix="0" xfId="0"/>
    <xf numFmtId="0" fontId="0" fillId="14" borderId="35" applyAlignment="1" pivotButton="0" quotePrefix="0" xfId="0">
      <alignment horizontal="center"/>
    </xf>
    <xf numFmtId="170" fontId="33" fillId="14" borderId="35" applyAlignment="1" pivotButton="0" quotePrefix="0" xfId="0">
      <alignment horizontal="center"/>
    </xf>
    <xf numFmtId="0" fontId="33" fillId="0" borderId="0" pivotButton="0" quotePrefix="0" xfId="0"/>
    <xf numFmtId="0" fontId="39" fillId="0" borderId="0" pivotButton="0" quotePrefix="0" xfId="0"/>
    <xf numFmtId="0" fontId="24" fillId="0" borderId="0" pivotButton="0" quotePrefix="0" xfId="0"/>
    <xf numFmtId="14" fontId="27" fillId="12" borderId="0" applyAlignment="1" pivotButton="0" quotePrefix="0" xfId="0">
      <alignment vertical="center"/>
    </xf>
    <xf numFmtId="166" fontId="27" fillId="12" borderId="0" applyAlignment="1" pivotButton="0" quotePrefix="0" xfId="1">
      <alignment vertical="center" wrapText="1"/>
    </xf>
    <xf numFmtId="0" fontId="24" fillId="0" borderId="22" applyAlignment="1" pivotButton="0" quotePrefix="0" xfId="0">
      <alignment vertical="center"/>
    </xf>
    <xf numFmtId="167" fontId="43" fillId="15" borderId="5" applyAlignment="1" pivotButton="0" quotePrefix="0" xfId="3">
      <alignment vertical="center"/>
    </xf>
    <xf numFmtId="0" fontId="26" fillId="0" borderId="0" applyAlignment="1" pivotButton="0" quotePrefix="0" xfId="0">
      <alignment vertical="center"/>
    </xf>
    <xf numFmtId="166" fontId="44" fillId="16" borderId="5" applyAlignment="1" pivotButton="0" quotePrefix="0" xfId="2">
      <alignment vertical="center"/>
    </xf>
    <xf numFmtId="166" fontId="43" fillId="15" borderId="5" applyAlignment="1" pivotButton="0" quotePrefix="0" xfId="3">
      <alignment vertical="center"/>
    </xf>
    <xf numFmtId="0" fontId="26" fillId="0" borderId="22" applyAlignment="1" pivotButton="0" quotePrefix="0" xfId="0">
      <alignment vertical="center"/>
    </xf>
    <xf numFmtId="166" fontId="43" fillId="0" borderId="5" applyAlignment="1" pivotButton="0" quotePrefix="0" xfId="3">
      <alignment vertical="center"/>
    </xf>
    <xf numFmtId="0" fontId="28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27" fillId="12" borderId="22" applyAlignment="1" pivotButton="0" quotePrefix="0" xfId="0">
      <alignment vertical="center" wrapText="1"/>
    </xf>
    <xf numFmtId="0" fontId="27" fillId="12" borderId="0" applyAlignment="1" pivotButton="0" quotePrefix="0" xfId="0">
      <alignment vertical="center" wrapText="1"/>
    </xf>
    <xf numFmtId="0" fontId="27" fillId="12" borderId="5" applyAlignment="1" pivotButton="0" quotePrefix="0" xfId="0">
      <alignment vertical="center" wrapText="1"/>
    </xf>
    <xf numFmtId="0" fontId="43" fillId="15" borderId="22" applyAlignment="1" pivotButton="0" quotePrefix="0" xfId="3">
      <alignment horizontal="center" vertical="center"/>
    </xf>
    <xf numFmtId="0" fontId="43" fillId="15" borderId="0" applyAlignment="1" pivotButton="0" quotePrefix="0" xfId="3">
      <alignment horizontal="center" vertical="center"/>
    </xf>
    <xf numFmtId="166" fontId="43" fillId="15" borderId="22" applyAlignment="1" pivotButton="0" quotePrefix="0" xfId="3">
      <alignment vertical="center"/>
    </xf>
    <xf numFmtId="166" fontId="43" fillId="15" borderId="0" applyAlignment="1" pivotButton="0" quotePrefix="0" xfId="3">
      <alignment vertical="center"/>
    </xf>
    <xf numFmtId="9" fontId="44" fillId="16" borderId="0" applyAlignment="1" pivotButton="0" quotePrefix="0" xfId="2">
      <alignment horizontal="center" vertical="center"/>
    </xf>
    <xf numFmtId="169" fontId="44" fillId="16" borderId="22" applyAlignment="1" pivotButton="0" quotePrefix="0" xfId="2">
      <alignment vertical="center"/>
    </xf>
    <xf numFmtId="169" fontId="44" fillId="16" borderId="0" applyAlignment="1" pivotButton="0" quotePrefix="0" xfId="2">
      <alignment vertical="center"/>
    </xf>
    <xf numFmtId="169" fontId="44" fillId="16" borderId="5" applyAlignment="1" pivotButton="0" quotePrefix="0" xfId="2">
      <alignment vertical="center"/>
    </xf>
    <xf numFmtId="166" fontId="27" fillId="12" borderId="23" applyAlignment="1" pivotButton="0" quotePrefix="0" xfId="1">
      <alignment vertical="center"/>
    </xf>
    <xf numFmtId="0" fontId="23" fillId="0" borderId="0" applyAlignment="1" pivotButton="0" quotePrefix="1" xfId="0">
      <alignment vertical="center"/>
    </xf>
    <xf numFmtId="0" fontId="43" fillId="15" borderId="0" applyAlignment="1" pivotButton="0" quotePrefix="0" xfId="3">
      <alignment vertical="center"/>
    </xf>
    <xf numFmtId="0" fontId="44" fillId="16" borderId="0" applyAlignment="1" pivotButton="0" quotePrefix="0" xfId="2">
      <alignment vertical="center"/>
    </xf>
    <xf numFmtId="172" fontId="46" fillId="0" borderId="37" pivotButton="0" quotePrefix="0" xfId="0"/>
    <xf numFmtId="173" fontId="46" fillId="0" borderId="37" pivotButton="0" quotePrefix="0" xfId="0"/>
    <xf numFmtId="0" fontId="47" fillId="0" borderId="0" pivotButton="0" quotePrefix="0" xfId="0"/>
    <xf numFmtId="0" fontId="48" fillId="4" borderId="38" applyAlignment="1" pivotButton="0" quotePrefix="0" xfId="0">
      <alignment horizontal="center"/>
    </xf>
    <xf numFmtId="0" fontId="49" fillId="2" borderId="38" applyAlignment="1" pivotButton="0" quotePrefix="0" xfId="0">
      <alignment horizontal="center" wrapText="1"/>
    </xf>
    <xf numFmtId="174" fontId="8" fillId="0" borderId="1" applyAlignment="1" pivotButton="0" quotePrefix="0" xfId="0">
      <alignment horizontal="center" vertical="center"/>
    </xf>
    <xf numFmtId="174" fontId="8" fillId="4" borderId="1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0" fontId="0" fillId="0" borderId="0" pivotButton="0" quotePrefix="0" xfId="0"/>
    <xf numFmtId="166" fontId="17" fillId="6" borderId="38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6" fillId="7" borderId="38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166" fontId="2" fillId="4" borderId="38" applyAlignment="1" pivotButton="0" quotePrefix="0" xfId="0">
      <alignment horizontal="center" vertical="center"/>
    </xf>
    <xf numFmtId="0" fontId="2" fillId="4" borderId="38" applyAlignment="1" pivotButton="0" quotePrefix="0" xfId="0">
      <alignment horizontal="center" vertical="center"/>
    </xf>
    <xf numFmtId="0" fontId="12" fillId="0" borderId="38" applyAlignment="1" pivotButton="0" quotePrefix="0" xfId="0">
      <alignment horizontal="left" vertical="center"/>
    </xf>
    <xf numFmtId="168" fontId="2" fillId="4" borderId="38" applyAlignment="1" pivotButton="0" quotePrefix="0" xfId="0">
      <alignment horizontal="center" vertical="center"/>
    </xf>
    <xf numFmtId="165" fontId="2" fillId="4" borderId="38" applyAlignment="1" pivotButton="0" quotePrefix="0" xfId="0">
      <alignment horizontal="center" vertical="center"/>
    </xf>
    <xf numFmtId="0" fontId="19" fillId="9" borderId="38" applyAlignment="1" pivotButton="0" quotePrefix="0" xfId="0">
      <alignment horizontal="center" vertical="center" wrapText="1"/>
    </xf>
    <xf numFmtId="0" fontId="15" fillId="4" borderId="38" applyAlignment="1" pivotButton="0" quotePrefix="0" xfId="0">
      <alignment horizontal="center" vertical="center"/>
    </xf>
    <xf numFmtId="0" fontId="13" fillId="5" borderId="38" applyAlignment="1" pivotButton="0" quotePrefix="0" xfId="0">
      <alignment horizontal="center" vertical="center"/>
    </xf>
    <xf numFmtId="14" fontId="2" fillId="4" borderId="38" applyAlignment="1" pivotButton="0" quotePrefix="0" xfId="0">
      <alignment horizontal="center" vertical="center"/>
    </xf>
    <xf numFmtId="164" fontId="17" fillId="8" borderId="38" applyAlignment="1" pivotButton="0" quotePrefix="0" xfId="0">
      <alignment horizontal="center" vertical="center"/>
    </xf>
    <xf numFmtId="0" fontId="16" fillId="3" borderId="38" applyAlignment="1" pivotButton="0" quotePrefix="0" xfId="0">
      <alignment horizontal="center" vertical="center" wrapText="1"/>
    </xf>
    <xf numFmtId="0" fontId="11" fillId="3" borderId="38" applyAlignment="1" pivotButton="0" quotePrefix="0" xfId="0">
      <alignment horizontal="left" vertical="center"/>
    </xf>
    <xf numFmtId="165" fontId="13" fillId="5" borderId="38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" fillId="0" borderId="38" applyAlignment="1" pivotButton="0" quotePrefix="0" xfId="0">
      <alignment horizontal="center" vertical="center"/>
    </xf>
    <xf numFmtId="166" fontId="17" fillId="8" borderId="38" applyAlignment="1" pivotButton="0" quotePrefix="0" xfId="0">
      <alignment horizontal="center" vertical="center"/>
    </xf>
    <xf numFmtId="166" fontId="13" fillId="5" borderId="38" applyAlignment="1" pivotButton="0" quotePrefix="0" xfId="0">
      <alignment horizontal="center" vertical="center"/>
    </xf>
    <xf numFmtId="0" fontId="10" fillId="0" borderId="0" applyAlignment="1" pivotButton="0" quotePrefix="0" xfId="0">
      <alignment vertical="center"/>
    </xf>
    <xf numFmtId="171" fontId="18" fillId="8" borderId="38" applyAlignment="1" pivotButton="0" quotePrefix="0" xfId="0">
      <alignment horizontal="center" vertical="center"/>
    </xf>
    <xf numFmtId="166" fontId="2" fillId="0" borderId="38" applyAlignment="1" pivotButton="0" quotePrefix="0" xfId="0">
      <alignment horizontal="center" vertical="center"/>
    </xf>
    <xf numFmtId="0" fontId="36" fillId="3" borderId="38" applyAlignment="1" pivotButton="0" quotePrefix="0" xfId="0">
      <alignment horizontal="center" vertical="center" wrapText="1"/>
    </xf>
    <xf numFmtId="0" fontId="14" fillId="4" borderId="38" applyAlignment="1" pivotButton="0" quotePrefix="0" xfId="0">
      <alignment horizontal="left" vertical="center" wrapText="1"/>
    </xf>
    <xf numFmtId="166" fontId="18" fillId="8" borderId="38" applyAlignment="1" pivotButton="0" quotePrefix="0" xfId="0">
      <alignment horizontal="center" vertical="center"/>
    </xf>
    <xf numFmtId="14" fontId="13" fillId="5" borderId="38" applyAlignment="1" pivotButton="0" quotePrefix="0" xfId="0">
      <alignment horizontal="center" vertical="center"/>
    </xf>
    <xf numFmtId="165" fontId="2" fillId="0" borderId="38" applyAlignment="1" pivotButton="0" quotePrefix="0" xfId="0">
      <alignment horizontal="center" vertical="center"/>
    </xf>
    <xf numFmtId="0" fontId="1" fillId="2" borderId="0" applyAlignment="1" pivotButton="0" quotePrefix="0" xfId="0">
      <alignment vertical="center"/>
    </xf>
    <xf numFmtId="0" fontId="21" fillId="0" borderId="38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168" fontId="13" fillId="5" borderId="38" applyAlignment="1" pivotButton="0" quotePrefix="0" xfId="0">
      <alignment horizontal="center" vertical="center"/>
    </xf>
    <xf numFmtId="166" fontId="22" fillId="6" borderId="2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4" fontId="27" fillId="12" borderId="36" applyAlignment="1" pivotButton="0" quotePrefix="0" xfId="0">
      <alignment vertical="center" wrapText="1"/>
    </xf>
    <xf numFmtId="0" fontId="0" fillId="0" borderId="21" pivotButton="0" quotePrefix="0" xfId="0"/>
    <xf numFmtId="0" fontId="27" fillId="12" borderId="36" applyAlignment="1" pivotButton="0" quotePrefix="0" xfId="0">
      <alignment horizontal="center" vertical="center" wrapText="1"/>
    </xf>
    <xf numFmtId="0" fontId="0" fillId="0" borderId="20" pivotButton="0" quotePrefix="0" xfId="0"/>
    <xf numFmtId="0" fontId="27" fillId="12" borderId="36" applyAlignment="1" pivotButton="0" quotePrefix="0" xfId="0">
      <alignment horizontal="center" vertical="center"/>
    </xf>
    <xf numFmtId="14" fontId="27" fillId="12" borderId="36" applyAlignment="1" pivotButton="0" quotePrefix="0" xfId="0">
      <alignment vertical="center"/>
    </xf>
    <xf numFmtId="0" fontId="6" fillId="13" borderId="38" applyAlignment="1" pivotButton="0" quotePrefix="0" xfId="0">
      <alignment horizontal="center" vertical="center" wrapText="1"/>
    </xf>
    <xf numFmtId="14" fontId="27" fillId="1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27" fillId="12" borderId="18" applyAlignment="1" pivotButton="0" quotePrefix="0" xfId="0">
      <alignment horizontal="center" vertical="center" wrapText="1"/>
    </xf>
    <xf numFmtId="0" fontId="0" fillId="0" borderId="18" pivotButton="0" quotePrefix="0" xfId="0"/>
    <xf numFmtId="0" fontId="23" fillId="0" borderId="10" applyAlignment="1" pivotButton="0" quotePrefix="0" xfId="0">
      <alignment horizontal="left" vertical="center" wrapText="1"/>
    </xf>
    <xf numFmtId="0" fontId="0" fillId="0" borderId="15" pivotButton="0" quotePrefix="0" xfId="0"/>
    <xf numFmtId="0" fontId="24" fillId="0" borderId="0" applyAlignment="1" pivotButton="0" quotePrefix="0" xfId="0">
      <alignment horizontal="center" vertical="center" wrapText="1"/>
    </xf>
    <xf numFmtId="0" fontId="27" fillId="12" borderId="18" applyAlignment="1" pivotButton="0" quotePrefix="0" xfId="0">
      <alignment horizontal="center" vertical="center"/>
    </xf>
    <xf numFmtId="14" fontId="27" fillId="12" borderId="6" applyAlignment="1" pivotButton="0" quotePrefix="0" xfId="0">
      <alignment horizontal="center" vertical="center" wrapText="1"/>
    </xf>
    <xf numFmtId="0" fontId="0" fillId="0" borderId="7" pivotButton="0" quotePrefix="0" xfId="0"/>
    <xf numFmtId="166" fontId="28" fillId="10" borderId="9" applyAlignment="1" pivotButton="0" quotePrefix="0" xfId="0">
      <alignment horizontal="center" vertical="center"/>
    </xf>
    <xf numFmtId="0" fontId="0" fillId="0" borderId="14" pivotButton="0" quotePrefix="0" xfId="0"/>
    <xf numFmtId="0" fontId="26" fillId="0" borderId="8" applyAlignment="1" pivotButton="0" quotePrefix="0" xfId="0">
      <alignment horizontal="left" vertical="center"/>
    </xf>
    <xf numFmtId="0" fontId="0" fillId="0" borderId="13" pivotButton="0" quotePrefix="0" xfId="0"/>
    <xf numFmtId="166" fontId="26" fillId="10" borderId="9" applyAlignment="1" pivotButton="0" quotePrefix="0" xfId="0">
      <alignment horizontal="center" vertical="center"/>
    </xf>
    <xf numFmtId="166" fontId="17" fillId="6" borderId="38" applyAlignment="1" pivotButton="0" quotePrefix="0" xfId="0">
      <alignment horizontal="center" vertical="center"/>
    </xf>
    <xf numFmtId="166" fontId="18" fillId="8" borderId="38" applyAlignment="1" pivotButton="0" quotePrefix="0" xfId="0">
      <alignment horizontal="center" vertical="center"/>
    </xf>
    <xf numFmtId="166" fontId="17" fillId="8" borderId="38" applyAlignment="1" pivotButton="0" quotePrefix="0" xfId="0">
      <alignment horizontal="center" vertical="center"/>
    </xf>
    <xf numFmtId="171" fontId="18" fillId="8" borderId="38" applyAlignment="1" pivotButton="0" quotePrefix="0" xfId="0">
      <alignment horizontal="center" vertical="center"/>
    </xf>
    <xf numFmtId="166" fontId="2" fillId="4" borderId="38" applyAlignment="1" pivotButton="0" quotePrefix="0" xfId="0">
      <alignment horizontal="center" vertical="center"/>
    </xf>
    <xf numFmtId="166" fontId="2" fillId="0" borderId="38" applyAlignment="1" pivotButton="0" quotePrefix="0" xfId="0">
      <alignment horizontal="center" vertical="center"/>
    </xf>
    <xf numFmtId="166" fontId="13" fillId="5" borderId="38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168" fontId="2" fillId="4" borderId="38" applyAlignment="1" pivotButton="0" quotePrefix="0" xfId="0">
      <alignment horizontal="center" vertical="center"/>
    </xf>
    <xf numFmtId="174" fontId="8" fillId="0" borderId="1" applyAlignment="1" pivotButton="0" quotePrefix="0" xfId="0">
      <alignment horizontal="center" vertical="center"/>
    </xf>
    <xf numFmtId="174" fontId="8" fillId="4" borderId="1" applyAlignment="1" pivotButton="0" quotePrefix="0" xfId="0">
      <alignment horizontal="center" vertical="center"/>
    </xf>
    <xf numFmtId="166" fontId="8" fillId="0" borderId="1" pivotButton="0" quotePrefix="0" xfId="0"/>
    <xf numFmtId="168" fontId="13" fillId="5" borderId="38" applyAlignment="1" pivotButton="0" quotePrefix="0" xfId="0">
      <alignment horizontal="center" vertical="center"/>
    </xf>
    <xf numFmtId="166" fontId="22" fillId="6" borderId="2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72" fontId="46" fillId="0" borderId="47" pivotButton="0" quotePrefix="0" xfId="0"/>
    <xf numFmtId="173" fontId="46" fillId="0" borderId="47" pivotButton="0" quotePrefix="0" xfId="0"/>
    <xf numFmtId="166" fontId="43" fillId="15" borderId="5" applyAlignment="1" pivotButton="0" quotePrefix="0" xfId="3">
      <alignment vertical="center"/>
    </xf>
    <xf numFmtId="166" fontId="44" fillId="16" borderId="5" applyAlignment="1" pivotButton="0" quotePrefix="0" xfId="2">
      <alignment vertical="center"/>
    </xf>
    <xf numFmtId="167" fontId="43" fillId="15" borderId="5" applyAlignment="1" pivotButton="0" quotePrefix="0" xfId="3">
      <alignment vertical="center"/>
    </xf>
    <xf numFmtId="166" fontId="43" fillId="0" borderId="5" applyAlignment="1" pivotButton="0" quotePrefix="0" xfId="3">
      <alignment vertical="center"/>
    </xf>
    <xf numFmtId="166" fontId="27" fillId="12" borderId="0" applyAlignment="1" pivotButton="0" quotePrefix="0" xfId="1">
      <alignment vertical="center" wrapText="1"/>
    </xf>
    <xf numFmtId="166" fontId="43" fillId="15" borderId="22" applyAlignment="1" pivotButton="0" quotePrefix="0" xfId="3">
      <alignment vertical="center"/>
    </xf>
    <xf numFmtId="166" fontId="43" fillId="15" borderId="0" applyAlignment="1" pivotButton="0" quotePrefix="0" xfId="3">
      <alignment vertical="center"/>
    </xf>
    <xf numFmtId="169" fontId="44" fillId="16" borderId="22" applyAlignment="1" pivotButton="0" quotePrefix="0" xfId="2">
      <alignment vertical="center"/>
    </xf>
    <xf numFmtId="169" fontId="44" fillId="16" borderId="0" applyAlignment="1" pivotButton="0" quotePrefix="0" xfId="2">
      <alignment vertical="center"/>
    </xf>
    <xf numFmtId="169" fontId="44" fillId="16" borderId="5" applyAlignment="1" pivotButton="0" quotePrefix="0" xfId="2">
      <alignment vertical="center"/>
    </xf>
    <xf numFmtId="166" fontId="27" fillId="12" borderId="23" applyAlignment="1" pivotButton="0" quotePrefix="0" xfId="1">
      <alignment vertical="center"/>
    </xf>
    <xf numFmtId="170" fontId="0" fillId="14" borderId="35" applyAlignment="1" pivotButton="0" quotePrefix="0" xfId="0">
      <alignment horizontal="center"/>
    </xf>
    <xf numFmtId="170" fontId="0" fillId="0" borderId="35" pivotButton="0" quotePrefix="0" xfId="0"/>
    <xf numFmtId="170" fontId="33" fillId="14" borderId="35" applyAlignment="1" pivotButton="0" quotePrefix="0" xfId="0">
      <alignment horizontal="center"/>
    </xf>
    <xf numFmtId="166" fontId="26" fillId="10" borderId="5" applyAlignment="1" pivotButton="0" quotePrefix="0" xfId="0">
      <alignment vertical="center"/>
    </xf>
    <xf numFmtId="167" fontId="29" fillId="5" borderId="9" applyAlignment="1" pivotButton="0" quotePrefix="0" xfId="0">
      <alignment vertical="center"/>
    </xf>
    <xf numFmtId="166" fontId="26" fillId="10" borderId="9" applyAlignment="1" pivotButton="0" quotePrefix="0" xfId="0">
      <alignment vertical="center"/>
    </xf>
    <xf numFmtId="166" fontId="24" fillId="0" borderId="0" applyAlignment="1" pivotButton="0" quotePrefix="0" xfId="0">
      <alignment vertical="center"/>
    </xf>
    <xf numFmtId="166" fontId="29" fillId="5" borderId="9" applyAlignment="1" pivotButton="0" quotePrefix="0" xfId="0">
      <alignment vertical="center"/>
    </xf>
    <xf numFmtId="166" fontId="29" fillId="5" borderId="12" applyAlignment="1" pivotButton="0" quotePrefix="0" xfId="0">
      <alignment vertical="center"/>
    </xf>
    <xf numFmtId="166" fontId="26" fillId="10" borderId="9" applyAlignment="1" pivotButton="0" quotePrefix="0" xfId="0">
      <alignment horizontal="center" vertical="center"/>
    </xf>
    <xf numFmtId="166" fontId="28" fillId="10" borderId="9" applyAlignment="1" pivotButton="0" quotePrefix="0" xfId="0">
      <alignment horizontal="center" vertical="center"/>
    </xf>
    <xf numFmtId="166" fontId="28" fillId="10" borderId="14" applyAlignment="1" pivotButton="0" quotePrefix="0" xfId="0">
      <alignment vertical="center"/>
    </xf>
    <xf numFmtId="166" fontId="28" fillId="10" borderId="9" applyAlignment="1" pivotButton="0" quotePrefix="0" xfId="0">
      <alignment vertical="center"/>
    </xf>
    <xf numFmtId="166" fontId="26" fillId="0" borderId="9" applyAlignment="1" pivotButton="0" quotePrefix="0" xfId="0">
      <alignment vertical="center"/>
    </xf>
    <xf numFmtId="167" fontId="27" fillId="12" borderId="0" applyAlignment="1" pivotButton="0" quotePrefix="0" xfId="0">
      <alignment vertical="center" wrapText="1"/>
    </xf>
    <xf numFmtId="166" fontId="27" fillId="12" borderId="0" applyAlignment="1" pivotButton="0" quotePrefix="0" xfId="0">
      <alignment vertical="center" wrapText="1"/>
    </xf>
    <xf numFmtId="168" fontId="29" fillId="5" borderId="3" applyAlignment="1" pivotButton="0" quotePrefix="0" xfId="0">
      <alignment vertical="center"/>
    </xf>
    <xf numFmtId="168" fontId="29" fillId="5" borderId="3" applyAlignment="1" pivotButton="0" quotePrefix="0" xfId="0">
      <alignment horizontal="center" vertical="center"/>
    </xf>
    <xf numFmtId="166" fontId="30" fillId="5" borderId="3" applyAlignment="1" pivotButton="0" quotePrefix="0" xfId="0">
      <alignment vertical="center"/>
    </xf>
    <xf numFmtId="166" fontId="28" fillId="10" borderId="3" applyAlignment="1" pivotButton="0" quotePrefix="0" xfId="0">
      <alignment vertical="center"/>
    </xf>
    <xf numFmtId="166" fontId="29" fillId="5" borderId="22" applyAlignment="1" pivotButton="0" quotePrefix="0" xfId="0">
      <alignment vertical="center"/>
    </xf>
    <xf numFmtId="166" fontId="29" fillId="5" borderId="0" applyAlignment="1" pivotButton="0" quotePrefix="0" xfId="0">
      <alignment vertical="center"/>
    </xf>
    <xf numFmtId="166" fontId="31" fillId="11" borderId="0" applyAlignment="1" pivotButton="0" quotePrefix="0" xfId="0">
      <alignment vertical="center"/>
    </xf>
    <xf numFmtId="166" fontId="27" fillId="12" borderId="23" applyAlignment="1" pivotButton="0" quotePrefix="0" xfId="0">
      <alignment vertical="center"/>
    </xf>
    <xf numFmtId="169" fontId="26" fillId="10" borderId="22" applyAlignment="1" pivotButton="0" quotePrefix="0" xfId="0">
      <alignment vertical="center"/>
    </xf>
    <xf numFmtId="169" fontId="26" fillId="10" borderId="0" applyAlignment="1" pivotButton="0" quotePrefix="0" xfId="0">
      <alignment vertical="center"/>
    </xf>
    <xf numFmtId="169" fontId="26" fillId="10" borderId="5" applyAlignment="1" pivotButton="0" quotePrefix="0" xfId="0">
      <alignment vertical="center"/>
    </xf>
    <xf numFmtId="170" fontId="0" fillId="0" borderId="0" pivotButton="0" quotePrefix="0" xfId="0"/>
    <xf numFmtId="171" fontId="0" fillId="0" borderId="0" pivotButton="0" quotePrefix="0" xfId="0"/>
    <xf numFmtId="0" fontId="50" fillId="2" borderId="0" pivotButton="0" quotePrefix="0" xfId="0"/>
    <xf numFmtId="0" fontId="0" fillId="2" borderId="0" pivotButton="0" quotePrefix="0" xfId="0"/>
    <xf numFmtId="0" fontId="51" fillId="0" borderId="0" pivotButton="0" quotePrefix="0" xfId="0"/>
    <xf numFmtId="0" fontId="52" fillId="3" borderId="48" applyAlignment="1" pivotButton="0" quotePrefix="0" xfId="0">
      <alignment horizontal="center" wrapText="1"/>
    </xf>
    <xf numFmtId="0" fontId="53" fillId="0" borderId="48" pivotButton="0" quotePrefix="0" xfId="0"/>
    <xf numFmtId="0" fontId="54" fillId="0" borderId="48" pivotButton="0" quotePrefix="0" xfId="0"/>
    <xf numFmtId="174" fontId="0" fillId="0" borderId="48" pivotButton="0" quotePrefix="0" xfId="0"/>
    <xf numFmtId="165" fontId="0" fillId="0" borderId="48" pivotButton="0" quotePrefix="0" xfId="0"/>
  </cellXfs>
  <cellStyles count="4">
    <cellStyle name="Normal" xfId="0" builtinId="0"/>
    <cellStyle name="Currency" xfId="1" builtinId="4"/>
    <cellStyle name="Good" xfId="2" builtinId="26"/>
    <cellStyle name="Neutral" xfId="3" builtinId="28"/>
  </cellStyles>
  <dxfs count="2">
    <dxf>
      <font>
        <name val="Calibri"/>
        <b val="1"/>
        <color rgb="FF006100"/>
        <sz val="15"/>
      </font>
      <fill>
        <patternFill patternType="solid">
          <fgColor rgb="FFC6EFCE"/>
        </patternFill>
      </fill>
    </dxf>
    <dxf>
      <font>
        <name val="Calibri"/>
        <b val="1"/>
        <color rgb="FF9C0006"/>
        <sz val="15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styles" Target="styles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worksheet" Target="/xl/worksheets/sheet12.xml"/><Relationship Id="rId17" Type="http://schemas.openxmlformats.org/officeDocument/2006/relationships/customXml" Target="../customXml/item3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theme" Target="theme/theme1.xml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Interés devengado por escenario (€)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'Comparativa Tipos'!$B$5:$B$8</f>
            </numRef>
          </cat>
          <val>
            <numRef>
              <f>'Comparativa Tipos'!$D$5:$D$8</f>
            </numRef>
          </val>
        </ser>
        <dLbls>
          <numFmt formatCode="#,##0 &quot;€&quot;"/>
          <showVal val="1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s-ES"/>
              <a:t>Evolución del tipo aplicado (%)</a:t>
            </a:r>
          </a:p>
        </rich>
      </tx>
      <layout>
        <manualLayout>
          <xMode val="edge"/>
          <yMode val="edge"/>
          <wMode val="factor"/>
          <hMode val="factor"/>
          <x val="0.2346666666666667"/>
          <y val="0.07177909918001242"/>
        </manualLayout>
      </layout>
      <overlay val="1"/>
    </title>
    <plotArea>
      <layout/>
      <lineChart>
        <grouping val="standard"/>
        <varyColors val="1"/>
        <ser>
          <idx val="0"/>
          <order val="0"/>
          <tx>
            <strRef>
              <f>'Cálculo Intereses'!$N$4</f>
              <strCache>
                <ptCount val="1"/>
                <pt idx="0">
                  <v>Tipo aplicado (%)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multiLvlStrRef>
              <f>'Cálculo Intereses'!$H$5:$H$154</f>
            </multiLvlStrRef>
          </cat>
          <val>
            <numRef>
              <f>'Cálculo Intereses'!$N$5:$N$154</f>
              <numCache>
                <formatCode>0.000"%"</formatCode>
                <ptCount val="15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numFmt formatCode="m/d/yyyy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numFmt formatCode="0.000&quot;%&quot;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10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1</colOff>
      <row>24</row>
      <rowOff>64214</rowOff>
    </from>
    <ext cx="3360506" cy="2161853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theme="3"/>
    <outlinePr summaryBelow="1" summaryRight="1"/>
    <pageSetUpPr fitToPage="1"/>
  </sheetPr>
  <dimension ref="A1:AE60"/>
  <sheetViews>
    <sheetView zoomScale="65" zoomScaleNormal="85" workbookViewId="0">
      <pane xSplit="4" ySplit="7" topLeftCell="E19" activePane="bottomRight" state="frozen"/>
      <selection pane="topRight" activeCell="A1" sqref="A1"/>
      <selection pane="bottomLeft" activeCell="A1" sqref="A1"/>
      <selection pane="bottomRight" activeCell="G23" sqref="G23"/>
    </sheetView>
  </sheetViews>
  <sheetFormatPr baseColWidth="8" defaultRowHeight="14.5"/>
  <cols>
    <col width="13" customWidth="1" style="123" min="1" max="1"/>
    <col width="10" customWidth="1" style="123" min="2" max="3"/>
    <col width="12" customWidth="1" style="123" min="4" max="4"/>
    <col width="9" customWidth="1" style="123" min="5" max="5"/>
    <col width="10.1796875" bestFit="1" customWidth="1" style="123" min="6" max="6"/>
    <col width="9" customWidth="1" style="123" min="7" max="8"/>
    <col width="11" customWidth="1" style="123" min="9" max="9"/>
    <col width="11.54296875" customWidth="1" style="123" min="10" max="10"/>
    <col width="11" customWidth="1" style="123" min="11" max="11"/>
    <col width="12" customWidth="1" style="123" min="12" max="12"/>
    <col width="21" customWidth="1" style="123" min="13" max="13"/>
    <col width="4.7265625" bestFit="1" customWidth="1" style="123" min="14" max="14"/>
    <col width="11" customWidth="1" style="123" min="15" max="18"/>
    <col width="13" customWidth="1" style="123" min="19" max="19"/>
    <col width="12" customWidth="1" style="123" min="20" max="20"/>
    <col width="13" customWidth="1" style="123" min="21" max="21"/>
    <col width="15.54296875" customWidth="1" style="123" min="22" max="22"/>
    <col width="12" customWidth="1" style="123" min="23" max="23"/>
    <col width="13" customWidth="1" style="123" min="24" max="24"/>
    <col width="12" customWidth="1" style="123" min="25" max="25"/>
    <col width="16" customWidth="1" style="123" min="26" max="26"/>
    <col width="18" customWidth="1" style="123" min="27" max="27"/>
    <col width="14" customWidth="1" style="123" min="28" max="28"/>
    <col width="18" customWidth="1" style="123" min="29" max="30"/>
    <col width="15" customWidth="1" style="123" min="31" max="31"/>
  </cols>
  <sheetData>
    <row r="1" ht="26.15" customHeight="1" s="123">
      <c r="A1" s="122" t="inlineStr">
        <is>
          <t>INFORME DE SUBASTA Y CÁLCULO DE DEUDA</t>
        </is>
      </c>
    </row>
    <row r="2">
      <c r="A2" s="152" t="inlineStr">
        <is>
          <t>Azul = dato que introduce usted   ·   Verde = enlace (no editar)   ·   Morado = interruptor   ·   Amarillo = total   ·   Blanco = cálculo</t>
        </is>
      </c>
    </row>
    <row r="4" ht="19" customHeight="1" s="123">
      <c r="A4" s="144" t="inlineStr">
        <is>
          <t>RESUMEN</t>
        </is>
      </c>
      <c r="B4" s="131" t="n"/>
      <c r="C4" s="131" t="n"/>
      <c r="D4" s="131" t="n"/>
      <c r="E4" s="131" t="n"/>
      <c r="F4" s="131" t="n"/>
      <c r="G4" s="131" t="n"/>
      <c r="H4" s="131" t="n"/>
      <c r="I4" s="131" t="n"/>
      <c r="J4" s="131" t="n"/>
      <c r="K4" s="131" t="n"/>
      <c r="L4" s="131" t="n"/>
      <c r="M4" s="131" t="n"/>
      <c r="N4" s="131" t="n"/>
      <c r="O4" s="131" t="n"/>
      <c r="P4" s="131" t="n"/>
      <c r="Q4" s="131" t="n"/>
      <c r="R4" s="131" t="n"/>
      <c r="S4" s="131" t="n"/>
      <c r="T4" s="131" t="n"/>
      <c r="U4" s="131" t="n"/>
      <c r="V4" s="131" t="n"/>
      <c r="W4" s="131" t="n"/>
      <c r="X4" s="131" t="n"/>
      <c r="Y4" s="131" t="n"/>
      <c r="Z4" s="131" t="n"/>
      <c r="AA4" s="131" t="n"/>
      <c r="AB4" s="131" t="n"/>
      <c r="AC4" s="131" t="n"/>
      <c r="AD4" s="131" t="n"/>
      <c r="AE4" s="132" t="n"/>
    </row>
    <row r="5">
      <c r="A5" s="143" t="inlineStr">
        <is>
          <t>TOTAL DEUDA ACTUALIZADA</t>
        </is>
      </c>
      <c r="B5" s="131" t="n"/>
      <c r="C5" s="131" t="n"/>
      <c r="D5" s="131" t="n"/>
      <c r="E5" s="132" t="n"/>
      <c r="F5" s="143" t="inlineStr">
        <is>
          <t>Intereses devengados</t>
        </is>
      </c>
      <c r="G5" s="131" t="n"/>
      <c r="H5" s="131" t="n"/>
      <c r="I5" s="131" t="n"/>
      <c r="J5" s="132" t="n"/>
      <c r="K5" s="143" t="inlineStr">
        <is>
          <t>TOTAL con cargas</t>
        </is>
      </c>
      <c r="L5" s="131" t="n"/>
      <c r="M5" s="131" t="n"/>
      <c r="N5" s="131" t="n"/>
      <c r="O5" s="132" t="n"/>
      <c r="P5" s="143" t="inlineStr">
        <is>
          <t>Puja mínima total (LOANCO)</t>
        </is>
      </c>
      <c r="Q5" s="131" t="n"/>
      <c r="R5" s="131" t="n"/>
      <c r="S5" s="131" t="n"/>
      <c r="T5" s="132" t="n"/>
      <c r="U5" s="155" t="inlineStr">
        <is>
          <t>Cash Out total (LOANCO)</t>
        </is>
      </c>
      <c r="V5" s="131" t="n"/>
      <c r="W5" s="131" t="n"/>
      <c r="X5" s="131" t="n"/>
      <c r="Y5" s="132" t="n"/>
      <c r="Z5" s="143" t="inlineStr">
        <is>
          <t>Cobertura puja / deuda</t>
        </is>
      </c>
      <c r="AA5" s="131" t="n"/>
      <c r="AB5" s="131" t="n"/>
      <c r="AC5" s="131" t="n"/>
      <c r="AD5" s="131" t="n"/>
      <c r="AE5" s="132" t="n"/>
    </row>
    <row r="6" ht="22" customHeight="1" s="123">
      <c r="A6" s="188">
        <f>$K$13</f>
        <v/>
      </c>
      <c r="B6" s="125" t="n"/>
      <c r="C6" s="125" t="n"/>
      <c r="D6" s="125" t="n"/>
      <c r="E6" s="126" t="n"/>
      <c r="F6" s="189">
        <f>$K$11</f>
        <v/>
      </c>
      <c r="G6" s="125" t="n"/>
      <c r="H6" s="125" t="n"/>
      <c r="I6" s="125" t="n"/>
      <c r="J6" s="126" t="n"/>
      <c r="K6" s="188">
        <f>$K$16</f>
        <v/>
      </c>
      <c r="L6" s="125" t="n"/>
      <c r="M6" s="125" t="n"/>
      <c r="N6" s="125" t="n"/>
      <c r="O6" s="126" t="n"/>
      <c r="P6" s="190">
        <f>V60</f>
        <v/>
      </c>
      <c r="Q6" s="125" t="n"/>
      <c r="R6" s="125" t="n"/>
      <c r="S6" s="125" t="n"/>
      <c r="T6" s="126" t="n"/>
      <c r="U6" s="142">
        <f>W60</f>
        <v/>
      </c>
      <c r="V6" s="125" t="n"/>
      <c r="W6" s="125" t="n"/>
      <c r="X6" s="125" t="n"/>
      <c r="Y6" s="126" t="n"/>
      <c r="Z6" s="191">
        <f>IFERROR(V60/$K$16,0)</f>
        <v/>
      </c>
      <c r="AA6" s="125" t="n"/>
      <c r="AB6" s="125" t="n"/>
      <c r="AC6" s="125" t="n"/>
      <c r="AD6" s="125" t="n"/>
      <c r="AE6" s="126" t="n"/>
    </row>
    <row r="7" ht="14.15" customHeight="1" s="123">
      <c r="A7" s="127" t="n"/>
      <c r="B7" s="128" t="n"/>
      <c r="C7" s="128" t="n"/>
      <c r="D7" s="128" t="n"/>
      <c r="E7" s="129" t="n"/>
      <c r="F7" s="127" t="n"/>
      <c r="G7" s="128" t="n"/>
      <c r="H7" s="128" t="n"/>
      <c r="I7" s="128" t="n"/>
      <c r="J7" s="129" t="n"/>
      <c r="K7" s="127" t="n"/>
      <c r="L7" s="128" t="n"/>
      <c r="M7" s="128" t="n"/>
      <c r="N7" s="128" t="n"/>
      <c r="O7" s="129" t="n"/>
      <c r="P7" s="127" t="n"/>
      <c r="Q7" s="128" t="n"/>
      <c r="R7" s="128" t="n"/>
      <c r="S7" s="128" t="n"/>
      <c r="T7" s="129" t="n"/>
      <c r="U7" s="127" t="n"/>
      <c r="V7" s="128" t="n"/>
      <c r="W7" s="128" t="n"/>
      <c r="X7" s="128" t="n"/>
      <c r="Y7" s="129" t="n"/>
      <c r="Z7" s="127" t="n"/>
      <c r="AA7" s="128" t="n"/>
      <c r="AB7" s="128" t="n"/>
      <c r="AC7" s="128" t="n"/>
      <c r="AD7" s="128" t="n"/>
      <c r="AE7" s="129" t="n"/>
    </row>
    <row r="8">
      <c r="A8" s="74" t="inlineStr">
        <is>
          <t>LoanID</t>
        </is>
      </c>
      <c r="D8" s="75" t="inlineStr">
        <is>
          <t>12345</t>
        </is>
      </c>
      <c r="H8" s="117" t="inlineStr">
        <is>
          <t>LegalID</t>
        </is>
      </c>
      <c r="K8" s="118" t="n"/>
      <c r="O8" s="117" t="inlineStr">
        <is>
          <t>LoanNumber</t>
        </is>
      </c>
      <c r="R8" s="118" t="n"/>
      <c r="V8" s="117" t="inlineStr">
        <is>
          <t>OriginalLoanNumber</t>
        </is>
      </c>
      <c r="Y8" s="118" t="n"/>
    </row>
    <row r="9" ht="19" customHeight="1" s="123">
      <c r="A9" s="144" t="inlineStr">
        <is>
          <t>2 · DATOS ECONÓMICOS DE LA DEUDA</t>
        </is>
      </c>
      <c r="B9" s="131" t="n"/>
      <c r="C9" s="131" t="n"/>
      <c r="D9" s="131" t="n"/>
      <c r="E9" s="131" t="n"/>
      <c r="F9" s="131" t="n"/>
      <c r="G9" s="131" t="n"/>
      <c r="H9" s="131" t="n"/>
      <c r="I9" s="131" t="n"/>
      <c r="J9" s="131" t="n"/>
      <c r="K9" s="131" t="n"/>
      <c r="L9" s="131" t="n"/>
      <c r="M9" s="132" t="n"/>
      <c r="O9" s="144" t="inlineStr">
        <is>
          <t>4 · PARÁMETROS DE SUBASTA</t>
        </is>
      </c>
      <c r="P9" s="131" t="n"/>
      <c r="Q9" s="131" t="n"/>
      <c r="R9" s="131" t="n"/>
      <c r="S9" s="131" t="n"/>
      <c r="T9" s="131" t="n"/>
      <c r="U9" s="131" t="n"/>
      <c r="V9" s="131" t="n"/>
      <c r="W9" s="131" t="n"/>
      <c r="X9" s="131" t="n"/>
      <c r="Y9" s="131" t="n"/>
      <c r="Z9" s="131" t="n"/>
      <c r="AA9" s="132" t="n"/>
    </row>
    <row r="10">
      <c r="A10" s="135" t="inlineStr">
        <is>
          <t>Principal (€)</t>
        </is>
      </c>
      <c r="B10" s="131" t="n"/>
      <c r="C10" s="132" t="n"/>
      <c r="D10" s="192" t="n">
        <v>46266.52</v>
      </c>
      <c r="E10" s="131" t="n"/>
      <c r="F10" s="132" t="n"/>
      <c r="H10" s="135" t="inlineStr">
        <is>
          <t>Total Deuda A.D.E. (€)</t>
        </is>
      </c>
      <c r="I10" s="131" t="n"/>
      <c r="J10" s="132" t="n"/>
      <c r="K10" s="193">
        <f>SUM($D$10:$D$13)</f>
        <v/>
      </c>
      <c r="L10" s="131" t="n"/>
      <c r="M10" s="132" t="n"/>
      <c r="O10" s="135" t="inlineStr">
        <is>
          <t>Law 1/2025 Regime (Y/N)</t>
        </is>
      </c>
      <c r="P10" s="131" t="n"/>
      <c r="Q10" s="132" t="n"/>
      <c r="R10" s="130" t="inlineStr">
        <is>
          <t>Y</t>
        </is>
      </c>
      <c r="S10" s="131" t="n"/>
      <c r="T10" s="132" t="n"/>
      <c r="V10" s="135" t="inlineStr">
        <is>
          <t>ExecutionOrderAmount (€)</t>
        </is>
      </c>
      <c r="W10" s="131" t="n"/>
      <c r="X10" s="132" t="n"/>
      <c r="Y10" s="192" t="n">
        <v>60000</v>
      </c>
      <c r="Z10" s="131" t="n"/>
      <c r="AA10" s="132" t="n"/>
    </row>
    <row r="11">
      <c r="A11" s="135" t="inlineStr">
        <is>
          <t>Interest (€)</t>
        </is>
      </c>
      <c r="B11" s="131" t="n"/>
      <c r="C11" s="132" t="n"/>
      <c r="D11" s="192" t="n">
        <v>1983.67</v>
      </c>
      <c r="E11" s="131" t="n"/>
      <c r="F11" s="132" t="n"/>
      <c r="H11" s="135" t="inlineStr">
        <is>
          <t>UpdatedInterestAmount (€)</t>
        </is>
      </c>
      <c r="I11" s="131" t="n"/>
      <c r="J11" s="132" t="n"/>
      <c r="K11" s="194">
        <f>'Cálculo Intereses'!$D$21</f>
        <v/>
      </c>
      <c r="L11" s="131" t="n"/>
      <c r="M11" s="132" t="n"/>
      <c r="O11" s="135" t="inlineStr">
        <is>
          <t>BudgetAmount (€)</t>
        </is>
      </c>
      <c r="P11" s="131" t="n"/>
      <c r="Q11" s="132" t="n"/>
      <c r="R11" s="192" t="n">
        <v>5000</v>
      </c>
      <c r="S11" s="131" t="n"/>
      <c r="T11" s="132" t="n"/>
      <c r="V11" s="135" t="inlineStr">
        <is>
          <t>Total presupuesto (techo REOCO) (€)</t>
        </is>
      </c>
      <c r="W11" s="131" t="n"/>
      <c r="X11" s="132" t="n"/>
      <c r="Y11" s="193">
        <f>IF($Y$10+$R$11=0,$K$10,$Y$10+$R$11)</f>
        <v/>
      </c>
      <c r="Z11" s="131" t="n"/>
      <c r="AA11" s="132" t="n"/>
    </row>
    <row r="12">
      <c r="A12" s="135" t="inlineStr">
        <is>
          <t>PenaltyInterest (€)</t>
        </is>
      </c>
      <c r="B12" s="131" t="n"/>
      <c r="C12" s="132" t="n"/>
      <c r="D12" s="192" t="n">
        <v>5000</v>
      </c>
      <c r="E12" s="131" t="n"/>
      <c r="F12" s="132" t="n"/>
      <c r="H12" s="135" t="inlineStr">
        <is>
          <t>Costas (tope 5% si VH) (€)</t>
        </is>
      </c>
      <c r="I12" s="131" t="n"/>
      <c r="J12" s="132" t="n"/>
      <c r="K12" s="193">
        <f>IF($D$17=0,$D$14,MIN(($K$10*0.05),IF($D$14&gt;0,$D$14,$K$10*0.05)))</f>
        <v/>
      </c>
      <c r="L12" s="131" t="n"/>
      <c r="M12" s="132" t="n"/>
      <c r="O12" s="135" t="inlineStr">
        <is>
          <t>Comentarios</t>
        </is>
      </c>
      <c r="P12" s="131" t="n"/>
      <c r="Q12" s="132" t="n"/>
      <c r="R12" s="156" t="inlineStr">
        <is>
          <t>ANOTADOS EMBARGOS POSTERIORES A FAVOR DE LA TGSS</t>
        </is>
      </c>
      <c r="S12" s="125" t="n"/>
      <c r="T12" s="125" t="n"/>
      <c r="U12" s="125" t="n"/>
      <c r="V12" s="125" t="n"/>
      <c r="W12" s="125" t="n"/>
      <c r="X12" s="125" t="n"/>
      <c r="Y12" s="125" t="n"/>
      <c r="Z12" s="125" t="n"/>
      <c r="AA12" s="126" t="n"/>
    </row>
    <row r="13">
      <c r="A13" s="135" t="inlineStr">
        <is>
          <t>Expenses (€)</t>
        </is>
      </c>
      <c r="B13" s="131" t="n"/>
      <c r="C13" s="132" t="n"/>
      <c r="D13" s="192" t="n">
        <v>1000</v>
      </c>
      <c r="E13" s="131" t="n"/>
      <c r="F13" s="132" t="n"/>
      <c r="H13" s="135" t="inlineStr">
        <is>
          <t>TOTAL DEUDA (€)</t>
        </is>
      </c>
      <c r="I13" s="131" t="n"/>
      <c r="J13" s="132" t="n"/>
      <c r="K13" s="195">
        <f>$K$10+$K$11+IF($D$17&gt;0,$K$12,$D$14)</f>
        <v/>
      </c>
      <c r="L13" s="147" t="n"/>
      <c r="M13" s="148" t="n"/>
      <c r="R13" s="127" t="n"/>
      <c r="S13" s="128" t="n"/>
      <c r="T13" s="128" t="n"/>
      <c r="U13" s="128" t="n"/>
      <c r="V13" s="128" t="n"/>
      <c r="W13" s="128" t="n"/>
      <c r="X13" s="128" t="n"/>
      <c r="Y13" s="128" t="n"/>
      <c r="Z13" s="128" t="n"/>
      <c r="AA13" s="129" t="n"/>
    </row>
    <row r="14">
      <c r="A14" s="135" t="inlineStr">
        <is>
          <t>JudicialCostsAmount (€)</t>
        </is>
      </c>
      <c r="B14" s="131" t="n"/>
      <c r="C14" s="132" t="n"/>
      <c r="D14" s="192" t="n">
        <v>0</v>
      </c>
      <c r="E14" s="131" t="n"/>
      <c r="F14" s="132" t="n"/>
      <c r="H14" s="135" t="inlineStr">
        <is>
          <t>SecondLienAmount (€)</t>
        </is>
      </c>
      <c r="I14" s="131" t="n"/>
      <c r="J14" s="132" t="n"/>
      <c r="K14" s="192" t="n">
        <v>100000</v>
      </c>
      <c r="L14" s="131" t="n"/>
      <c r="M14" s="132" t="n"/>
    </row>
    <row r="15" ht="19" customHeight="1" s="123">
      <c r="A15" s="135" t="inlineStr">
        <is>
          <t>AccountClosureDate</t>
        </is>
      </c>
      <c r="B15" s="131" t="n"/>
      <c r="C15" s="132" t="n"/>
      <c r="D15" s="141" t="n">
        <v>41144</v>
      </c>
      <c r="E15" s="131" t="n"/>
      <c r="F15" s="132" t="n"/>
      <c r="H15" s="135" t="inlineStr">
        <is>
          <t>ThirdLienAmount (€)</t>
        </is>
      </c>
      <c r="I15" s="131" t="n"/>
      <c r="J15" s="132" t="n"/>
      <c r="K15" s="192" t="n">
        <v>0</v>
      </c>
      <c r="L15" s="131" t="n"/>
      <c r="M15" s="132" t="n"/>
      <c r="O15" s="144" t="inlineStr">
        <is>
          <t>DATOS DE DEVENGO (informativo)</t>
        </is>
      </c>
      <c r="P15" s="131" t="n"/>
      <c r="Q15" s="131" t="n"/>
      <c r="R15" s="131" t="n"/>
      <c r="S15" s="131" t="n"/>
      <c r="T15" s="131" t="n"/>
      <c r="U15" s="131" t="n"/>
      <c r="V15" s="131" t="n"/>
      <c r="W15" s="131" t="n"/>
      <c r="X15" s="131" t="n"/>
      <c r="Y15" s="131" t="n"/>
      <c r="Z15" s="131" t="n"/>
      <c r="AA15" s="132" t="n"/>
    </row>
    <row r="16">
      <c r="A16" s="135" t="inlineStr">
        <is>
          <t>CalculationDate</t>
        </is>
      </c>
      <c r="B16" s="131" t="n"/>
      <c r="C16" s="132" t="n"/>
      <c r="D16" s="141" t="n">
        <v>46922</v>
      </c>
      <c r="E16" s="131" t="n"/>
      <c r="F16" s="132" t="n"/>
      <c r="H16" s="135" t="inlineStr">
        <is>
          <t>TOTAL DEUDAS (con cargas) (€)</t>
        </is>
      </c>
      <c r="I16" s="131" t="n"/>
      <c r="J16" s="132" t="n"/>
      <c r="K16" s="195">
        <f>$K$13+$K$14+$K$15</f>
        <v/>
      </c>
      <c r="L16" s="147" t="n"/>
      <c r="M16" s="148" t="n"/>
      <c r="O16" s="135" t="inlineStr">
        <is>
          <t>Días de devengo</t>
        </is>
      </c>
      <c r="P16" s="131" t="n"/>
      <c r="Q16" s="132" t="n"/>
      <c r="R16" s="149">
        <f>IF(AND(ISNUMBER($D$16),ISNUMBER($D$15)),$D$16-$D$15,0)</f>
        <v/>
      </c>
      <c r="S16" s="131" t="n"/>
      <c r="T16" s="132" t="n"/>
      <c r="V16" s="135" t="inlineStr">
        <is>
          <t>Nº de tramos (interés)</t>
        </is>
      </c>
      <c r="W16" s="131" t="n"/>
      <c r="X16" s="132" t="n"/>
      <c r="Y16" s="140">
        <f>'Cálculo Intereses'!$D$23</f>
        <v/>
      </c>
      <c r="Z16" s="131" t="n"/>
      <c r="AA16" s="132" t="n"/>
    </row>
    <row r="17">
      <c r="A17" s="135" t="inlineStr">
        <is>
          <t>Nº fincas vivienda habitual</t>
        </is>
      </c>
      <c r="B17" s="131" t="n"/>
      <c r="C17" s="132" t="n"/>
      <c r="D17" s="149">
        <f>COUNTIF(B30:B59,"Y")</f>
        <v/>
      </c>
      <c r="E17" s="131" t="n"/>
      <c r="F17" s="132" t="n"/>
      <c r="H17" s="135" t="inlineStr">
        <is>
          <t>Cash out (1ª finca) (€)</t>
        </is>
      </c>
      <c r="I17" s="131" t="n"/>
      <c r="J17" s="132" t="n"/>
      <c r="K17" s="193">
        <f>W30</f>
        <v/>
      </c>
      <c r="L17" s="131" t="n"/>
      <c r="M17" s="132" t="n"/>
      <c r="O17" s="135" t="inlineStr">
        <is>
          <t>Tipo medio aplicado</t>
        </is>
      </c>
      <c r="P17" s="131" t="n"/>
      <c r="Q17" s="132" t="n"/>
      <c r="R17" s="145">
        <f>'Cálculo Intereses'!$D$24</f>
        <v/>
      </c>
      <c r="S17" s="131" t="n"/>
      <c r="T17" s="132" t="n"/>
      <c r="V17" s="135" t="inlineStr">
        <is>
          <t>Régimen del tipo</t>
        </is>
      </c>
      <c r="W17" s="131" t="n"/>
      <c r="X17" s="132" t="n"/>
      <c r="Y17" s="140">
        <f>'Cálculo Intereses'!$D$18</f>
        <v/>
      </c>
      <c r="Z17" s="131" t="n"/>
      <c r="AA17" s="132" t="n"/>
    </row>
    <row r="19" ht="19" customHeight="1" s="123">
      <c r="A19" s="144" t="inlineStr">
        <is>
          <t>3 · PARÁMETROS DE INTERÉS  (cálculo automático en «Cálculo Intereses»)</t>
        </is>
      </c>
      <c r="B19" s="131" t="n"/>
      <c r="C19" s="131" t="n"/>
      <c r="D19" s="131" t="n"/>
      <c r="E19" s="131" t="n"/>
      <c r="F19" s="131" t="n"/>
      <c r="G19" s="131" t="n"/>
      <c r="H19" s="131" t="n"/>
      <c r="I19" s="131" t="n"/>
      <c r="J19" s="131" t="n"/>
      <c r="K19" s="131" t="n"/>
      <c r="L19" s="131" t="n"/>
      <c r="M19" s="132" t="n"/>
      <c r="O19" s="144" t="inlineStr">
        <is>
          <t>5 · CHECK-LIST PROCESAL</t>
        </is>
      </c>
      <c r="P19" s="131" t="n"/>
      <c r="Q19" s="131" t="n"/>
      <c r="R19" s="131" t="n"/>
      <c r="S19" s="131" t="n"/>
      <c r="T19" s="131" t="n"/>
      <c r="U19" s="131" t="n"/>
      <c r="V19" s="131" t="n"/>
      <c r="W19" s="131" t="n"/>
      <c r="X19" s="131" t="n"/>
      <c r="Y19" s="131" t="n"/>
      <c r="Z19" s="131" t="n"/>
      <c r="AA19" s="132" t="n"/>
    </row>
    <row r="20" ht="15.75" customHeight="1" s="123">
      <c r="A20" s="135" t="inlineStr">
        <is>
          <t>Mode</t>
        </is>
      </c>
      <c r="B20" s="131" t="n"/>
      <c r="C20" s="132" t="n"/>
      <c r="D20" s="130" t="inlineStr">
        <is>
          <t>FIJO</t>
        </is>
      </c>
      <c r="E20" s="131" t="n"/>
      <c r="F20" s="132" t="n"/>
      <c r="H20" s="135" t="inlineStr">
        <is>
          <t>ReferenceRate (BdE)</t>
        </is>
      </c>
      <c r="I20" s="131" t="n"/>
      <c r="J20" s="132" t="n"/>
      <c r="K20" s="134" t="inlineStr">
        <is>
          <t>Euríbor a 12 meses</t>
        </is>
      </c>
      <c r="L20" s="131" t="n"/>
      <c r="M20" s="132" t="n"/>
      <c r="O20" s="135" t="inlineStr">
        <is>
          <t>Certificación de cargas</t>
        </is>
      </c>
      <c r="P20" s="131" t="n"/>
      <c r="Q20" s="131" t="n"/>
      <c r="R20" s="131" t="n"/>
      <c r="S20" s="131" t="n"/>
      <c r="T20" s="131" t="n"/>
      <c r="U20" s="131" t="n"/>
      <c r="V20" s="131" t="n"/>
      <c r="W20" s="131" t="n"/>
      <c r="X20" s="132" t="n"/>
      <c r="Y20" s="139" t="inlineStr">
        <is>
          <t>✗</t>
        </is>
      </c>
      <c r="Z20" s="131" t="n"/>
      <c r="AA20" s="132" t="n"/>
    </row>
    <row r="21" ht="15.75" customHeight="1" s="123">
      <c r="A21" s="135" t="inlineStr">
        <is>
          <t>Personado / Consumidor (Consumer)</t>
        </is>
      </c>
      <c r="B21" s="131" t="n"/>
      <c r="C21" s="132" t="n"/>
      <c r="D21" s="134" t="inlineStr">
        <is>
          <t>N</t>
        </is>
      </c>
      <c r="E21" s="131" t="n"/>
      <c r="F21" s="132" t="n"/>
      <c r="H21" s="135" t="inlineStr">
        <is>
          <t>DifferentialRate (puntos)</t>
        </is>
      </c>
      <c r="I21" s="131" t="n"/>
      <c r="J21" s="132" t="n"/>
      <c r="K21" s="137" t="n">
        <v>1.4</v>
      </c>
      <c r="L21" s="131" t="n"/>
      <c r="M21" s="132" t="n"/>
      <c r="O21" s="135" t="inlineStr">
        <is>
          <t>Notificación a deudores</t>
        </is>
      </c>
      <c r="P21" s="131" t="n"/>
      <c r="Q21" s="131" t="n"/>
      <c r="R21" s="131" t="n"/>
      <c r="S21" s="131" t="n"/>
      <c r="T21" s="131" t="n"/>
      <c r="U21" s="131" t="n"/>
      <c r="V21" s="131" t="n"/>
      <c r="W21" s="131" t="n"/>
      <c r="X21" s="132" t="n"/>
      <c r="Y21" s="139" t="inlineStr">
        <is>
          <t>✗</t>
        </is>
      </c>
      <c r="Z21" s="131" t="n"/>
      <c r="AA21" s="132" t="n"/>
    </row>
    <row r="22" ht="15.75" customHeight="1" s="123">
      <c r="A22" s="135" t="inlineStr">
        <is>
          <t>InterestApplicableRate</t>
        </is>
      </c>
      <c r="B22" s="131" t="n"/>
      <c r="C22" s="132" t="n"/>
      <c r="D22" s="196" t="n">
        <v>0.06852999999999999</v>
      </c>
      <c r="E22" s="131" t="n"/>
      <c r="F22" s="132" t="n"/>
      <c r="H22" s="135" t="inlineStr">
        <is>
          <t>UpdateRateFrequency (meses)</t>
        </is>
      </c>
      <c r="I22" s="131" t="n"/>
      <c r="J22" s="132" t="n"/>
      <c r="K22" s="134" t="n">
        <v>6</v>
      </c>
      <c r="L22" s="131" t="n"/>
      <c r="M22" s="132" t="n"/>
      <c r="O22" s="135" t="inlineStr">
        <is>
          <t>Demandados titulares registrales</t>
        </is>
      </c>
      <c r="P22" s="131" t="n"/>
      <c r="Q22" s="131" t="n"/>
      <c r="R22" s="131" t="n"/>
      <c r="S22" s="131" t="n"/>
      <c r="T22" s="131" t="n"/>
      <c r="U22" s="131" t="n"/>
      <c r="V22" s="131" t="n"/>
      <c r="W22" s="131" t="n"/>
      <c r="X22" s="132" t="n"/>
      <c r="Y22" s="139" t="inlineStr">
        <is>
          <t>✗</t>
        </is>
      </c>
      <c r="Z22" s="131" t="n"/>
      <c r="AA22" s="132" t="n"/>
    </row>
    <row r="23" ht="15.75" customHeight="1" s="123">
      <c r="A23" s="135" t="inlineStr">
        <is>
          <t>PenaltyInterestApplicableRate</t>
        </is>
      </c>
      <c r="B23" s="131" t="n"/>
      <c r="C23" s="132" t="n"/>
      <c r="D23" s="196" t="n">
        <v>0.2</v>
      </c>
      <c r="E23" s="131" t="n"/>
      <c r="F23" s="132" t="n"/>
      <c r="H23" s="135" t="inlineStr">
        <is>
          <t>LastRateUpdateDate</t>
        </is>
      </c>
      <c r="I23" s="131" t="n"/>
      <c r="J23" s="132" t="n"/>
      <c r="K23" s="141" t="n">
        <v>43814</v>
      </c>
      <c r="L23" s="131" t="n"/>
      <c r="M23" s="132" t="n"/>
      <c r="O23" s="135" t="inlineStr">
        <is>
          <t>Revisión completa del edicto</t>
        </is>
      </c>
      <c r="P23" s="131" t="n"/>
      <c r="Q23" s="131" t="n"/>
      <c r="R23" s="131" t="n"/>
      <c r="S23" s="131" t="n"/>
      <c r="T23" s="131" t="n"/>
      <c r="U23" s="131" t="n"/>
      <c r="V23" s="131" t="n"/>
      <c r="W23" s="131" t="n"/>
      <c r="X23" s="132" t="n"/>
      <c r="Y23" s="139" t="inlineStr">
        <is>
          <t>✗</t>
        </is>
      </c>
      <c r="Z23" s="131" t="n"/>
      <c r="AA23" s="132" t="n"/>
    </row>
    <row r="24" ht="15.75" customHeight="1" s="123">
      <c r="A24" s="135" t="inlineStr">
        <is>
          <t>NegativeRatesToZero</t>
        </is>
      </c>
      <c r="B24" s="131" t="n"/>
      <c r="C24" s="132" t="n"/>
      <c r="D24" s="134" t="inlineStr">
        <is>
          <t>Sí</t>
        </is>
      </c>
      <c r="E24" s="131" t="n"/>
      <c r="F24" s="132" t="n"/>
      <c r="H24" s="135" t="inlineStr">
        <is>
          <t>RateDelay (meses)</t>
        </is>
      </c>
      <c r="I24" s="131" t="n"/>
      <c r="J24" s="132" t="n"/>
      <c r="K24" s="134" t="n">
        <v>1</v>
      </c>
      <c r="L24" s="131" t="n"/>
      <c r="M24" s="132" t="n"/>
      <c r="O24" s="135" t="inlineStr">
        <is>
          <t>Revisión nulidades / cláusulas abusivas</t>
        </is>
      </c>
      <c r="P24" s="131" t="n"/>
      <c r="Q24" s="131" t="n"/>
      <c r="R24" s="131" t="n"/>
      <c r="S24" s="131" t="n"/>
      <c r="T24" s="131" t="n"/>
      <c r="U24" s="131" t="n"/>
      <c r="V24" s="131" t="n"/>
      <c r="W24" s="131" t="n"/>
      <c r="X24" s="132" t="n"/>
      <c r="Y24" s="139" t="inlineStr">
        <is>
          <t>✗</t>
        </is>
      </c>
      <c r="Z24" s="131" t="n"/>
      <c r="AA24" s="132" t="n"/>
    </row>
    <row r="25" ht="15.75" customHeight="1" s="123">
      <c r="O25" s="135" t="inlineStr">
        <is>
          <t>Pagos realizados</t>
        </is>
      </c>
      <c r="P25" s="131" t="n"/>
      <c r="Q25" s="131" t="n"/>
      <c r="R25" s="131" t="n"/>
      <c r="S25" s="131" t="n"/>
      <c r="T25" s="131" t="n"/>
      <c r="U25" s="131" t="n"/>
      <c r="V25" s="131" t="n"/>
      <c r="W25" s="131" t="n"/>
      <c r="X25" s="132" t="n"/>
      <c r="Y25" s="139" t="inlineStr">
        <is>
          <t>✗</t>
        </is>
      </c>
      <c r="Z25" s="131" t="n"/>
      <c r="AA25" s="132" t="n"/>
    </row>
    <row r="27" ht="19" customHeight="1" s="123">
      <c r="A27" s="144" t="inlineStr">
        <is>
          <t>6 · DETALLE POR FINCA — responsabilidad hipotecaria, distribución de deuda y pujas</t>
        </is>
      </c>
      <c r="B27" s="131" t="n"/>
      <c r="C27" s="131" t="n"/>
      <c r="D27" s="131" t="n"/>
      <c r="E27" s="131" t="n"/>
      <c r="F27" s="131" t="n"/>
      <c r="G27" s="131" t="n"/>
      <c r="H27" s="131" t="n"/>
      <c r="I27" s="131" t="n"/>
      <c r="J27" s="131" t="n"/>
      <c r="K27" s="131" t="n"/>
      <c r="L27" s="131" t="n"/>
      <c r="M27" s="131" t="n"/>
      <c r="N27" s="131" t="n"/>
      <c r="O27" s="131" t="n"/>
      <c r="P27" s="131" t="n"/>
      <c r="Q27" s="131" t="n"/>
      <c r="R27" s="131" t="n"/>
      <c r="S27" s="131" t="n"/>
      <c r="T27" s="131" t="n"/>
      <c r="U27" s="131" t="n"/>
      <c r="V27" s="131" t="n"/>
      <c r="W27" s="131" t="n"/>
      <c r="X27" s="131" t="n"/>
      <c r="Y27" s="131" t="n"/>
      <c r="Z27" s="131" t="n"/>
      <c r="AA27" s="131" t="n"/>
      <c r="AB27" s="131" t="n"/>
      <c r="AC27" s="131" t="n"/>
      <c r="AD27" s="131" t="n"/>
      <c r="AE27" s="132" t="n"/>
    </row>
    <row r="28" ht="15" customHeight="1" s="123">
      <c r="A28" s="138" t="inlineStr">
        <is>
          <t>IDENTIFICACIÓN</t>
        </is>
      </c>
      <c r="B28" s="131" t="n"/>
      <c r="C28" s="131" t="n"/>
      <c r="D28" s="132" t="n"/>
      <c r="E28" s="138" t="inlineStr">
        <is>
          <t>% del tipo de subasta</t>
        </is>
      </c>
      <c r="F28" s="131" t="n"/>
      <c r="G28" s="131" t="n"/>
      <c r="H28" s="132" t="n"/>
      <c r="I28" s="138" t="inlineStr">
        <is>
          <t>RESP. HIPOTECARIA MÁX. (límites registrales)</t>
        </is>
      </c>
      <c r="J28" s="131" t="n"/>
      <c r="K28" s="131" t="n"/>
      <c r="L28" s="131" t="n"/>
      <c r="M28" s="132" t="n"/>
      <c r="N28" s="138" t="inlineStr">
        <is>
          <t>Peso</t>
        </is>
      </c>
      <c r="O28" s="138" t="inlineStr">
        <is>
          <t>DISTRIBUCIÓN DE LA DEUDA</t>
        </is>
      </c>
      <c r="P28" s="131" t="n"/>
      <c r="Q28" s="131" t="n"/>
      <c r="R28" s="131" t="n"/>
      <c r="S28" s="132" t="n"/>
      <c r="T28" s="138" t="inlineStr">
        <is>
          <t>Cargas/Total</t>
        </is>
      </c>
      <c r="U28" s="132" t="n"/>
      <c r="V28" s="138" t="inlineStr">
        <is>
          <t>ESC. LOANCO</t>
        </is>
      </c>
      <c r="W28" s="132" t="n"/>
      <c r="X28" s="138" t="inlineStr">
        <is>
          <t>ESC. REOCO</t>
        </is>
      </c>
      <c r="Y28" s="132" t="n"/>
      <c r="Z28" s="138" t="inlineStr">
        <is>
          <t>DATOS REGISTRALES</t>
        </is>
      </c>
      <c r="AA28" s="131" t="n"/>
      <c r="AB28" s="131" t="n"/>
      <c r="AC28" s="131" t="n"/>
      <c r="AD28" s="131" t="n"/>
      <c r="AE28" s="132" t="n"/>
    </row>
    <row r="29" ht="34" customHeight="1" s="123">
      <c r="A29" s="4" t="inlineStr">
        <is>
          <t>PropertyID</t>
        </is>
      </c>
      <c r="B29" s="4" t="inlineStr">
        <is>
          <t>IsFirstResidence</t>
        </is>
      </c>
      <c r="C29" s="4" t="inlineStr">
        <is>
          <t>LoancoReoco</t>
        </is>
      </c>
      <c r="D29" s="4" t="inlineStr">
        <is>
          <t>BaseAmount</t>
        </is>
      </c>
      <c r="E29" s="4" t="inlineStr">
        <is>
          <t>70% t.s.</t>
        </is>
      </c>
      <c r="F29" s="4" t="inlineStr">
        <is>
          <t>60% t.s.</t>
        </is>
      </c>
      <c r="G29" s="4" t="inlineStr">
        <is>
          <t>50% t.s.</t>
        </is>
      </c>
      <c r="H29" s="4" t="inlineStr">
        <is>
          <t>40% t.s.</t>
        </is>
      </c>
      <c r="I29" s="4" t="inlineStr">
        <is>
          <t>Capital (MSA)</t>
        </is>
      </c>
      <c r="J29" s="4" t="inlineStr">
        <is>
          <t>Interest (MSA)</t>
        </is>
      </c>
      <c r="K29" s="4" t="inlineStr">
        <is>
          <t>PenaltyInterest (MSA)</t>
        </is>
      </c>
      <c r="L29" s="4" t="inlineStr">
        <is>
          <t>OtherExp+JudCosts (MSA)</t>
        </is>
      </c>
      <c r="M29" s="4" t="inlineStr">
        <is>
          <t>TOTAL RRHH</t>
        </is>
      </c>
      <c r="N29" s="4" t="inlineStr">
        <is>
          <t>% peso</t>
        </is>
      </c>
      <c r="O29" s="4" t="inlineStr">
        <is>
          <t>Capital deuda</t>
        </is>
      </c>
      <c r="P29" s="4" t="inlineStr">
        <is>
          <t>Ordinarios deuda</t>
        </is>
      </c>
      <c r="Q29" s="4" t="inlineStr">
        <is>
          <t>Moratorios + LI</t>
        </is>
      </c>
      <c r="R29" s="4" t="inlineStr">
        <is>
          <t>Costas y comis.</t>
        </is>
      </c>
      <c r="S29" s="4" t="inlineStr">
        <is>
          <t>TOTAL DEBT</t>
        </is>
      </c>
      <c r="T29" s="4" t="inlineStr">
        <is>
          <t>Cargas post.</t>
        </is>
      </c>
      <c r="U29" s="4" t="inlineStr">
        <is>
          <t>TOTAL + cargas</t>
        </is>
      </c>
      <c r="V29" s="4" t="inlineStr">
        <is>
          <t>Puja Mín. LOANCO</t>
        </is>
      </c>
      <c r="W29" s="4" t="inlineStr">
        <is>
          <t>Cash out LOANCO</t>
        </is>
      </c>
      <c r="X29" s="4" t="inlineStr">
        <is>
          <t>Puja Mín. REOCO</t>
        </is>
      </c>
      <c r="Y29" s="4" t="inlineStr">
        <is>
          <t>Cash out REOCO</t>
        </is>
      </c>
      <c r="Z29" s="4" t="inlineStr">
        <is>
          <t>CadastralReference</t>
        </is>
      </c>
      <c r="AA29" s="4" t="inlineStr">
        <is>
          <t>Registro Propiedad</t>
        </is>
      </c>
      <c r="AB29" s="4" t="inlineStr">
        <is>
          <t>Tomo/Libro/Folio</t>
        </is>
      </c>
      <c r="AC29" s="4" t="inlineStr">
        <is>
          <t>Dirección</t>
        </is>
      </c>
      <c r="AD29" s="4" t="inlineStr">
        <is>
          <t>Titularidad</t>
        </is>
      </c>
      <c r="AE29" s="4" t="inlineStr">
        <is>
          <t>Cargas anteriores</t>
        </is>
      </c>
    </row>
    <row r="30">
      <c r="A30" s="5" t="n">
        <v>37409</v>
      </c>
      <c r="B30" s="5" t="inlineStr">
        <is>
          <t>Y</t>
        </is>
      </c>
      <c r="C30" s="5" t="inlineStr">
        <is>
          <t>Loanco</t>
        </is>
      </c>
      <c r="D30" s="6" t="n">
        <v>83761.17</v>
      </c>
      <c r="E30" s="197">
        <f>+$D30*0.7</f>
        <v/>
      </c>
      <c r="F30" s="197">
        <f>+$D30*0.6</f>
        <v/>
      </c>
      <c r="G30" s="197">
        <f>+$D30*0.5</f>
        <v/>
      </c>
      <c r="H30" s="197">
        <f>+$D30*0.4</f>
        <v/>
      </c>
      <c r="I30" s="198" t="n">
        <v>200000</v>
      </c>
      <c r="J30" s="198" t="n">
        <v>11875</v>
      </c>
      <c r="K30" s="198" t="n">
        <v>35150</v>
      </c>
      <c r="L30" s="198" t="n">
        <v>9500</v>
      </c>
      <c r="M30" s="197">
        <f>SUM(I30:L30)</f>
        <v/>
      </c>
      <c r="N30" s="8">
        <f>IFERROR(M30/SUM($M$30:$M$59),0)</f>
        <v/>
      </c>
      <c r="O30" s="197">
        <f>MIN(I30,$D$10*N30)</f>
        <v/>
      </c>
      <c r="P30" s="197">
        <f>MIN($D$11*N30,J30)</f>
        <v/>
      </c>
      <c r="Q30" s="197">
        <f>MIN(K30,($D$12+$K$11)*N30)</f>
        <v/>
      </c>
      <c r="R30" s="7">
        <f>MIN(($K$12+$D$13)*N30,L30)</f>
        <v/>
      </c>
      <c r="S30" s="197">
        <f>SUM(O30:R30)</f>
        <v/>
      </c>
      <c r="T30" s="197">
        <f>($K$14+$K$15)*N30</f>
        <v/>
      </c>
      <c r="U30" s="197">
        <f>S30+T30</f>
        <v/>
      </c>
      <c r="V30" s="197">
        <f>IF($R$10="Y",IF(A30=0,0,IF(B30="N",MIN(G30,IF(H30&lt;S30,S30,H30)),IF(B30="Y",MIN(E30,IF(F30&lt;S30,S30,F30))))),IF(B30="N",MIN(G30,S30),IF(E30&gt;S30,F30,E30)))</f>
        <v/>
      </c>
      <c r="W30" s="197">
        <f>IF(V30-U30&gt;0,U30-V30,0)</f>
        <v/>
      </c>
      <c r="X30" s="197">
        <f>IF(A30=0,0,IF($R$10="N",IF(W30&lt;0,MIN(G30+1,$Y$11),"No aplica"),"No aplica"))</f>
        <v/>
      </c>
      <c r="Y30" s="197">
        <f>IFERROR(IF(X30-U30&gt;0,U30-X30,0),0)</f>
        <v/>
      </c>
      <c r="Z30" s="5" t="n"/>
      <c r="AA30" s="5" t="n"/>
      <c r="AB30" s="5" t="n"/>
      <c r="AC30" s="5" t="n"/>
      <c r="AD30" s="5" t="n"/>
      <c r="AE30" s="5" t="n"/>
    </row>
    <row r="31">
      <c r="A31" s="5" t="n"/>
      <c r="B31" s="5" t="n"/>
      <c r="C31" s="5" t="n"/>
      <c r="D31" s="6" t="n"/>
      <c r="E31" s="197">
        <f>+$D31*0.7</f>
        <v/>
      </c>
      <c r="F31" s="197">
        <f>+$D31*0.6</f>
        <v/>
      </c>
      <c r="G31" s="197">
        <f>+$D31*0.5</f>
        <v/>
      </c>
      <c r="H31" s="197">
        <f>+$D31*0.4</f>
        <v/>
      </c>
      <c r="I31" s="198" t="n"/>
      <c r="J31" s="198" t="n"/>
      <c r="K31" s="198" t="n"/>
      <c r="L31" s="198" t="n"/>
      <c r="M31" s="197">
        <f>SUM(I31:L31)</f>
        <v/>
      </c>
      <c r="N31" s="8">
        <f>IFERROR(M31/SUM($M$30:$M$59),0)</f>
        <v/>
      </c>
      <c r="O31" s="197">
        <f>MIN(I31,$D$10*N31)</f>
        <v/>
      </c>
      <c r="P31" s="197">
        <f>MIN($D$11*N31,J31)</f>
        <v/>
      </c>
      <c r="Q31" s="197">
        <f>MIN(K31,($D$12+$K$11)*N31)</f>
        <v/>
      </c>
      <c r="R31" s="7">
        <f>MIN(($K$12+$D$13)*N31,L31)</f>
        <v/>
      </c>
      <c r="S31" s="197">
        <f>SUM(O31:R31)</f>
        <v/>
      </c>
      <c r="T31" s="197">
        <f>($K$14+$K$15)*N31</f>
        <v/>
      </c>
      <c r="U31" s="197">
        <f>S31+T31</f>
        <v/>
      </c>
      <c r="V31" s="197">
        <f>IF($R$10="Y",IF(A31=0,0,IF(B31="N",MIN(G31,IF(H31&lt;S31,S31,H31)),IF(B31="Y",MIN(E31,IF(F31&lt;S31,S31,F31))))),IF(B31="N",MIN(G31,S31),IF(E31&gt;S31,F31,E31)))</f>
        <v/>
      </c>
      <c r="W31" s="197">
        <f>IF(V31-U31&gt;0,U31-V31,0)</f>
        <v/>
      </c>
      <c r="X31" s="197">
        <f>IF(A31=0,0,IF($R$10="N",IF(W31&lt;0,MIN(G31+1,$Y$11),"No aplica"),"No aplica"))</f>
        <v/>
      </c>
      <c r="Y31" s="197">
        <f>IFERROR(IF(X31-U31&gt;0,U31-X31,0),0)</f>
        <v/>
      </c>
      <c r="Z31" s="5" t="n"/>
      <c r="AA31" s="5" t="n"/>
      <c r="AB31" s="5" t="n"/>
      <c r="AC31" s="5" t="n"/>
      <c r="AD31" s="5" t="n"/>
      <c r="AE31" s="5" t="n"/>
    </row>
    <row r="32">
      <c r="A32" s="5" t="n"/>
      <c r="B32" s="5" t="n"/>
      <c r="C32" s="5" t="n"/>
      <c r="D32" s="6" t="n"/>
      <c r="E32" s="197">
        <f>+$D32*0.7</f>
        <v/>
      </c>
      <c r="F32" s="197">
        <f>+$D32*0.6</f>
        <v/>
      </c>
      <c r="G32" s="197">
        <f>+$D32*0.5</f>
        <v/>
      </c>
      <c r="H32" s="197">
        <f>+$D32*0.4</f>
        <v/>
      </c>
      <c r="I32" s="198" t="n"/>
      <c r="J32" s="198" t="n"/>
      <c r="K32" s="198" t="n"/>
      <c r="L32" s="198" t="n"/>
      <c r="M32" s="197">
        <f>SUM(I32:L32)</f>
        <v/>
      </c>
      <c r="N32" s="8">
        <f>IFERROR(M32/SUM($M$30:$M$59),0)</f>
        <v/>
      </c>
      <c r="O32" s="197">
        <f>MIN(I32,$D$10*N32)</f>
        <v/>
      </c>
      <c r="P32" s="197">
        <f>MIN($D$11*N32,J32)</f>
        <v/>
      </c>
      <c r="Q32" s="197">
        <f>MIN(K32,($D$12+$K$11)*N32)</f>
        <v/>
      </c>
      <c r="R32" s="7">
        <f>MIN(($K$12+$D$13)*N32,L32)</f>
        <v/>
      </c>
      <c r="S32" s="197">
        <f>SUM(O32:R32)</f>
        <v/>
      </c>
      <c r="T32" s="197">
        <f>($K$14+$K$15)*N32</f>
        <v/>
      </c>
      <c r="U32" s="197">
        <f>S32+T32</f>
        <v/>
      </c>
      <c r="V32" s="197">
        <f>IF($R$10="Y",IF(A32=0,0,IF(B32="N",MIN(G32,IF(H32&lt;S32,S32,H32)),IF(B32="Y",MIN(E32,IF(F32&lt;S32,S32,F32))))),IF(B32="N",MIN(G32,S32),IF(E32&gt;S32,F32,E32)))</f>
        <v/>
      </c>
      <c r="W32" s="197">
        <f>IF(V32-U32&gt;0,U32-V32,0)</f>
        <v/>
      </c>
      <c r="X32" s="197">
        <f>IF(A32=0,0,IF($R$10="N",IF(W32&lt;0,MIN(G32+1,$Y$11),"No aplica"),"No aplica"))</f>
        <v/>
      </c>
      <c r="Y32" s="197">
        <f>IFERROR(IF(X32-U32&gt;0,U32-X32,0),0)</f>
        <v/>
      </c>
      <c r="Z32" s="5" t="n"/>
      <c r="AA32" s="5" t="n"/>
      <c r="AB32" s="5" t="n"/>
      <c r="AC32" s="5" t="n"/>
      <c r="AD32" s="5" t="n"/>
      <c r="AE32" s="5" t="n"/>
    </row>
    <row r="33">
      <c r="A33" s="5" t="n"/>
      <c r="B33" s="5" t="n"/>
      <c r="C33" s="5" t="n"/>
      <c r="D33" s="6" t="n"/>
      <c r="E33" s="197">
        <f>+$D33*0.7</f>
        <v/>
      </c>
      <c r="F33" s="197">
        <f>+$D33*0.6</f>
        <v/>
      </c>
      <c r="G33" s="197">
        <f>+$D33*0.5</f>
        <v/>
      </c>
      <c r="H33" s="197">
        <f>+$D33*0.4</f>
        <v/>
      </c>
      <c r="I33" s="198" t="n"/>
      <c r="J33" s="198" t="n"/>
      <c r="K33" s="198" t="n"/>
      <c r="L33" s="198" t="n"/>
      <c r="M33" s="197">
        <f>SUM(I33:L33)</f>
        <v/>
      </c>
      <c r="N33" s="8">
        <f>IFERROR(M33/SUM($M$30:$M$59),0)</f>
        <v/>
      </c>
      <c r="O33" s="197">
        <f>MIN(I33,$D$10*N33)</f>
        <v/>
      </c>
      <c r="P33" s="197">
        <f>MIN($D$11*N33,J33)</f>
        <v/>
      </c>
      <c r="Q33" s="197">
        <f>MIN(K33,($D$12+$K$11)*N33)</f>
        <v/>
      </c>
      <c r="R33" s="7">
        <f>MIN(($K$12+$D$13)*N33,L33)</f>
        <v/>
      </c>
      <c r="S33" s="197">
        <f>SUM(O33:R33)</f>
        <v/>
      </c>
      <c r="T33" s="197">
        <f>($K$14+$K$15)*N33</f>
        <v/>
      </c>
      <c r="U33" s="197">
        <f>S33+T33</f>
        <v/>
      </c>
      <c r="V33" s="197">
        <f>IF($R$10="Y",IF(A33=0,0,IF(B33="N",MIN(G33,IF(H33&lt;S33,S33,H33)),IF(B33="Y",MIN(E33,IF(F33&lt;S33,S33,F33))))),IF(B33="N",MIN(G33,S33),IF(E33&gt;S33,F33,E33)))</f>
        <v/>
      </c>
      <c r="W33" s="197">
        <f>IF(V33-U33&gt;0,U33-V33,0)</f>
        <v/>
      </c>
      <c r="X33" s="197">
        <f>IF(A33=0,0,IF($R$10="N",IF(W33&lt;0,MIN(G33+1,$Y$11),"No aplica"),"No aplica"))</f>
        <v/>
      </c>
      <c r="Y33" s="197">
        <f>IFERROR(IF(X33-U33&gt;0,U33-X33,0),0)</f>
        <v/>
      </c>
      <c r="Z33" s="5" t="n"/>
      <c r="AA33" s="5" t="n"/>
      <c r="AB33" s="5" t="n"/>
      <c r="AC33" s="5" t="n"/>
      <c r="AD33" s="5" t="n"/>
      <c r="AE33" s="5" t="n"/>
    </row>
    <row r="34">
      <c r="A34" s="5" t="n"/>
      <c r="B34" s="5" t="n"/>
      <c r="C34" s="5" t="n"/>
      <c r="D34" s="6" t="n"/>
      <c r="E34" s="197">
        <f>+$D34*0.7</f>
        <v/>
      </c>
      <c r="F34" s="197">
        <f>+$D34*0.6</f>
        <v/>
      </c>
      <c r="G34" s="197">
        <f>+$D34*0.5</f>
        <v/>
      </c>
      <c r="H34" s="197">
        <f>+$D34*0.4</f>
        <v/>
      </c>
      <c r="I34" s="198" t="n"/>
      <c r="J34" s="198" t="n"/>
      <c r="K34" s="198" t="n"/>
      <c r="L34" s="198" t="n"/>
      <c r="M34" s="197">
        <f>SUM(I34:L34)</f>
        <v/>
      </c>
      <c r="N34" s="8">
        <f>IFERROR(M34/SUM($M$30:$M$59),0)</f>
        <v/>
      </c>
      <c r="O34" s="197">
        <f>MIN(I34,$D$10*N34)</f>
        <v/>
      </c>
      <c r="P34" s="197">
        <f>MIN($D$11*N34,J34)</f>
        <v/>
      </c>
      <c r="Q34" s="197">
        <f>MIN(K34,($D$12+$K$11)*N34)</f>
        <v/>
      </c>
      <c r="R34" s="7">
        <f>MIN(($K$12+$D$13)*N34,L34)</f>
        <v/>
      </c>
      <c r="S34" s="197">
        <f>SUM(O34:R34)</f>
        <v/>
      </c>
      <c r="T34" s="197">
        <f>($K$14+$K$15)*N34</f>
        <v/>
      </c>
      <c r="U34" s="197">
        <f>S34+T34</f>
        <v/>
      </c>
      <c r="V34" s="197">
        <f>IF($R$10="Y",IF(A34=0,0,IF(B34="N",MIN(G34,IF(H34&lt;S34,S34,H34)),IF(B34="Y",MIN(E34,IF(F34&lt;S34,S34,F34))))),IF(B34="N",MIN(G34,S34),IF(E34&gt;S34,F34,E34)))</f>
        <v/>
      </c>
      <c r="W34" s="197">
        <f>IF(V34-U34&gt;0,U34-V34,0)</f>
        <v/>
      </c>
      <c r="X34" s="197">
        <f>IF(A34=0,0,IF($R$10="N",IF(W34&lt;0,MIN(G34+1,$Y$11),"No aplica"),"No aplica"))</f>
        <v/>
      </c>
      <c r="Y34" s="197">
        <f>IFERROR(IF(X34-U34&gt;0,U34-X34,0),0)</f>
        <v/>
      </c>
      <c r="Z34" s="5" t="n"/>
      <c r="AA34" s="5" t="n"/>
      <c r="AB34" s="5" t="n"/>
      <c r="AC34" s="5" t="n"/>
      <c r="AD34" s="5" t="n"/>
      <c r="AE34" s="5" t="n"/>
    </row>
    <row r="35">
      <c r="A35" s="5" t="n"/>
      <c r="B35" s="5" t="n"/>
      <c r="C35" s="5" t="n"/>
      <c r="D35" s="6" t="n"/>
      <c r="E35" s="197">
        <f>+$D35*0.7</f>
        <v/>
      </c>
      <c r="F35" s="197">
        <f>+$D35*0.6</f>
        <v/>
      </c>
      <c r="G35" s="197">
        <f>+$D35*0.5</f>
        <v/>
      </c>
      <c r="H35" s="197">
        <f>+$D35*0.4</f>
        <v/>
      </c>
      <c r="I35" s="198" t="n"/>
      <c r="J35" s="198" t="n"/>
      <c r="K35" s="198" t="n"/>
      <c r="L35" s="198" t="n"/>
      <c r="M35" s="197">
        <f>SUM(I35:L35)</f>
        <v/>
      </c>
      <c r="N35" s="8">
        <f>IFERROR(M35/SUM($M$30:$M$59),0)</f>
        <v/>
      </c>
      <c r="O35" s="197">
        <f>MIN(I35,$D$10*N35)</f>
        <v/>
      </c>
      <c r="P35" s="197">
        <f>MIN($D$11*N35,J35)</f>
        <v/>
      </c>
      <c r="Q35" s="197">
        <f>MIN(K35,($D$12+$K$11)*N35)</f>
        <v/>
      </c>
      <c r="R35" s="7">
        <f>MIN(($K$12+$D$13)*N35,L35)</f>
        <v/>
      </c>
      <c r="S35" s="197">
        <f>SUM(O35:R35)</f>
        <v/>
      </c>
      <c r="T35" s="197">
        <f>($K$14+$K$15)*N35</f>
        <v/>
      </c>
      <c r="U35" s="197">
        <f>S35+T35</f>
        <v/>
      </c>
      <c r="V35" s="197">
        <f>IF($R$10="Y",IF(A35=0,0,IF(B35="N",MIN(G35,IF(H35&lt;S35,S35,H35)),IF(B35="Y",MIN(E35,IF(F35&lt;S35,S35,F35))))),IF(B35="N",MIN(G35,S35),IF(E35&gt;S35,F35,E35)))</f>
        <v/>
      </c>
      <c r="W35" s="197">
        <f>IF(V35-U35&gt;0,U35-V35,0)</f>
        <v/>
      </c>
      <c r="X35" s="197">
        <f>IF(A35=0,0,IF($R$10="N",IF(W35&lt;0,MIN(G35+1,$Y$11),"No aplica"),"No aplica"))</f>
        <v/>
      </c>
      <c r="Y35" s="197">
        <f>IFERROR(IF(X35-U35&gt;0,U35-X35,0),0)</f>
        <v/>
      </c>
      <c r="Z35" s="5" t="n"/>
      <c r="AA35" s="5" t="n"/>
      <c r="AB35" s="5" t="n"/>
      <c r="AC35" s="5" t="n"/>
      <c r="AD35" s="5" t="n"/>
      <c r="AE35" s="5" t="n"/>
    </row>
    <row r="36">
      <c r="A36" s="5" t="n"/>
      <c r="B36" s="5" t="n"/>
      <c r="C36" s="5" t="n"/>
      <c r="D36" s="6" t="n"/>
      <c r="E36" s="197">
        <f>+$D36*0.7</f>
        <v/>
      </c>
      <c r="F36" s="197">
        <f>+$D36*0.6</f>
        <v/>
      </c>
      <c r="G36" s="197">
        <f>+$D36*0.5</f>
        <v/>
      </c>
      <c r="H36" s="197">
        <f>+$D36*0.4</f>
        <v/>
      </c>
      <c r="I36" s="198" t="n"/>
      <c r="J36" s="198" t="n"/>
      <c r="K36" s="198" t="n"/>
      <c r="L36" s="198" t="n"/>
      <c r="M36" s="197">
        <f>SUM(I36:L36)</f>
        <v/>
      </c>
      <c r="N36" s="8">
        <f>IFERROR(M36/SUM($M$30:$M$59),0)</f>
        <v/>
      </c>
      <c r="O36" s="197">
        <f>MIN(I36,$D$10*N36)</f>
        <v/>
      </c>
      <c r="P36" s="197">
        <f>MIN($D$11*N36,J36)</f>
        <v/>
      </c>
      <c r="Q36" s="197">
        <f>MIN(K36,($D$12+$K$11)*N36)</f>
        <v/>
      </c>
      <c r="R36" s="7">
        <f>MIN(($K$12+$D$13)*N36,L36)</f>
        <v/>
      </c>
      <c r="S36" s="197">
        <f>SUM(O36:R36)</f>
        <v/>
      </c>
      <c r="T36" s="197">
        <f>($K$14+$K$15)*N36</f>
        <v/>
      </c>
      <c r="U36" s="197">
        <f>S36+T36</f>
        <v/>
      </c>
      <c r="V36" s="197">
        <f>IF($R$10="Y",IF(A36=0,0,IF(B36="N",MIN(G36,IF(H36&lt;S36,S36,H36)),IF(B36="Y",MIN(E36,IF(F36&lt;S36,S36,F36))))),IF(B36="N",MIN(G36,S36),IF(E36&gt;S36,F36,E36)))</f>
        <v/>
      </c>
      <c r="W36" s="197">
        <f>IF(V36-U36&gt;0,U36-V36,0)</f>
        <v/>
      </c>
      <c r="X36" s="197">
        <f>IF(A36=0,0,IF($R$10="N",IF(W36&lt;0,MIN(G36+1,$Y$11),"No aplica"),"No aplica"))</f>
        <v/>
      </c>
      <c r="Y36" s="197">
        <f>IFERROR(IF(X36-U36&gt;0,U36-X36,0),0)</f>
        <v/>
      </c>
      <c r="Z36" s="5" t="n"/>
      <c r="AA36" s="5" t="n"/>
      <c r="AB36" s="5" t="n"/>
      <c r="AC36" s="5" t="n"/>
      <c r="AD36" s="5" t="n"/>
      <c r="AE36" s="5" t="n"/>
    </row>
    <row r="37">
      <c r="A37" s="5" t="n"/>
      <c r="B37" s="5" t="n"/>
      <c r="C37" s="5" t="n"/>
      <c r="D37" s="6" t="n"/>
      <c r="E37" s="197">
        <f>+$D37*0.7</f>
        <v/>
      </c>
      <c r="F37" s="197">
        <f>+$D37*0.6</f>
        <v/>
      </c>
      <c r="G37" s="197">
        <f>+$D37*0.5</f>
        <v/>
      </c>
      <c r="H37" s="197">
        <f>+$D37*0.4</f>
        <v/>
      </c>
      <c r="I37" s="198" t="n"/>
      <c r="J37" s="198" t="n"/>
      <c r="K37" s="198" t="n"/>
      <c r="L37" s="198" t="n"/>
      <c r="M37" s="197">
        <f>SUM(I37:L37)</f>
        <v/>
      </c>
      <c r="N37" s="8">
        <f>IFERROR(M37/SUM($M$30:$M$59),0)</f>
        <v/>
      </c>
      <c r="O37" s="197">
        <f>MIN(I37,$D$10*N37)</f>
        <v/>
      </c>
      <c r="P37" s="197">
        <f>MIN($D$11*N37,J37)</f>
        <v/>
      </c>
      <c r="Q37" s="197">
        <f>MIN(K37,($D$12+$K$11)*N37)</f>
        <v/>
      </c>
      <c r="R37" s="7">
        <f>MIN(($K$12+$D$13)*N37,L37)</f>
        <v/>
      </c>
      <c r="S37" s="197">
        <f>SUM(O37:R37)</f>
        <v/>
      </c>
      <c r="T37" s="197">
        <f>($K$14+$K$15)*N37</f>
        <v/>
      </c>
      <c r="U37" s="197">
        <f>S37+T37</f>
        <v/>
      </c>
      <c r="V37" s="197">
        <f>IF($R$10="Y",IF(A37=0,0,IF(B37="N",MIN(G37,IF(H37&lt;S37,S37,H37)),IF(B37="Y",MIN(E37,IF(F37&lt;S37,S37,F37))))),IF(B37="N",MIN(G37,S37),IF(E37&gt;S37,F37,E37)))</f>
        <v/>
      </c>
      <c r="W37" s="197">
        <f>IF(V37-U37&gt;0,U37-V37,0)</f>
        <v/>
      </c>
      <c r="X37" s="197">
        <f>IF(A37=0,0,IF($R$10="N",IF(W37&lt;0,MIN(G37+1,$Y$11),"No aplica"),"No aplica"))</f>
        <v/>
      </c>
      <c r="Y37" s="197">
        <f>IFERROR(IF(X37-U37&gt;0,U37-X37,0),0)</f>
        <v/>
      </c>
      <c r="Z37" s="5" t="n"/>
      <c r="AA37" s="5" t="n"/>
      <c r="AB37" s="5" t="n"/>
      <c r="AC37" s="5" t="n"/>
      <c r="AD37" s="5" t="n"/>
      <c r="AE37" s="5" t="n"/>
    </row>
    <row r="38">
      <c r="A38" s="5" t="n"/>
      <c r="B38" s="5" t="n"/>
      <c r="C38" s="5" t="n"/>
      <c r="D38" s="6" t="n"/>
      <c r="E38" s="197">
        <f>+$D38*0.7</f>
        <v/>
      </c>
      <c r="F38" s="197">
        <f>+$D38*0.6</f>
        <v/>
      </c>
      <c r="G38" s="197">
        <f>+$D38*0.5</f>
        <v/>
      </c>
      <c r="H38" s="197">
        <f>+$D38*0.4</f>
        <v/>
      </c>
      <c r="I38" s="198" t="n"/>
      <c r="J38" s="198" t="n"/>
      <c r="K38" s="198" t="n"/>
      <c r="L38" s="198" t="n"/>
      <c r="M38" s="197">
        <f>SUM(I38:L38)</f>
        <v/>
      </c>
      <c r="N38" s="8">
        <f>IFERROR(M38/SUM($M$30:$M$59),0)</f>
        <v/>
      </c>
      <c r="O38" s="197">
        <f>MIN(I38,$D$10*N38)</f>
        <v/>
      </c>
      <c r="P38" s="197">
        <f>MIN($D$11*N38,J38)</f>
        <v/>
      </c>
      <c r="Q38" s="197">
        <f>MIN(K38,($D$12+$K$11)*N38)</f>
        <v/>
      </c>
      <c r="R38" s="7">
        <f>MIN(($K$12+$D$13)*N38,L38)</f>
        <v/>
      </c>
      <c r="S38" s="197">
        <f>SUM(O38:R38)</f>
        <v/>
      </c>
      <c r="T38" s="197">
        <f>($K$14+$K$15)*N38</f>
        <v/>
      </c>
      <c r="U38" s="197">
        <f>S38+T38</f>
        <v/>
      </c>
      <c r="V38" s="197">
        <f>IF($R$10="Y",IF(A38=0,0,IF(B38="N",MIN(G38,IF(H38&lt;S38,S38,H38)),IF(B38="Y",MIN(E38,IF(F38&lt;S38,S38,F38))))),IF(B38="N",MIN(G38,S38),IF(E38&gt;S38,F38,E38)))</f>
        <v/>
      </c>
      <c r="W38" s="197">
        <f>IF(V38-U38&gt;0,U38-V38,0)</f>
        <v/>
      </c>
      <c r="X38" s="197">
        <f>IF(A38=0,0,IF($R$10="N",IF(W38&lt;0,MIN(G38+1,$Y$11),"No aplica"),"No aplica"))</f>
        <v/>
      </c>
      <c r="Y38" s="197">
        <f>IFERROR(IF(X38-U38&gt;0,U38-X38,0),0)</f>
        <v/>
      </c>
      <c r="Z38" s="5" t="n"/>
      <c r="AA38" s="5" t="n"/>
      <c r="AB38" s="5" t="n"/>
      <c r="AC38" s="5" t="n"/>
      <c r="AD38" s="5" t="n"/>
      <c r="AE38" s="5" t="n"/>
    </row>
    <row r="39">
      <c r="A39" s="5" t="n"/>
      <c r="B39" s="5" t="n"/>
      <c r="C39" s="5" t="n"/>
      <c r="D39" s="6" t="n"/>
      <c r="E39" s="197">
        <f>+$D39*0.7</f>
        <v/>
      </c>
      <c r="F39" s="197">
        <f>+$D39*0.6</f>
        <v/>
      </c>
      <c r="G39" s="197">
        <f>+$D39*0.5</f>
        <v/>
      </c>
      <c r="H39" s="197">
        <f>+$D39*0.4</f>
        <v/>
      </c>
      <c r="I39" s="198" t="n"/>
      <c r="J39" s="198" t="n"/>
      <c r="K39" s="198" t="n"/>
      <c r="L39" s="198" t="n"/>
      <c r="M39" s="197">
        <f>SUM(I39:L39)</f>
        <v/>
      </c>
      <c r="N39" s="8">
        <f>IFERROR(M39/SUM($M$30:$M$59),0)</f>
        <v/>
      </c>
      <c r="O39" s="197">
        <f>MIN(I39,$D$10*N39)</f>
        <v/>
      </c>
      <c r="P39" s="197">
        <f>MIN($D$11*N39,J39)</f>
        <v/>
      </c>
      <c r="Q39" s="197">
        <f>MIN(K39,($D$12+$K$11)*N39)</f>
        <v/>
      </c>
      <c r="R39" s="7">
        <f>MIN(($K$12+$D$13)*N39,L39)</f>
        <v/>
      </c>
      <c r="S39" s="197">
        <f>SUM(O39:R39)</f>
        <v/>
      </c>
      <c r="T39" s="197">
        <f>($K$14+$K$15)*N39</f>
        <v/>
      </c>
      <c r="U39" s="197">
        <f>S39+T39</f>
        <v/>
      </c>
      <c r="V39" s="197">
        <f>IF($R$10="Y",IF(A39=0,0,IF(B39="N",MIN(G39,IF(H39&lt;S39,S39,H39)),IF(B39="Y",MIN(E39,IF(F39&lt;S39,S39,F39))))),IF(B39="N",MIN(G39,S39),IF(E39&gt;S39,F39,E39)))</f>
        <v/>
      </c>
      <c r="W39" s="197">
        <f>IF(V39-U39&gt;0,U39-V39,0)</f>
        <v/>
      </c>
      <c r="X39" s="197">
        <f>IF(A39=0,0,IF($R$10="N",IF(W39&lt;0,MIN(G39+1,$Y$11),"No aplica"),"No aplica"))</f>
        <v/>
      </c>
      <c r="Y39" s="197">
        <f>IFERROR(IF(X39-U39&gt;0,U39-X39,0),0)</f>
        <v/>
      </c>
      <c r="Z39" s="5" t="n"/>
      <c r="AA39" s="5" t="n"/>
      <c r="AB39" s="5" t="n"/>
      <c r="AC39" s="5" t="n"/>
      <c r="AD39" s="5" t="n"/>
      <c r="AE39" s="5" t="n"/>
    </row>
    <row r="40">
      <c r="A40" s="5" t="n"/>
      <c r="B40" s="5" t="n"/>
      <c r="C40" s="5" t="n"/>
      <c r="D40" s="6" t="n"/>
      <c r="E40" s="197">
        <f>+$D40*0.7</f>
        <v/>
      </c>
      <c r="F40" s="197">
        <f>+$D40*0.6</f>
        <v/>
      </c>
      <c r="G40" s="197">
        <f>+$D40*0.5</f>
        <v/>
      </c>
      <c r="H40" s="197">
        <f>+$D40*0.4</f>
        <v/>
      </c>
      <c r="I40" s="198" t="n"/>
      <c r="J40" s="198" t="n"/>
      <c r="K40" s="198" t="n"/>
      <c r="L40" s="198" t="n"/>
      <c r="M40" s="197">
        <f>SUM(I40:L40)</f>
        <v/>
      </c>
      <c r="N40" s="8">
        <f>IFERROR(M40/SUM($M$30:$M$59),0)</f>
        <v/>
      </c>
      <c r="O40" s="197">
        <f>MIN(I40,$D$10*N40)</f>
        <v/>
      </c>
      <c r="P40" s="197">
        <f>MIN($D$11*N40,J40)</f>
        <v/>
      </c>
      <c r="Q40" s="197">
        <f>MIN(K40,($D$12+$K$11)*N40)</f>
        <v/>
      </c>
      <c r="R40" s="7">
        <f>MIN(($K$12+$D$13)*N40,L40)</f>
        <v/>
      </c>
      <c r="S40" s="197">
        <f>SUM(O40:R40)</f>
        <v/>
      </c>
      <c r="T40" s="197">
        <f>($K$14+$K$15)*N40</f>
        <v/>
      </c>
      <c r="U40" s="197">
        <f>S40+T40</f>
        <v/>
      </c>
      <c r="V40" s="197">
        <f>IF($R$10="Y",IF(A40=0,0,IF(B40="N",MIN(G40,IF(H40&lt;S40,S40,H40)),IF(B40="Y",MIN(E40,IF(F40&lt;S40,S40,F40))))),IF(B40="N",MIN(G40,S40),IF(E40&gt;S40,F40,E40)))</f>
        <v/>
      </c>
      <c r="W40" s="197">
        <f>IF(V40-U40&gt;0,U40-V40,0)</f>
        <v/>
      </c>
      <c r="X40" s="197">
        <f>IF(A40=0,0,IF($R$10="N",IF(W40&lt;0,MIN(G40+1,$Y$11),"No aplica"),"No aplica"))</f>
        <v/>
      </c>
      <c r="Y40" s="197">
        <f>IFERROR(IF(X40-U40&gt;0,U40-X40,0),0)</f>
        <v/>
      </c>
      <c r="Z40" s="5" t="n"/>
      <c r="AA40" s="5" t="n"/>
      <c r="AB40" s="5" t="n"/>
      <c r="AC40" s="5" t="n"/>
      <c r="AD40" s="5" t="n"/>
      <c r="AE40" s="5" t="n"/>
    </row>
    <row r="41">
      <c r="A41" s="5" t="n"/>
      <c r="B41" s="5" t="n"/>
      <c r="C41" s="5" t="n"/>
      <c r="D41" s="6" t="n"/>
      <c r="E41" s="197">
        <f>+$D41*0.7</f>
        <v/>
      </c>
      <c r="F41" s="197">
        <f>+$D41*0.6</f>
        <v/>
      </c>
      <c r="G41" s="197">
        <f>+$D41*0.5</f>
        <v/>
      </c>
      <c r="H41" s="197">
        <f>+$D41*0.4</f>
        <v/>
      </c>
      <c r="I41" s="198" t="n"/>
      <c r="J41" s="198" t="n"/>
      <c r="K41" s="198" t="n"/>
      <c r="L41" s="198" t="n"/>
      <c r="M41" s="197">
        <f>SUM(I41:L41)</f>
        <v/>
      </c>
      <c r="N41" s="8">
        <f>IFERROR(M41/SUM($M$30:$M$59),0)</f>
        <v/>
      </c>
      <c r="O41" s="197">
        <f>MIN(I41,$D$10*N41)</f>
        <v/>
      </c>
      <c r="P41" s="197">
        <f>MIN($D$11*N41,J41)</f>
        <v/>
      </c>
      <c r="Q41" s="197">
        <f>MIN(K41,($D$12+$K$11)*N41)</f>
        <v/>
      </c>
      <c r="R41" s="7">
        <f>MIN(($K$12+$D$13)*N41,L41)</f>
        <v/>
      </c>
      <c r="S41" s="197">
        <f>SUM(O41:R41)</f>
        <v/>
      </c>
      <c r="T41" s="197">
        <f>($K$14+$K$15)*N41</f>
        <v/>
      </c>
      <c r="U41" s="197">
        <f>S41+T41</f>
        <v/>
      </c>
      <c r="V41" s="197">
        <f>IF($R$10="Y",IF(A41=0,0,IF(B41="N",MIN(G41,IF(H41&lt;S41,S41,H41)),IF(B41="Y",MIN(E41,IF(F41&lt;S41,S41,F41))))),IF(B41="N",MIN(G41,S41),IF(E41&gt;S41,F41,E41)))</f>
        <v/>
      </c>
      <c r="W41" s="197">
        <f>IF(V41-U41&gt;0,U41-V41,0)</f>
        <v/>
      </c>
      <c r="X41" s="197">
        <f>IF(A41=0,0,IF($R$10="N",IF(W41&lt;0,MIN(G41+1,$Y$11),"No aplica"),"No aplica"))</f>
        <v/>
      </c>
      <c r="Y41" s="197">
        <f>IFERROR(IF(X41-U41&gt;0,U41-X41,0),0)</f>
        <v/>
      </c>
      <c r="Z41" s="5" t="n"/>
      <c r="AA41" s="5" t="n"/>
      <c r="AB41" s="5" t="n"/>
      <c r="AC41" s="5" t="n"/>
      <c r="AD41" s="5" t="n"/>
      <c r="AE41" s="5" t="n"/>
    </row>
    <row r="42">
      <c r="A42" s="5" t="n"/>
      <c r="B42" s="5" t="n"/>
      <c r="C42" s="5" t="n"/>
      <c r="D42" s="6" t="n"/>
      <c r="E42" s="197">
        <f>+$D42*0.7</f>
        <v/>
      </c>
      <c r="F42" s="197">
        <f>+$D42*0.6</f>
        <v/>
      </c>
      <c r="G42" s="197">
        <f>+$D42*0.5</f>
        <v/>
      </c>
      <c r="H42" s="197">
        <f>+$D42*0.4</f>
        <v/>
      </c>
      <c r="I42" s="198" t="n"/>
      <c r="J42" s="198" t="n"/>
      <c r="K42" s="198" t="n"/>
      <c r="L42" s="198" t="n"/>
      <c r="M42" s="197">
        <f>SUM(I42:L42)</f>
        <v/>
      </c>
      <c r="N42" s="8">
        <f>IFERROR(M42/SUM($M$30:$M$59),0)</f>
        <v/>
      </c>
      <c r="O42" s="197">
        <f>MIN(I42,$D$10*N42)</f>
        <v/>
      </c>
      <c r="P42" s="197">
        <f>MIN($D$11*N42,J42)</f>
        <v/>
      </c>
      <c r="Q42" s="197">
        <f>MIN(K42,($D$12+$K$11)*N42)</f>
        <v/>
      </c>
      <c r="R42" s="7">
        <f>MIN(($K$12+$D$13)*N42,L42)</f>
        <v/>
      </c>
      <c r="S42" s="197">
        <f>SUM(O42:R42)</f>
        <v/>
      </c>
      <c r="T42" s="197">
        <f>($K$14+$K$15)*N42</f>
        <v/>
      </c>
      <c r="U42" s="197">
        <f>S42+T42</f>
        <v/>
      </c>
      <c r="V42" s="197">
        <f>IF($R$10="Y",IF(A42=0,0,IF(B42="N",MIN(G42,IF(H42&lt;S42,S42,H42)),IF(B42="Y",MIN(E42,IF(F42&lt;S42,S42,F42))))),IF(B42="N",MIN(G42,S42),IF(E42&gt;S42,F42,E42)))</f>
        <v/>
      </c>
      <c r="W42" s="197">
        <f>IF(V42-U42&gt;0,U42-V42,0)</f>
        <v/>
      </c>
      <c r="X42" s="197">
        <f>IF(A42=0,0,IF($R$10="N",IF(W42&lt;0,MIN(G42+1,$Y$11),"No aplica"),"No aplica"))</f>
        <v/>
      </c>
      <c r="Y42" s="197">
        <f>IFERROR(IF(X42-U42&gt;0,U42-X42,0),0)</f>
        <v/>
      </c>
      <c r="Z42" s="5" t="n"/>
      <c r="AA42" s="5" t="n"/>
      <c r="AB42" s="5" t="n"/>
      <c r="AC42" s="5" t="n"/>
      <c r="AD42" s="5" t="n"/>
      <c r="AE42" s="5" t="n"/>
    </row>
    <row r="43">
      <c r="A43" s="5" t="n"/>
      <c r="B43" s="5" t="n"/>
      <c r="C43" s="5" t="n"/>
      <c r="D43" s="6" t="n"/>
      <c r="E43" s="197">
        <f>+$D43*0.7</f>
        <v/>
      </c>
      <c r="F43" s="197">
        <f>+$D43*0.6</f>
        <v/>
      </c>
      <c r="G43" s="197">
        <f>+$D43*0.5</f>
        <v/>
      </c>
      <c r="H43" s="197">
        <f>+$D43*0.4</f>
        <v/>
      </c>
      <c r="I43" s="198" t="n"/>
      <c r="J43" s="198" t="n"/>
      <c r="K43" s="198" t="n"/>
      <c r="L43" s="198" t="n"/>
      <c r="M43" s="197">
        <f>SUM(I43:L43)</f>
        <v/>
      </c>
      <c r="N43" s="8">
        <f>IFERROR(M43/SUM($M$30:$M$59),0)</f>
        <v/>
      </c>
      <c r="O43" s="197">
        <f>MIN(I43,$D$10*N43)</f>
        <v/>
      </c>
      <c r="P43" s="197">
        <f>MIN($D$11*N43,J43)</f>
        <v/>
      </c>
      <c r="Q43" s="197">
        <f>MIN(K43,($D$12+$K$11)*N43)</f>
        <v/>
      </c>
      <c r="R43" s="7">
        <f>MIN(($K$12+$D$13)*N43,L43)</f>
        <v/>
      </c>
      <c r="S43" s="197">
        <f>SUM(O43:R43)</f>
        <v/>
      </c>
      <c r="T43" s="197">
        <f>($K$14+$K$15)*N43</f>
        <v/>
      </c>
      <c r="U43" s="197">
        <f>S43+T43</f>
        <v/>
      </c>
      <c r="V43" s="197">
        <f>IF($R$10="Y",IF(A43=0,0,IF(B43="N",MIN(G43,IF(H43&lt;S43,S43,H43)),IF(B43="Y",MIN(E43,IF(F43&lt;S43,S43,F43))))),IF(B43="N",MIN(G43,S43),IF(E43&gt;S43,F43,E43)))</f>
        <v/>
      </c>
      <c r="W43" s="197">
        <f>IF(V43-U43&gt;0,U43-V43,0)</f>
        <v/>
      </c>
      <c r="X43" s="197">
        <f>IF(A43=0,0,IF($R$10="N",IF(W43&lt;0,MIN(G43+1,$Y$11),"No aplica"),"No aplica"))</f>
        <v/>
      </c>
      <c r="Y43" s="197">
        <f>IFERROR(IF(X43-U43&gt;0,U43-X43,0),0)</f>
        <v/>
      </c>
      <c r="Z43" s="5" t="n"/>
      <c r="AA43" s="5" t="n"/>
      <c r="AB43" s="5" t="n"/>
      <c r="AC43" s="5" t="n"/>
      <c r="AD43" s="5" t="n"/>
      <c r="AE43" s="5" t="n"/>
    </row>
    <row r="44">
      <c r="A44" s="5" t="n"/>
      <c r="B44" s="5" t="n"/>
      <c r="C44" s="5" t="n"/>
      <c r="D44" s="6" t="n"/>
      <c r="E44" s="197">
        <f>+$D44*0.7</f>
        <v/>
      </c>
      <c r="F44" s="197">
        <f>+$D44*0.6</f>
        <v/>
      </c>
      <c r="G44" s="197">
        <f>+$D44*0.5</f>
        <v/>
      </c>
      <c r="H44" s="197">
        <f>+$D44*0.4</f>
        <v/>
      </c>
      <c r="I44" s="198" t="n"/>
      <c r="J44" s="198" t="n"/>
      <c r="K44" s="198" t="n"/>
      <c r="L44" s="198" t="n"/>
      <c r="M44" s="197">
        <f>SUM(I44:L44)</f>
        <v/>
      </c>
      <c r="N44" s="8">
        <f>IFERROR(M44/SUM($M$30:$M$59),0)</f>
        <v/>
      </c>
      <c r="O44" s="197">
        <f>MIN(I44,$D$10*N44)</f>
        <v/>
      </c>
      <c r="P44" s="197">
        <f>MIN($D$11*N44,J44)</f>
        <v/>
      </c>
      <c r="Q44" s="197">
        <f>MIN(K44,($D$12+$K$11)*N44)</f>
        <v/>
      </c>
      <c r="R44" s="7">
        <f>MIN(($K$12+$D$13)*N44,L44)</f>
        <v/>
      </c>
      <c r="S44" s="197">
        <f>SUM(O44:R44)</f>
        <v/>
      </c>
      <c r="T44" s="197">
        <f>($K$14+$K$15)*N44</f>
        <v/>
      </c>
      <c r="U44" s="197">
        <f>S44+T44</f>
        <v/>
      </c>
      <c r="V44" s="197">
        <f>IF($R$10="Y",IF(A44=0,0,IF(B44="N",MIN(G44,IF(H44&lt;S44,S44,H44)),IF(B44="Y",MIN(E44,IF(F44&lt;S44,S44,F44))))),IF(B44="N",MIN(G44,S44),IF(E44&gt;S44,F44,E44)))</f>
        <v/>
      </c>
      <c r="W44" s="197">
        <f>IF(V44-U44&gt;0,U44-V44,0)</f>
        <v/>
      </c>
      <c r="X44" s="197">
        <f>IF(A44=0,0,IF($R$10="N",IF(W44&lt;0,MIN(G44+1,$Y$11),"No aplica"),"No aplica"))</f>
        <v/>
      </c>
      <c r="Y44" s="197">
        <f>IFERROR(IF(X44-U44&gt;0,U44-X44,0),0)</f>
        <v/>
      </c>
      <c r="Z44" s="5" t="n"/>
      <c r="AA44" s="5" t="n"/>
      <c r="AB44" s="5" t="n"/>
      <c r="AC44" s="5" t="n"/>
      <c r="AD44" s="5" t="n"/>
      <c r="AE44" s="5" t="n"/>
    </row>
    <row r="45">
      <c r="A45" s="5" t="n"/>
      <c r="B45" s="5" t="n"/>
      <c r="C45" s="5" t="n"/>
      <c r="D45" s="6" t="n"/>
      <c r="E45" s="197">
        <f>+$D45*0.7</f>
        <v/>
      </c>
      <c r="F45" s="197">
        <f>+$D45*0.6</f>
        <v/>
      </c>
      <c r="G45" s="197">
        <f>+$D45*0.5</f>
        <v/>
      </c>
      <c r="H45" s="197">
        <f>+$D45*0.4</f>
        <v/>
      </c>
      <c r="I45" s="198" t="n"/>
      <c r="J45" s="198" t="n"/>
      <c r="K45" s="198" t="n"/>
      <c r="L45" s="198" t="n"/>
      <c r="M45" s="197">
        <f>SUM(I45:L45)</f>
        <v/>
      </c>
      <c r="N45" s="8">
        <f>IFERROR(M45/SUM($M$30:$M$59),0)</f>
        <v/>
      </c>
      <c r="O45" s="197">
        <f>MIN(I45,$D$10*N45)</f>
        <v/>
      </c>
      <c r="P45" s="197">
        <f>MIN($D$11*N45,J45)</f>
        <v/>
      </c>
      <c r="Q45" s="197">
        <f>MIN(K45,($D$12+$K$11)*N45)</f>
        <v/>
      </c>
      <c r="R45" s="7">
        <f>MIN(($K$12+$D$13)*N45,L45)</f>
        <v/>
      </c>
      <c r="S45" s="197">
        <f>SUM(O45:R45)</f>
        <v/>
      </c>
      <c r="T45" s="197">
        <f>($K$14+$K$15)*N45</f>
        <v/>
      </c>
      <c r="U45" s="197">
        <f>S45+T45</f>
        <v/>
      </c>
      <c r="V45" s="197">
        <f>IF($R$10="Y",IF(A45=0,0,IF(B45="N",MIN(G45,IF(H45&lt;S45,S45,H45)),IF(B45="Y",MIN(E45,IF(F45&lt;S45,S45,F45))))),IF(B45="N",MIN(G45,S45),IF(E45&gt;S45,F45,E45)))</f>
        <v/>
      </c>
      <c r="W45" s="197">
        <f>IF(V45-U45&gt;0,U45-V45,0)</f>
        <v/>
      </c>
      <c r="X45" s="197">
        <f>IF(A45=0,0,IF($R$10="N",IF(W45&lt;0,MIN(G45+1,$Y$11),"No aplica"),"No aplica"))</f>
        <v/>
      </c>
      <c r="Y45" s="197">
        <f>IFERROR(IF(X45-U45&gt;0,U45-X45,0),0)</f>
        <v/>
      </c>
      <c r="Z45" s="5" t="n"/>
      <c r="AA45" s="5" t="n"/>
      <c r="AB45" s="5" t="n"/>
      <c r="AC45" s="5" t="n"/>
      <c r="AD45" s="5" t="n"/>
      <c r="AE45" s="5" t="n"/>
    </row>
    <row r="46">
      <c r="A46" s="5" t="n"/>
      <c r="B46" s="5" t="n"/>
      <c r="C46" s="5" t="n"/>
      <c r="D46" s="6" t="n"/>
      <c r="E46" s="197">
        <f>+$D46*0.7</f>
        <v/>
      </c>
      <c r="F46" s="197">
        <f>+$D46*0.6</f>
        <v/>
      </c>
      <c r="G46" s="197">
        <f>+$D46*0.5</f>
        <v/>
      </c>
      <c r="H46" s="197">
        <f>+$D46*0.4</f>
        <v/>
      </c>
      <c r="I46" s="198" t="n"/>
      <c r="J46" s="198" t="n"/>
      <c r="K46" s="198" t="n"/>
      <c r="L46" s="198" t="n"/>
      <c r="M46" s="197">
        <f>SUM(I46:L46)</f>
        <v/>
      </c>
      <c r="N46" s="8">
        <f>IFERROR(M46/SUM($M$30:$M$59),0)</f>
        <v/>
      </c>
      <c r="O46" s="197">
        <f>MIN(I46,$D$10*N46)</f>
        <v/>
      </c>
      <c r="P46" s="197">
        <f>MIN($D$11*N46,J46)</f>
        <v/>
      </c>
      <c r="Q46" s="197">
        <f>MIN(K46,($D$12+$K$11)*N46)</f>
        <v/>
      </c>
      <c r="R46" s="7">
        <f>MIN(($K$12+$D$13)*N46,L46)</f>
        <v/>
      </c>
      <c r="S46" s="197">
        <f>SUM(O46:R46)</f>
        <v/>
      </c>
      <c r="T46" s="197">
        <f>($K$14+$K$15)*N46</f>
        <v/>
      </c>
      <c r="U46" s="197">
        <f>S46+T46</f>
        <v/>
      </c>
      <c r="V46" s="197">
        <f>IF($R$10="Y",IF(A46=0,0,IF(B46="N",MIN(G46,IF(H46&lt;S46,S46,H46)),IF(B46="Y",MIN(E46,IF(F46&lt;S46,S46,F46))))),IF(B46="N",MIN(G46,S46),IF(E46&gt;S46,F46,E46)))</f>
        <v/>
      </c>
      <c r="W46" s="197">
        <f>IF(V46-U46&gt;0,U46-V46,0)</f>
        <v/>
      </c>
      <c r="X46" s="197">
        <f>IF(A46=0,0,IF($R$10="N",IF(W46&lt;0,MIN(G46+1,$Y$11),"No aplica"),"No aplica"))</f>
        <v/>
      </c>
      <c r="Y46" s="197">
        <f>IFERROR(IF(X46-U46&gt;0,U46-X46,0),0)</f>
        <v/>
      </c>
      <c r="Z46" s="5" t="n"/>
      <c r="AA46" s="5" t="n"/>
      <c r="AB46" s="5" t="n"/>
      <c r="AC46" s="5" t="n"/>
      <c r="AD46" s="5" t="n"/>
      <c r="AE46" s="5" t="n"/>
    </row>
    <row r="47">
      <c r="A47" s="5" t="n"/>
      <c r="B47" s="5" t="n"/>
      <c r="C47" s="5" t="n"/>
      <c r="D47" s="6" t="n"/>
      <c r="E47" s="197">
        <f>+$D47*0.7</f>
        <v/>
      </c>
      <c r="F47" s="197">
        <f>+$D47*0.6</f>
        <v/>
      </c>
      <c r="G47" s="197">
        <f>+$D47*0.5</f>
        <v/>
      </c>
      <c r="H47" s="197">
        <f>+$D47*0.4</f>
        <v/>
      </c>
      <c r="I47" s="198" t="n"/>
      <c r="J47" s="198" t="n"/>
      <c r="K47" s="198" t="n"/>
      <c r="L47" s="198" t="n"/>
      <c r="M47" s="197">
        <f>SUM(I47:L47)</f>
        <v/>
      </c>
      <c r="N47" s="8">
        <f>IFERROR(M47/SUM($M$30:$M$59),0)</f>
        <v/>
      </c>
      <c r="O47" s="197">
        <f>MIN(I47,$D$10*N47)</f>
        <v/>
      </c>
      <c r="P47" s="197">
        <f>MIN($D$11*N47,J47)</f>
        <v/>
      </c>
      <c r="Q47" s="197">
        <f>MIN(K47,($D$12+$K$11)*N47)</f>
        <v/>
      </c>
      <c r="R47" s="7">
        <f>MIN(($K$12+$D$13)*N47,L47)</f>
        <v/>
      </c>
      <c r="S47" s="197">
        <f>SUM(O47:R47)</f>
        <v/>
      </c>
      <c r="T47" s="197">
        <f>($K$14+$K$15)*N47</f>
        <v/>
      </c>
      <c r="U47" s="197">
        <f>S47+T47</f>
        <v/>
      </c>
      <c r="V47" s="197">
        <f>IF($R$10="Y",IF(A47=0,0,IF(B47="N",MIN(G47,IF(H47&lt;S47,S47,H47)),IF(B47="Y",MIN(E47,IF(F47&lt;S47,S47,F47))))),IF(B47="N",MIN(G47,S47),IF(E47&gt;S47,F47,E47)))</f>
        <v/>
      </c>
      <c r="W47" s="197">
        <f>IF(V47-U47&gt;0,U47-V47,0)</f>
        <v/>
      </c>
      <c r="X47" s="197">
        <f>IF(A47=0,0,IF($R$10="N",IF(W47&lt;0,MIN(G47+1,$Y$11),"No aplica"),"No aplica"))</f>
        <v/>
      </c>
      <c r="Y47" s="197">
        <f>IFERROR(IF(X47-U47&gt;0,U47-X47,0),0)</f>
        <v/>
      </c>
      <c r="Z47" s="5" t="n"/>
      <c r="AA47" s="5" t="n"/>
      <c r="AB47" s="5" t="n"/>
      <c r="AC47" s="5" t="n"/>
      <c r="AD47" s="5" t="n"/>
      <c r="AE47" s="5" t="n"/>
    </row>
    <row r="48">
      <c r="A48" s="5" t="n"/>
      <c r="B48" s="5" t="n"/>
      <c r="C48" s="5" t="n"/>
      <c r="D48" s="6" t="n"/>
      <c r="E48" s="197">
        <f>+$D48*0.7</f>
        <v/>
      </c>
      <c r="F48" s="197">
        <f>+$D48*0.6</f>
        <v/>
      </c>
      <c r="G48" s="197">
        <f>+$D48*0.5</f>
        <v/>
      </c>
      <c r="H48" s="197">
        <f>+$D48*0.4</f>
        <v/>
      </c>
      <c r="I48" s="198" t="n"/>
      <c r="J48" s="198" t="n"/>
      <c r="K48" s="198" t="n"/>
      <c r="L48" s="198" t="n"/>
      <c r="M48" s="197">
        <f>SUM(I48:L48)</f>
        <v/>
      </c>
      <c r="N48" s="8">
        <f>IFERROR(M48/SUM($M$30:$M$59),0)</f>
        <v/>
      </c>
      <c r="O48" s="197">
        <f>MIN(I48,$D$10*N48)</f>
        <v/>
      </c>
      <c r="P48" s="197">
        <f>MIN($D$11*N48,J48)</f>
        <v/>
      </c>
      <c r="Q48" s="197">
        <f>MIN(K48,($D$12+$K$11)*N48)</f>
        <v/>
      </c>
      <c r="R48" s="7">
        <f>MIN(($K$12+$D$13)*N48,L48)</f>
        <v/>
      </c>
      <c r="S48" s="197">
        <f>SUM(O48:R48)</f>
        <v/>
      </c>
      <c r="T48" s="197">
        <f>($K$14+$K$15)*N48</f>
        <v/>
      </c>
      <c r="U48" s="197">
        <f>S48+T48</f>
        <v/>
      </c>
      <c r="V48" s="197">
        <f>IF($R$10="Y",IF(A48=0,0,IF(B48="N",MIN(G48,IF(H48&lt;S48,S48,H48)),IF(B48="Y",MIN(E48,IF(F48&lt;S48,S48,F48))))),IF(B48="N",MIN(G48,S48),IF(E48&gt;S48,F48,E48)))</f>
        <v/>
      </c>
      <c r="W48" s="197">
        <f>IF(V48-U48&gt;0,U48-V48,0)</f>
        <v/>
      </c>
      <c r="X48" s="197">
        <f>IF(A48=0,0,IF($R$10="N",IF(W48&lt;0,MIN(G48+1,$Y$11),"No aplica"),"No aplica"))</f>
        <v/>
      </c>
      <c r="Y48" s="197">
        <f>IFERROR(IF(X48-U48&gt;0,U48-X48,0),0)</f>
        <v/>
      </c>
      <c r="Z48" s="5" t="n"/>
      <c r="AA48" s="5" t="n"/>
      <c r="AB48" s="5" t="n"/>
      <c r="AC48" s="5" t="n"/>
      <c r="AD48" s="5" t="n"/>
      <c r="AE48" s="5" t="n"/>
    </row>
    <row r="49">
      <c r="A49" s="5" t="n"/>
      <c r="B49" s="5" t="n"/>
      <c r="C49" s="5" t="n"/>
      <c r="D49" s="6" t="n"/>
      <c r="E49" s="197">
        <f>+$D49*0.7</f>
        <v/>
      </c>
      <c r="F49" s="197">
        <f>+$D49*0.6</f>
        <v/>
      </c>
      <c r="G49" s="197">
        <f>+$D49*0.5</f>
        <v/>
      </c>
      <c r="H49" s="197">
        <f>+$D49*0.4</f>
        <v/>
      </c>
      <c r="I49" s="198" t="n"/>
      <c r="J49" s="198" t="n"/>
      <c r="K49" s="198" t="n"/>
      <c r="L49" s="198" t="n"/>
      <c r="M49" s="197">
        <f>SUM(I49:L49)</f>
        <v/>
      </c>
      <c r="N49" s="8">
        <f>IFERROR(M49/SUM($M$30:$M$59),0)</f>
        <v/>
      </c>
      <c r="O49" s="197">
        <f>MIN(I49,$D$10*N49)</f>
        <v/>
      </c>
      <c r="P49" s="197">
        <f>MIN($D$11*N49,J49)</f>
        <v/>
      </c>
      <c r="Q49" s="197">
        <f>MIN(K49,($D$12+$K$11)*N49)</f>
        <v/>
      </c>
      <c r="R49" s="7">
        <f>MIN(($K$12+$D$13)*N49,L49)</f>
        <v/>
      </c>
      <c r="S49" s="197">
        <f>SUM(O49:R49)</f>
        <v/>
      </c>
      <c r="T49" s="197">
        <f>($K$14+$K$15)*N49</f>
        <v/>
      </c>
      <c r="U49" s="197">
        <f>S49+T49</f>
        <v/>
      </c>
      <c r="V49" s="197">
        <f>IF($R$10="Y",IF(A49=0,0,IF(B49="N",MIN(G49,IF(H49&lt;S49,S49,H49)),IF(B49="Y",MIN(E49,IF(F49&lt;S49,S49,F49))))),IF(B49="N",MIN(G49,S49),IF(E49&gt;S49,F49,E49)))</f>
        <v/>
      </c>
      <c r="W49" s="197">
        <f>IF(V49-U49&gt;0,U49-V49,0)</f>
        <v/>
      </c>
      <c r="X49" s="197">
        <f>IF(A49=0,0,IF($R$10="N",IF(W49&lt;0,MIN(G49+1,$Y$11),"No aplica"),"No aplica"))</f>
        <v/>
      </c>
      <c r="Y49" s="197">
        <f>IFERROR(IF(X49-U49&gt;0,U49-X49,0),0)</f>
        <v/>
      </c>
      <c r="Z49" s="5" t="n"/>
      <c r="AA49" s="5" t="n"/>
      <c r="AB49" s="5" t="n"/>
      <c r="AC49" s="5" t="n"/>
      <c r="AD49" s="5" t="n"/>
      <c r="AE49" s="5" t="n"/>
    </row>
    <row r="50">
      <c r="A50" s="5" t="n"/>
      <c r="B50" s="5" t="n"/>
      <c r="C50" s="5" t="n"/>
      <c r="D50" s="6" t="n"/>
      <c r="E50" s="197">
        <f>+$D50*0.7</f>
        <v/>
      </c>
      <c r="F50" s="197">
        <f>+$D50*0.6</f>
        <v/>
      </c>
      <c r="G50" s="197">
        <f>+$D50*0.5</f>
        <v/>
      </c>
      <c r="H50" s="197">
        <f>+$D50*0.4</f>
        <v/>
      </c>
      <c r="I50" s="198" t="n"/>
      <c r="J50" s="198" t="n"/>
      <c r="K50" s="198" t="n"/>
      <c r="L50" s="198" t="n"/>
      <c r="M50" s="197">
        <f>SUM(I50:L50)</f>
        <v/>
      </c>
      <c r="N50" s="8">
        <f>IFERROR(M50/SUM($M$30:$M$59),0)</f>
        <v/>
      </c>
      <c r="O50" s="197">
        <f>MIN(I50,$D$10*N50)</f>
        <v/>
      </c>
      <c r="P50" s="197">
        <f>MIN($D$11*N50,J50)</f>
        <v/>
      </c>
      <c r="Q50" s="197">
        <f>MIN(K50,($D$12+$K$11)*N50)</f>
        <v/>
      </c>
      <c r="R50" s="7">
        <f>MIN(($K$12+$D$13)*N50,L50)</f>
        <v/>
      </c>
      <c r="S50" s="197">
        <f>SUM(O50:R50)</f>
        <v/>
      </c>
      <c r="T50" s="197">
        <f>($K$14+$K$15)*N50</f>
        <v/>
      </c>
      <c r="U50" s="197">
        <f>S50+T50</f>
        <v/>
      </c>
      <c r="V50" s="197">
        <f>IF($R$10="Y",IF(A50=0,0,IF(B50="N",MIN(G50,IF(H50&lt;S50,S50,H50)),IF(B50="Y",MIN(E50,IF(F50&lt;S50,S50,F50))))),IF(B50="N",MIN(G50,S50),IF(E50&gt;S50,F50,E50)))</f>
        <v/>
      </c>
      <c r="W50" s="197">
        <f>IF(V50-U50&gt;0,U50-V50,0)</f>
        <v/>
      </c>
      <c r="X50" s="197">
        <f>IF(A50=0,0,IF($R$10="N",IF(W50&lt;0,MIN(G50+1,$Y$11),"No aplica"),"No aplica"))</f>
        <v/>
      </c>
      <c r="Y50" s="197">
        <f>IFERROR(IF(X50-U50&gt;0,U50-X50,0),0)</f>
        <v/>
      </c>
      <c r="Z50" s="5" t="n"/>
      <c r="AA50" s="5" t="n"/>
      <c r="AB50" s="5" t="n"/>
      <c r="AC50" s="5" t="n"/>
      <c r="AD50" s="5" t="n"/>
      <c r="AE50" s="5" t="n"/>
    </row>
    <row r="51">
      <c r="A51" s="5" t="n"/>
      <c r="B51" s="5" t="n"/>
      <c r="C51" s="5" t="n"/>
      <c r="D51" s="6" t="n"/>
      <c r="E51" s="197">
        <f>+$D51*0.7</f>
        <v/>
      </c>
      <c r="F51" s="197">
        <f>+$D51*0.6</f>
        <v/>
      </c>
      <c r="G51" s="197">
        <f>+$D51*0.5</f>
        <v/>
      </c>
      <c r="H51" s="197">
        <f>+$D51*0.4</f>
        <v/>
      </c>
      <c r="I51" s="198" t="n"/>
      <c r="J51" s="198" t="n"/>
      <c r="K51" s="198" t="n"/>
      <c r="L51" s="198" t="n"/>
      <c r="M51" s="197">
        <f>SUM(I51:L51)</f>
        <v/>
      </c>
      <c r="N51" s="8">
        <f>IFERROR(M51/SUM($M$30:$M$59),0)</f>
        <v/>
      </c>
      <c r="O51" s="197">
        <f>MIN(I51,$D$10*N51)</f>
        <v/>
      </c>
      <c r="P51" s="197">
        <f>MIN($D$11*N51,J51)</f>
        <v/>
      </c>
      <c r="Q51" s="197">
        <f>MIN(K51,($D$12+$K$11)*N51)</f>
        <v/>
      </c>
      <c r="R51" s="7">
        <f>MIN(($K$12+$D$13)*N51,L51)</f>
        <v/>
      </c>
      <c r="S51" s="197">
        <f>SUM(O51:R51)</f>
        <v/>
      </c>
      <c r="T51" s="197">
        <f>($K$14+$K$15)*N51</f>
        <v/>
      </c>
      <c r="U51" s="197">
        <f>S51+T51</f>
        <v/>
      </c>
      <c r="V51" s="197">
        <f>IF($R$10="Y",IF(A51=0,0,IF(B51="N",MIN(G51,IF(H51&lt;S51,S51,H51)),IF(B51="Y",MIN(E51,IF(F51&lt;S51,S51,F51))))),IF(B51="N",MIN(G51,S51),IF(E51&gt;S51,F51,E51)))</f>
        <v/>
      </c>
      <c r="W51" s="197">
        <f>IF(V51-U51&gt;0,U51-V51,0)</f>
        <v/>
      </c>
      <c r="X51" s="197">
        <f>IF(A51=0,0,IF($R$10="N",IF(W51&lt;0,MIN(G51+1,$Y$11),"No aplica"),"No aplica"))</f>
        <v/>
      </c>
      <c r="Y51" s="197">
        <f>IFERROR(IF(X51-U51&gt;0,U51-X51,0),0)</f>
        <v/>
      </c>
      <c r="Z51" s="5" t="n"/>
      <c r="AA51" s="5" t="n"/>
      <c r="AB51" s="5" t="n"/>
      <c r="AC51" s="5" t="n"/>
      <c r="AD51" s="5" t="n"/>
      <c r="AE51" s="5" t="n"/>
    </row>
    <row r="52">
      <c r="A52" s="5" t="n"/>
      <c r="B52" s="5" t="n"/>
      <c r="C52" s="5" t="n"/>
      <c r="D52" s="6" t="n"/>
      <c r="E52" s="197">
        <f>+$D52*0.7</f>
        <v/>
      </c>
      <c r="F52" s="197">
        <f>+$D52*0.6</f>
        <v/>
      </c>
      <c r="G52" s="197">
        <f>+$D52*0.5</f>
        <v/>
      </c>
      <c r="H52" s="197">
        <f>+$D52*0.4</f>
        <v/>
      </c>
      <c r="I52" s="198" t="n"/>
      <c r="J52" s="198" t="n"/>
      <c r="K52" s="198" t="n"/>
      <c r="L52" s="198" t="n"/>
      <c r="M52" s="197">
        <f>SUM(I52:L52)</f>
        <v/>
      </c>
      <c r="N52" s="8">
        <f>IFERROR(M52/SUM($M$30:$M$59),0)</f>
        <v/>
      </c>
      <c r="O52" s="197">
        <f>MIN(I52,$D$10*N52)</f>
        <v/>
      </c>
      <c r="P52" s="197">
        <f>MIN($D$11*N52,J52)</f>
        <v/>
      </c>
      <c r="Q52" s="197">
        <f>MIN(K52,($D$12+$K$11)*N52)</f>
        <v/>
      </c>
      <c r="R52" s="7">
        <f>MIN(($K$12+$D$13)*N52,L52)</f>
        <v/>
      </c>
      <c r="S52" s="197">
        <f>SUM(O52:R52)</f>
        <v/>
      </c>
      <c r="T52" s="197">
        <f>($K$14+$K$15)*N52</f>
        <v/>
      </c>
      <c r="U52" s="197">
        <f>S52+T52</f>
        <v/>
      </c>
      <c r="V52" s="197">
        <f>IF($R$10="Y",IF(A52=0,0,IF(B52="N",MIN(G52,IF(H52&lt;S52,S52,H52)),IF(B52="Y",MIN(E52,IF(F52&lt;S52,S52,F52))))),IF(B52="N",MIN(G52,S52),IF(E52&gt;S52,F52,E52)))</f>
        <v/>
      </c>
      <c r="W52" s="197">
        <f>IF(V52-U52&gt;0,U52-V52,0)</f>
        <v/>
      </c>
      <c r="X52" s="197">
        <f>IF(A52=0,0,IF($R$10="N",IF(W52&lt;0,MIN(G52+1,$Y$11),"No aplica"),"No aplica"))</f>
        <v/>
      </c>
      <c r="Y52" s="197">
        <f>IFERROR(IF(X52-U52&gt;0,U52-X52,0),0)</f>
        <v/>
      </c>
      <c r="Z52" s="5" t="n"/>
      <c r="AA52" s="5" t="n"/>
      <c r="AB52" s="5" t="n"/>
      <c r="AC52" s="5" t="n"/>
      <c r="AD52" s="5" t="n"/>
      <c r="AE52" s="5" t="n"/>
    </row>
    <row r="53">
      <c r="A53" s="5" t="n"/>
      <c r="B53" s="5" t="n"/>
      <c r="C53" s="5" t="n"/>
      <c r="D53" s="6" t="n"/>
      <c r="E53" s="197">
        <f>+$D53*0.7</f>
        <v/>
      </c>
      <c r="F53" s="197">
        <f>+$D53*0.6</f>
        <v/>
      </c>
      <c r="G53" s="197">
        <f>+$D53*0.5</f>
        <v/>
      </c>
      <c r="H53" s="197">
        <f>+$D53*0.4</f>
        <v/>
      </c>
      <c r="I53" s="198" t="n"/>
      <c r="J53" s="198" t="n"/>
      <c r="K53" s="198" t="n"/>
      <c r="L53" s="198" t="n"/>
      <c r="M53" s="197">
        <f>SUM(I53:L53)</f>
        <v/>
      </c>
      <c r="N53" s="8">
        <f>IFERROR(M53/SUM($M$30:$M$59),0)</f>
        <v/>
      </c>
      <c r="O53" s="197">
        <f>MIN(I53,$D$10*N53)</f>
        <v/>
      </c>
      <c r="P53" s="197">
        <f>MIN($D$11*N53,J53)</f>
        <v/>
      </c>
      <c r="Q53" s="197">
        <f>MIN(K53,($D$12+$K$11)*N53)</f>
        <v/>
      </c>
      <c r="R53" s="7">
        <f>MIN(($K$12+$D$13)*N53,L53)</f>
        <v/>
      </c>
      <c r="S53" s="197">
        <f>SUM(O53:R53)</f>
        <v/>
      </c>
      <c r="T53" s="197">
        <f>($K$14+$K$15)*N53</f>
        <v/>
      </c>
      <c r="U53" s="197">
        <f>S53+T53</f>
        <v/>
      </c>
      <c r="V53" s="197">
        <f>IF($R$10="Y",IF(A53=0,0,IF(B53="N",MIN(G53,IF(H53&lt;S53,S53,H53)),IF(B53="Y",MIN(E53,IF(F53&lt;S53,S53,F53))))),IF(B53="N",MIN(G53,S53),IF(E53&gt;S53,F53,E53)))</f>
        <v/>
      </c>
      <c r="W53" s="197">
        <f>IF(V53-U53&gt;0,U53-V53,0)</f>
        <v/>
      </c>
      <c r="X53" s="197">
        <f>IF(A53=0,0,IF($R$10="N",IF(W53&lt;0,MIN(G53+1,$Y$11),"No aplica"),"No aplica"))</f>
        <v/>
      </c>
      <c r="Y53" s="197">
        <f>IFERROR(IF(X53-U53&gt;0,U53-X53,0),0)</f>
        <v/>
      </c>
      <c r="Z53" s="5" t="n"/>
      <c r="AA53" s="5" t="n"/>
      <c r="AB53" s="5" t="n"/>
      <c r="AC53" s="5" t="n"/>
      <c r="AD53" s="5" t="n"/>
      <c r="AE53" s="5" t="n"/>
    </row>
    <row r="54">
      <c r="A54" s="5" t="n"/>
      <c r="B54" s="5" t="n"/>
      <c r="C54" s="5" t="n"/>
      <c r="D54" s="6" t="n"/>
      <c r="E54" s="197">
        <f>+$D54*0.7</f>
        <v/>
      </c>
      <c r="F54" s="197">
        <f>+$D54*0.6</f>
        <v/>
      </c>
      <c r="G54" s="197">
        <f>+$D54*0.5</f>
        <v/>
      </c>
      <c r="H54" s="197">
        <f>+$D54*0.4</f>
        <v/>
      </c>
      <c r="I54" s="198" t="n"/>
      <c r="J54" s="198" t="n"/>
      <c r="K54" s="198" t="n"/>
      <c r="L54" s="198" t="n"/>
      <c r="M54" s="197">
        <f>SUM(I54:L54)</f>
        <v/>
      </c>
      <c r="N54" s="8">
        <f>IFERROR(M54/SUM($M$30:$M$59),0)</f>
        <v/>
      </c>
      <c r="O54" s="197">
        <f>MIN(I54,$D$10*N54)</f>
        <v/>
      </c>
      <c r="P54" s="197">
        <f>MIN($D$11*N54,J54)</f>
        <v/>
      </c>
      <c r="Q54" s="197">
        <f>MIN(K54,($D$12+$K$11)*N54)</f>
        <v/>
      </c>
      <c r="R54" s="7">
        <f>MIN(($K$12+$D$13)*N54,L54)</f>
        <v/>
      </c>
      <c r="S54" s="197">
        <f>SUM(O54:R54)</f>
        <v/>
      </c>
      <c r="T54" s="197">
        <f>($K$14+$K$15)*N54</f>
        <v/>
      </c>
      <c r="U54" s="197">
        <f>S54+T54</f>
        <v/>
      </c>
      <c r="V54" s="197">
        <f>IF($R$10="Y",IF(A54=0,0,IF(B54="N",MIN(G54,IF(H54&lt;S54,S54,H54)),IF(B54="Y",MIN(E54,IF(F54&lt;S54,S54,F54))))),IF(B54="N",MIN(G54,S54),IF(E54&gt;S54,F54,E54)))</f>
        <v/>
      </c>
      <c r="W54" s="197">
        <f>IF(V54-U54&gt;0,U54-V54,0)</f>
        <v/>
      </c>
      <c r="X54" s="197">
        <f>IF(A54=0,0,IF($R$10="N",IF(W54&lt;0,MIN(G54+1,$Y$11),"No aplica"),"No aplica"))</f>
        <v/>
      </c>
      <c r="Y54" s="197">
        <f>IFERROR(IF(X54-U54&gt;0,U54-X54,0),0)</f>
        <v/>
      </c>
      <c r="Z54" s="5" t="n"/>
      <c r="AA54" s="5" t="n"/>
      <c r="AB54" s="5" t="n"/>
      <c r="AC54" s="5" t="n"/>
      <c r="AD54" s="5" t="n"/>
      <c r="AE54" s="5" t="n"/>
    </row>
    <row r="55">
      <c r="A55" s="5" t="n"/>
      <c r="B55" s="5" t="n"/>
      <c r="C55" s="5" t="n"/>
      <c r="D55" s="6" t="n"/>
      <c r="E55" s="197">
        <f>+$D55*0.7</f>
        <v/>
      </c>
      <c r="F55" s="197">
        <f>+$D55*0.6</f>
        <v/>
      </c>
      <c r="G55" s="197">
        <f>+$D55*0.5</f>
        <v/>
      </c>
      <c r="H55" s="197">
        <f>+$D55*0.4</f>
        <v/>
      </c>
      <c r="I55" s="198" t="n"/>
      <c r="J55" s="198" t="n"/>
      <c r="K55" s="198" t="n"/>
      <c r="L55" s="198" t="n"/>
      <c r="M55" s="197">
        <f>SUM(I55:L55)</f>
        <v/>
      </c>
      <c r="N55" s="8">
        <f>IFERROR(M55/SUM($M$30:$M$59),0)</f>
        <v/>
      </c>
      <c r="O55" s="197">
        <f>MIN(I55,$D$10*N55)</f>
        <v/>
      </c>
      <c r="P55" s="197">
        <f>MIN($D$11*N55,J55)</f>
        <v/>
      </c>
      <c r="Q55" s="197">
        <f>MIN(K55,($D$12+$K$11)*N55)</f>
        <v/>
      </c>
      <c r="R55" s="7">
        <f>MIN(($K$12+$D$13)*N55,L55)</f>
        <v/>
      </c>
      <c r="S55" s="197">
        <f>SUM(O55:R55)</f>
        <v/>
      </c>
      <c r="T55" s="197">
        <f>($K$14+$K$15)*N55</f>
        <v/>
      </c>
      <c r="U55" s="197">
        <f>S55+T55</f>
        <v/>
      </c>
      <c r="V55" s="197">
        <f>IF($R$10="Y",IF(A55=0,0,IF(B55="N",MIN(G55,IF(H55&lt;S55,S55,H55)),IF(B55="Y",MIN(E55,IF(F55&lt;S55,S55,F55))))),IF(B55="N",MIN(G55,S55),IF(E55&gt;S55,F55,E55)))</f>
        <v/>
      </c>
      <c r="W55" s="197">
        <f>IF(V55-U55&gt;0,U55-V55,0)</f>
        <v/>
      </c>
      <c r="X55" s="197">
        <f>IF(A55=0,0,IF($R$10="N",IF(W55&lt;0,MIN(G55+1,$Y$11),"No aplica"),"No aplica"))</f>
        <v/>
      </c>
      <c r="Y55" s="197">
        <f>IFERROR(IF(X55-U55&gt;0,U55-X55,0),0)</f>
        <v/>
      </c>
      <c r="Z55" s="5" t="n"/>
      <c r="AA55" s="5" t="n"/>
      <c r="AB55" s="5" t="n"/>
      <c r="AC55" s="5" t="n"/>
      <c r="AD55" s="5" t="n"/>
      <c r="AE55" s="5" t="n"/>
    </row>
    <row r="56">
      <c r="A56" s="5" t="n"/>
      <c r="B56" s="5" t="n"/>
      <c r="C56" s="5" t="n"/>
      <c r="D56" s="6" t="n"/>
      <c r="E56" s="197">
        <f>+$D56*0.7</f>
        <v/>
      </c>
      <c r="F56" s="197">
        <f>+$D56*0.6</f>
        <v/>
      </c>
      <c r="G56" s="197">
        <f>+$D56*0.5</f>
        <v/>
      </c>
      <c r="H56" s="197">
        <f>+$D56*0.4</f>
        <v/>
      </c>
      <c r="I56" s="198" t="n"/>
      <c r="J56" s="198" t="n"/>
      <c r="K56" s="198" t="n"/>
      <c r="L56" s="198" t="n"/>
      <c r="M56" s="197">
        <f>SUM(I56:L56)</f>
        <v/>
      </c>
      <c r="N56" s="8">
        <f>IFERROR(M56/SUM($M$30:$M$59),0)</f>
        <v/>
      </c>
      <c r="O56" s="197">
        <f>MIN(I56,$D$10*N56)</f>
        <v/>
      </c>
      <c r="P56" s="197">
        <f>MIN($D$11*N56,J56)</f>
        <v/>
      </c>
      <c r="Q56" s="197">
        <f>MIN(K56,($D$12+$K$11)*N56)</f>
        <v/>
      </c>
      <c r="R56" s="7">
        <f>MIN(($K$12+$D$13)*N56,L56)</f>
        <v/>
      </c>
      <c r="S56" s="197">
        <f>SUM(O56:R56)</f>
        <v/>
      </c>
      <c r="T56" s="197">
        <f>($K$14+$K$15)*N56</f>
        <v/>
      </c>
      <c r="U56" s="197">
        <f>S56+T56</f>
        <v/>
      </c>
      <c r="V56" s="197">
        <f>IF($R$10="Y",IF(A56=0,0,IF(B56="N",MIN(G56,IF(H56&lt;S56,S56,H56)),IF(B56="Y",MIN(E56,IF(F56&lt;S56,S56,F56))))),IF(B56="N",MIN(G56,S56),IF(E56&gt;S56,F56,E56)))</f>
        <v/>
      </c>
      <c r="W56" s="197">
        <f>IF(V56-U56&gt;0,U56-V56,0)</f>
        <v/>
      </c>
      <c r="X56" s="197">
        <f>IF(A56=0,0,IF($R$10="N",IF(W56&lt;0,MIN(G56+1,$Y$11),"No aplica"),"No aplica"))</f>
        <v/>
      </c>
      <c r="Y56" s="197">
        <f>IFERROR(IF(X56-U56&gt;0,U56-X56,0),0)</f>
        <v/>
      </c>
      <c r="Z56" s="5" t="n"/>
      <c r="AA56" s="5" t="n"/>
      <c r="AB56" s="5" t="n"/>
      <c r="AC56" s="5" t="n"/>
      <c r="AD56" s="5" t="n"/>
      <c r="AE56" s="5" t="n"/>
    </row>
    <row r="57">
      <c r="A57" s="5" t="n"/>
      <c r="B57" s="5" t="n"/>
      <c r="C57" s="5" t="n"/>
      <c r="D57" s="6" t="n"/>
      <c r="E57" s="197">
        <f>+$D57*0.7</f>
        <v/>
      </c>
      <c r="F57" s="197">
        <f>+$D57*0.6</f>
        <v/>
      </c>
      <c r="G57" s="197">
        <f>+$D57*0.5</f>
        <v/>
      </c>
      <c r="H57" s="197">
        <f>+$D57*0.4</f>
        <v/>
      </c>
      <c r="I57" s="198" t="n"/>
      <c r="J57" s="198" t="n"/>
      <c r="K57" s="198" t="n"/>
      <c r="L57" s="198" t="n"/>
      <c r="M57" s="197">
        <f>SUM(I57:L57)</f>
        <v/>
      </c>
      <c r="N57" s="8">
        <f>IFERROR(M57/SUM($M$30:$M$59),0)</f>
        <v/>
      </c>
      <c r="O57" s="197">
        <f>MIN(I57,$D$10*N57)</f>
        <v/>
      </c>
      <c r="P57" s="197">
        <f>MIN($D$11*N57,J57)</f>
        <v/>
      </c>
      <c r="Q57" s="197">
        <f>MIN(K57,($D$12+$K$11)*N57)</f>
        <v/>
      </c>
      <c r="R57" s="7">
        <f>MIN(($K$12+$D$13)*N57,L57)</f>
        <v/>
      </c>
      <c r="S57" s="197">
        <f>SUM(O57:R57)</f>
        <v/>
      </c>
      <c r="T57" s="197">
        <f>($K$14+$K$15)*N57</f>
        <v/>
      </c>
      <c r="U57" s="197">
        <f>S57+T57</f>
        <v/>
      </c>
      <c r="V57" s="197">
        <f>IF($R$10="Y",IF(A57=0,0,IF(B57="N",MIN(G57,IF(H57&lt;S57,S57,H57)),IF(B57="Y",MIN(E57,IF(F57&lt;S57,S57,F57))))),IF(B57="N",MIN(G57,S57),IF(E57&gt;S57,F57,E57)))</f>
        <v/>
      </c>
      <c r="W57" s="197">
        <f>IF(V57-U57&gt;0,U57-V57,0)</f>
        <v/>
      </c>
      <c r="X57" s="197">
        <f>IF(A57=0,0,IF($R$10="N",IF(W57&lt;0,MIN(G57+1,$Y$11),"No aplica"),"No aplica"))</f>
        <v/>
      </c>
      <c r="Y57" s="197">
        <f>IFERROR(IF(X57-U57&gt;0,U57-X57,0),0)</f>
        <v/>
      </c>
      <c r="Z57" s="5" t="n"/>
      <c r="AA57" s="5" t="n"/>
      <c r="AB57" s="5" t="n"/>
      <c r="AC57" s="5" t="n"/>
      <c r="AD57" s="5" t="n"/>
      <c r="AE57" s="5" t="n"/>
    </row>
    <row r="58">
      <c r="A58" s="5" t="n"/>
      <c r="B58" s="5" t="n"/>
      <c r="C58" s="5" t="n"/>
      <c r="D58" s="6" t="n"/>
      <c r="E58" s="197">
        <f>+$D58*0.7</f>
        <v/>
      </c>
      <c r="F58" s="197">
        <f>+$D58*0.6</f>
        <v/>
      </c>
      <c r="G58" s="197">
        <f>+$D58*0.5</f>
        <v/>
      </c>
      <c r="H58" s="197">
        <f>+$D58*0.4</f>
        <v/>
      </c>
      <c r="I58" s="198" t="n"/>
      <c r="J58" s="198" t="n"/>
      <c r="K58" s="198" t="n"/>
      <c r="L58" s="198" t="n"/>
      <c r="M58" s="197">
        <f>SUM(I58:L58)</f>
        <v/>
      </c>
      <c r="N58" s="8">
        <f>IFERROR(M58/SUM($M$30:$M$59),0)</f>
        <v/>
      </c>
      <c r="O58" s="197">
        <f>MIN(I58,$D$10*N58)</f>
        <v/>
      </c>
      <c r="P58" s="197">
        <f>MIN($D$11*N58,J58)</f>
        <v/>
      </c>
      <c r="Q58" s="197">
        <f>MIN(K58,($D$12+$K$11)*N58)</f>
        <v/>
      </c>
      <c r="R58" s="7">
        <f>MIN(($K$12+$D$13)*N58,L58)</f>
        <v/>
      </c>
      <c r="S58" s="197">
        <f>SUM(O58:R58)</f>
        <v/>
      </c>
      <c r="T58" s="197">
        <f>($K$14+$K$15)*N58</f>
        <v/>
      </c>
      <c r="U58" s="197">
        <f>S58+T58</f>
        <v/>
      </c>
      <c r="V58" s="197">
        <f>IF($R$10="Y",IF(A58=0,0,IF(B58="N",MIN(G58,IF(H58&lt;S58,S58,H58)),IF(B58="Y",MIN(E58,IF(F58&lt;S58,S58,F58))))),IF(B58="N",MIN(G58,S58),IF(E58&gt;S58,F58,E58)))</f>
        <v/>
      </c>
      <c r="W58" s="197">
        <f>IF(V58-U58&gt;0,U58-V58,0)</f>
        <v/>
      </c>
      <c r="X58" s="197">
        <f>IF(A58=0,0,IF($R$10="N",IF(W58&lt;0,MIN(G58+1,$Y$11),"No aplica"),"No aplica"))</f>
        <v/>
      </c>
      <c r="Y58" s="197">
        <f>IFERROR(IF(X58-U58&gt;0,U58-X58,0),0)</f>
        <v/>
      </c>
      <c r="Z58" s="5" t="n"/>
      <c r="AA58" s="5" t="n"/>
      <c r="AB58" s="5" t="n"/>
      <c r="AC58" s="5" t="n"/>
      <c r="AD58" s="5" t="n"/>
      <c r="AE58" s="5" t="n"/>
    </row>
    <row r="59">
      <c r="A59" s="5" t="n"/>
      <c r="B59" s="5" t="n"/>
      <c r="C59" s="5" t="n"/>
      <c r="D59" s="6" t="n"/>
      <c r="E59" s="197">
        <f>+$D59*0.7</f>
        <v/>
      </c>
      <c r="F59" s="197">
        <f>+$D59*0.6</f>
        <v/>
      </c>
      <c r="G59" s="197">
        <f>+$D59*0.5</f>
        <v/>
      </c>
      <c r="H59" s="197">
        <f>+$D59*0.4</f>
        <v/>
      </c>
      <c r="I59" s="198" t="n"/>
      <c r="J59" s="198" t="n"/>
      <c r="K59" s="198" t="n"/>
      <c r="L59" s="198" t="n"/>
      <c r="M59" s="197">
        <f>SUM(I59:L59)</f>
        <v/>
      </c>
      <c r="N59" s="8">
        <f>IFERROR(M59/SUM($M$30:$M$59),0)</f>
        <v/>
      </c>
      <c r="O59" s="197">
        <f>MIN(I59,$D$10*N59)</f>
        <v/>
      </c>
      <c r="P59" s="197">
        <f>MIN($D$11*N59,J59)</f>
        <v/>
      </c>
      <c r="Q59" s="197">
        <f>MIN(K59,($D$12+$K$11)*N59)</f>
        <v/>
      </c>
      <c r="R59" s="7">
        <f>MIN(($K$12+$D$13)*N59,L59)</f>
        <v/>
      </c>
      <c r="S59" s="197">
        <f>SUM(O59:R59)</f>
        <v/>
      </c>
      <c r="T59" s="197">
        <f>($K$14+$K$15)*N59</f>
        <v/>
      </c>
      <c r="U59" s="197">
        <f>S59+T59</f>
        <v/>
      </c>
      <c r="V59" s="197">
        <f>IF($R$10="Y",IF(A59=0,0,IF(B59="N",MIN(G59,IF(H59&lt;S59,S59,H59)),IF(B59="Y",MIN(E59,IF(F59&lt;S59,S59,F59))))),IF(B59="N",MIN(G59,S59),IF(E59&gt;S59,F59,E59)))</f>
        <v/>
      </c>
      <c r="W59" s="197">
        <f>IF(V59-U59&gt;0,U59-V59,0)</f>
        <v/>
      </c>
      <c r="X59" s="197">
        <f>IF(A59=0,0,IF($R$10="N",IF(W59&lt;0,MIN(G59+1,$Y$11),"No aplica"),"No aplica"))</f>
        <v/>
      </c>
      <c r="Y59" s="197">
        <f>IFERROR(IF(X59-U59&gt;0,U59-X59,0),0)</f>
        <v/>
      </c>
      <c r="Z59" s="5" t="n"/>
      <c r="AA59" s="5" t="n"/>
      <c r="AB59" s="5" t="n"/>
      <c r="AC59" s="5" t="n"/>
      <c r="AD59" s="5" t="n"/>
      <c r="AE59" s="5" t="n"/>
    </row>
    <row r="60">
      <c r="A60" s="9" t="inlineStr">
        <is>
          <t>TOTALES</t>
        </is>
      </c>
      <c r="D60" s="10">
        <f>SUBTOTAL(9,D30:D59)</f>
        <v/>
      </c>
      <c r="E60" s="10">
        <f>SUBTOTAL(9,E30:E59)</f>
        <v/>
      </c>
      <c r="F60" s="10">
        <f>SUBTOTAL(9,F30:F59)</f>
        <v/>
      </c>
      <c r="G60" s="10">
        <f>SUBTOTAL(9,G30:G59)</f>
        <v/>
      </c>
      <c r="I60" s="10">
        <f>SUBTOTAL(9,I30:I59)</f>
        <v/>
      </c>
      <c r="J60" s="10">
        <f>SUBTOTAL(9,J30:J59)</f>
        <v/>
      </c>
      <c r="K60" s="10">
        <f>SUBTOTAL(9,K30:K59)</f>
        <v/>
      </c>
      <c r="L60" s="10">
        <f>SUBTOTAL(9,L30:L59)</f>
        <v/>
      </c>
      <c r="M60" s="10">
        <f>SUBTOTAL(9,M30:M59)</f>
        <v/>
      </c>
      <c r="O60" s="10">
        <f>SUBTOTAL(9,O30:O59)</f>
        <v/>
      </c>
      <c r="P60" s="10">
        <f>SUBTOTAL(9,P30:P59)</f>
        <v/>
      </c>
      <c r="Q60" s="10">
        <f>SUBTOTAL(9,Q30:Q59)</f>
        <v/>
      </c>
      <c r="R60" s="10">
        <f>SUBTOTAL(9,R30:R59)</f>
        <v/>
      </c>
      <c r="S60" s="10">
        <f>SUBTOTAL(9,S30:S59)</f>
        <v/>
      </c>
      <c r="T60" s="10">
        <f>SUBTOTAL(9,T30:T59)</f>
        <v/>
      </c>
      <c r="U60" s="10">
        <f>SUBTOTAL(9,U30:U59)</f>
        <v/>
      </c>
      <c r="V60" s="10">
        <f>SUBTOTAL(9,V30:V59)</f>
        <v/>
      </c>
      <c r="W60" s="10">
        <f>SUBTOTAL(9,W30:W59)</f>
        <v/>
      </c>
      <c r="X60" s="10">
        <f>SUBTOTAL(9,X30:X59)</f>
        <v/>
      </c>
      <c r="Y60" s="10">
        <f>SUBTOTAL(9,Y30:Y59)</f>
        <v/>
      </c>
    </row>
  </sheetData>
  <mergeCells count="112">
    <mergeCell ref="V10:X10"/>
    <mergeCell ref="Y11:AA11"/>
    <mergeCell ref="D11:F11"/>
    <mergeCell ref="O28:S28"/>
    <mergeCell ref="A21:C21"/>
    <mergeCell ref="H17:J17"/>
    <mergeCell ref="H11:J11"/>
    <mergeCell ref="A4:AE4"/>
    <mergeCell ref="A23:C23"/>
    <mergeCell ref="V28:W28"/>
    <mergeCell ref="H22:J22"/>
    <mergeCell ref="X28:Y28"/>
    <mergeCell ref="R12:AA13"/>
    <mergeCell ref="D12:F12"/>
    <mergeCell ref="F5:J5"/>
    <mergeCell ref="K17:M17"/>
    <mergeCell ref="O15:AA15"/>
    <mergeCell ref="D14:F14"/>
    <mergeCell ref="K10:M10"/>
    <mergeCell ref="D23:F23"/>
    <mergeCell ref="Z28:AE28"/>
    <mergeCell ref="F6:J7"/>
    <mergeCell ref="K16:M16"/>
    <mergeCell ref="O10:Q10"/>
    <mergeCell ref="P6:T7"/>
    <mergeCell ref="K20:M20"/>
    <mergeCell ref="H21:J21"/>
    <mergeCell ref="K11:M11"/>
    <mergeCell ref="Y20:AA20"/>
    <mergeCell ref="A2:AE2"/>
    <mergeCell ref="K22:M22"/>
    <mergeCell ref="Z6:AE7"/>
    <mergeCell ref="D17:F17"/>
    <mergeCell ref="K5:O5"/>
    <mergeCell ref="Y22:AA22"/>
    <mergeCell ref="K12:M12"/>
    <mergeCell ref="A12:C12"/>
    <mergeCell ref="A28:D28"/>
    <mergeCell ref="H16:J16"/>
    <mergeCell ref="O23:X23"/>
    <mergeCell ref="A14:C14"/>
    <mergeCell ref="K14:M14"/>
    <mergeCell ref="O12:Q12"/>
    <mergeCell ref="K23:M23"/>
    <mergeCell ref="R17:T17"/>
    <mergeCell ref="I28:M28"/>
    <mergeCell ref="O24:X24"/>
    <mergeCell ref="A13:C13"/>
    <mergeCell ref="Y23:AA23"/>
    <mergeCell ref="U6:Y7"/>
    <mergeCell ref="A5:E5"/>
    <mergeCell ref="A15:C15"/>
    <mergeCell ref="V17:X17"/>
    <mergeCell ref="A24:C24"/>
    <mergeCell ref="H20:J20"/>
    <mergeCell ref="R11:T11"/>
    <mergeCell ref="Y24:AA24"/>
    <mergeCell ref="O25:X25"/>
    <mergeCell ref="D21:F21"/>
    <mergeCell ref="A27:AE27"/>
    <mergeCell ref="P5:T5"/>
    <mergeCell ref="A16:C16"/>
    <mergeCell ref="Y10:AA10"/>
    <mergeCell ref="Y17:AA17"/>
    <mergeCell ref="D16:F16"/>
    <mergeCell ref="Y25:AA25"/>
    <mergeCell ref="A19:M19"/>
    <mergeCell ref="Z5:AE5"/>
    <mergeCell ref="H13:J13"/>
    <mergeCell ref="A9:M9"/>
    <mergeCell ref="A22:C22"/>
    <mergeCell ref="O17:Q17"/>
    <mergeCell ref="O19:AA19"/>
    <mergeCell ref="A20:C20"/>
    <mergeCell ref="V16:X16"/>
    <mergeCell ref="H15:J15"/>
    <mergeCell ref="H24:J24"/>
    <mergeCell ref="O9:AA9"/>
    <mergeCell ref="K13:M13"/>
    <mergeCell ref="A1:AE1"/>
    <mergeCell ref="K6:O7"/>
    <mergeCell ref="D20:F20"/>
    <mergeCell ref="K15:M15"/>
    <mergeCell ref="K24:M24"/>
    <mergeCell ref="H10:J10"/>
    <mergeCell ref="D22:F22"/>
    <mergeCell ref="K21:M21"/>
    <mergeCell ref="T28:U28"/>
    <mergeCell ref="Y21:AA21"/>
    <mergeCell ref="D13:F13"/>
    <mergeCell ref="O16:Q16"/>
    <mergeCell ref="V11:X11"/>
    <mergeCell ref="Y16:AA16"/>
    <mergeCell ref="A17:C17"/>
    <mergeCell ref="H12:J12"/>
    <mergeCell ref="D15:F15"/>
    <mergeCell ref="D24:F24"/>
    <mergeCell ref="A10:C10"/>
    <mergeCell ref="O11:Q11"/>
    <mergeCell ref="H14:J14"/>
    <mergeCell ref="H23:J23"/>
    <mergeCell ref="O20:X20"/>
    <mergeCell ref="E28:H28"/>
    <mergeCell ref="D10:F10"/>
    <mergeCell ref="A11:C11"/>
    <mergeCell ref="O22:X22"/>
    <mergeCell ref="R10:T10"/>
    <mergeCell ref="U5:Y5"/>
    <mergeCell ref="A6:E7"/>
    <mergeCell ref="O21:X21"/>
    <mergeCell ref="R16:T16"/>
    <mergeCell ref="N28"/>
  </mergeCells>
  <conditionalFormatting sqref="Z6">
    <cfRule type="cellIs" priority="1" operator="lessThan" dxfId="1">
      <formula>1</formula>
    </cfRule>
    <cfRule type="cellIs" priority="2" operator="greaterThanOrEqual" dxfId="0">
      <formula>1</formula>
    </cfRule>
  </conditionalFormatting>
  <dataValidations count="4">
    <dataValidation sqref="D20" showDropDown="0" showInputMessage="0" showErrorMessage="0" allowBlank="1" type="list">
      <formula1>"FIJO,VARIABLE"</formula1>
    </dataValidation>
    <dataValidation sqref="B30:B59 D21 R10" showDropDown="0" showInputMessage="0" showErrorMessage="0" allowBlank="1" type="list">
      <formula1>"Y,N"</formula1>
    </dataValidation>
    <dataValidation sqref="D24" showDropDown="0" showInputMessage="0" showErrorMessage="0" allowBlank="1" type="list">
      <formula1>"Sí,No"</formula1>
    </dataValidation>
    <dataValidation sqref="Y20:Y25" showDropDown="0" showInputMessage="0" showErrorMessage="0" allowBlank="1" type="list">
      <formula1>"✓,✗"</formula1>
    </dataValidation>
  </dataValidations>
  <pageMargins left="0.25" right="0.25" top="0.75" bottom="0.75" header="0.3" footer="0.3"/>
  <pageSetup orientation="landscape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8"/>
  <sheetViews>
    <sheetView showGridLines="0" workbookViewId="0">
      <selection activeCell="A1" sqref="A1"/>
    </sheetView>
  </sheetViews>
  <sheetFormatPr baseColWidth="8" defaultRowHeight="15"/>
  <cols>
    <col width="22" customWidth="1" style="123" min="2" max="2"/>
    <col width="34" customWidth="1" style="123" min="3" max="3"/>
    <col width="20" customWidth="1" style="123" min="4" max="4"/>
    <col width="20" customWidth="1" style="123" min="5" max="5"/>
    <col width="14" customWidth="1" style="123" min="6" max="6"/>
  </cols>
  <sheetData>
    <row r="1">
      <c r="B1" s="245" t="inlineStr">
        <is>
          <t>COMPARATIVA DE TIPOS — misma deuda, 4 escenarios</t>
        </is>
      </c>
      <c r="C1" s="246" t="n"/>
      <c r="D1" s="246" t="n"/>
      <c r="E1" s="246" t="n"/>
      <c r="F1" s="246" t="n"/>
    </row>
    <row r="2">
      <c r="B2" s="247" t="inlineStr">
        <is>
          <t>Datos en «Informe Subasta»; aquí se calculan los 4 escenarios a la vez.</t>
        </is>
      </c>
    </row>
    <row r="4">
      <c r="B4" s="248" t="inlineStr">
        <is>
          <t>Escenario</t>
        </is>
      </c>
      <c r="C4" s="248" t="inlineStr">
        <is>
          <t>Tipo / base</t>
        </is>
      </c>
      <c r="D4" s="248" t="inlineStr">
        <is>
          <t>Interés devengado (€)</t>
        </is>
      </c>
      <c r="E4" s="248" t="inlineStr">
        <is>
          <t>TOTAL DEUDA (€)</t>
        </is>
      </c>
      <c r="F4" s="248" t="inlineStr">
        <is>
          <t>Tipo medio</t>
        </is>
      </c>
    </row>
    <row r="5">
      <c r="B5" s="249" t="inlineStr">
        <is>
          <t>Fijo — CONSUMIDOR</t>
        </is>
      </c>
      <c r="C5" s="250" t="inlineStr">
        <is>
          <t>InterestApplicableRate</t>
        </is>
      </c>
      <c r="D5" s="251">
        <f>('Informe Subasta'!$D$16-'Informe Subasta'!$D$15)*'Informe Subasta'!$D$22*'Informe Subasta'!$D$10/365</f>
        <v/>
      </c>
      <c r="E5" s="251">
        <f>'Informe Subasta'!$K$10+D5+IF('Informe Subasta'!$D$17&gt;0,'Informe Subasta'!$K$12,'Informe Subasta'!$D$14)</f>
        <v/>
      </c>
      <c r="F5" s="252">
        <f>IFERROR(D5*36500/('Informe Subasta'!$D$10*('Informe Subasta'!$D$16-'Informe Subasta'!$D$15)),0)</f>
        <v/>
      </c>
    </row>
    <row r="6">
      <c r="B6" s="249" t="inlineStr">
        <is>
          <t>Fijo — NO consumidor</t>
        </is>
      </c>
      <c r="C6" s="250" t="inlineStr">
        <is>
          <t>PenaltyInterestApplicableRate</t>
        </is>
      </c>
      <c r="D6" s="251">
        <f>('Informe Subasta'!$D$16-'Informe Subasta'!$D$15)*'Informe Subasta'!$D$23*'Informe Subasta'!$D$10/365</f>
        <v/>
      </c>
      <c r="E6" s="251">
        <f>'Informe Subasta'!$K$10+D6+IF('Informe Subasta'!$D$17&gt;0,'Informe Subasta'!$K$12,'Informe Subasta'!$D$14)</f>
        <v/>
      </c>
      <c r="F6" s="252">
        <f>IFERROR(D6*36500/('Informe Subasta'!$D$10*('Informe Subasta'!$D$16-'Informe Subasta'!$D$15)),0)</f>
        <v/>
      </c>
    </row>
    <row r="7">
      <c r="B7" s="249" t="inlineStr">
        <is>
          <t>Variable</t>
        </is>
      </c>
      <c r="C7" s="250" t="inlineStr">
        <is>
          <t>ReferenceRate + DifferentialRate</t>
        </is>
      </c>
      <c r="D7" s="251">
        <f>SUM('CI Variable'!$O$5:$O$304)</f>
        <v/>
      </c>
      <c r="E7" s="251">
        <f>'Informe Subasta'!$K$10+D7+IF('Informe Subasta'!$D$17&gt;0,'Informe Subasta'!$K$12,'Informe Subasta'!$D$14)</f>
        <v/>
      </c>
      <c r="F7" s="252">
        <f>IFERROR(D7*36500/('Informe Subasta'!$D$10*('Informe Subasta'!$D$16-'Informe Subasta'!$D$15)),0)</f>
        <v/>
      </c>
    </row>
    <row r="8">
      <c r="B8" s="249" t="inlineStr">
        <is>
          <t>Variable +3%</t>
        </is>
      </c>
      <c r="C8" s="250" t="inlineStr">
        <is>
          <t>Ref + Diff + 3 puntos</t>
        </is>
      </c>
      <c r="D8" s="251">
        <f>SUM('CI Variable +3%'!$O$5:$O$304)</f>
        <v/>
      </c>
      <c r="E8" s="251">
        <f>'Informe Subasta'!$K$10+D8+IF('Informe Subasta'!$D$17&gt;0,'Informe Subasta'!$K$12,'Informe Subasta'!$D$14)</f>
        <v/>
      </c>
      <c r="F8" s="252">
        <f>IFERROR(D8*36500/('Informe Subasta'!$D$10*('Informe Subasta'!$D$16-'Informe Subasta'!$D$15)),0)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theme="6" tint="0.7999816888943144"/>
    <outlinePr summaryBelow="1" summaryRight="1"/>
    <pageSetUpPr fitToPage="1"/>
  </sheetPr>
  <dimension ref="A1:P304"/>
  <sheetViews>
    <sheetView zoomScale="68" zoomScaleNormal="89" workbookViewId="0">
      <pane xSplit="6" ySplit="4" topLeftCell="G7" activePane="bottomRight" state="frozen"/>
      <selection pane="topRight" activeCell="A1" sqref="A1"/>
      <selection pane="bottomLeft" activeCell="A1" sqref="A1"/>
      <selection pane="bottomRight" activeCell="L12" sqref="L12"/>
    </sheetView>
  </sheetViews>
  <sheetFormatPr baseColWidth="8" defaultRowHeight="14.5"/>
  <cols>
    <col width="26" customWidth="1" style="123" min="1" max="1"/>
    <col width="3" customWidth="1" style="123" min="2" max="3"/>
    <col width="11" customWidth="1" style="123" min="4" max="4"/>
    <col width="7.26953125" customWidth="1" style="123" min="5" max="5"/>
    <col width="2" customWidth="1" style="123" min="6" max="6"/>
    <col width="6" customWidth="1" style="123" min="7" max="7"/>
    <col width="13" customWidth="1" style="123" min="8" max="9"/>
    <col width="7" customWidth="1" style="123" min="10" max="10"/>
    <col width="13" customWidth="1" style="123" min="11" max="11"/>
    <col width="12" customWidth="1" style="123" min="12" max="14"/>
    <col width="14" customWidth="1" style="123" min="15" max="15"/>
    <col width="16" customWidth="1" style="123" min="16" max="16"/>
  </cols>
  <sheetData>
    <row r="1" ht="15.75" customHeight="1" s="123">
      <c r="A1" s="160" t="inlineStr">
        <is>
          <t>CÁLCULO AUTOMÁTICO DE INTERESES (por tramos)</t>
        </is>
      </c>
    </row>
    <row r="2">
      <c r="A2" s="162" t="inlineStr">
        <is>
          <t>Interés simple, Actual/365 = capital × tipo% × días ÷ 36.500. Datos enlazados desde «Informe Subasta» (no editar aquí).</t>
        </is>
      </c>
    </row>
    <row r="4" ht="26.15" customHeight="1" s="123">
      <c r="A4" s="144" t="inlineStr">
        <is>
          <t>PARÁMETROS (enlazados)</t>
        </is>
      </c>
      <c r="B4" s="131" t="n"/>
      <c r="C4" s="131" t="n"/>
      <c r="D4" s="131" t="n"/>
      <c r="E4" s="132" t="n"/>
      <c r="G4" s="4" t="inlineStr">
        <is>
          <t>Nº</t>
        </is>
      </c>
      <c r="H4" s="4" t="inlineStr">
        <is>
          <t>Fecha inicio</t>
        </is>
      </c>
      <c r="I4" s="4" t="inlineStr">
        <is>
          <t>Fecha fin</t>
        </is>
      </c>
      <c r="J4" s="4" t="inlineStr">
        <is>
          <t>Días</t>
        </is>
      </c>
      <c r="K4" s="4" t="inlineStr">
        <is>
          <t>Fecha ref. tipo</t>
        </is>
      </c>
      <c r="L4" s="4" t="inlineStr">
        <is>
          <t>Tipo base (%)</t>
        </is>
      </c>
      <c r="M4" s="4" t="inlineStr">
        <is>
          <t>Diferencial (%)</t>
        </is>
      </c>
      <c r="N4" s="4" t="inlineStr">
        <is>
          <t>Tipo aplicado (%)</t>
        </is>
      </c>
      <c r="O4" s="4" t="inlineStr">
        <is>
          <t>Intereses (€)</t>
        </is>
      </c>
      <c r="P4" s="4" t="inlineStr">
        <is>
          <t>Deuda acumulada (€)</t>
        </is>
      </c>
    </row>
    <row r="5">
      <c r="A5" s="135" t="inlineStr">
        <is>
          <t>Principal (€)</t>
        </is>
      </c>
      <c r="B5" s="131" t="n"/>
      <c r="C5" s="132" t="n"/>
      <c r="D5" s="194">
        <f>'Informe Subasta'!$D$10</f>
        <v/>
      </c>
      <c r="E5" s="132" t="n"/>
      <c r="G5" s="11">
        <f>IF(H5="","",ROW()-4)</f>
        <v/>
      </c>
      <c r="H5" s="12">
        <f>IF($D$8="FIJO","",$D$6)</f>
        <v/>
      </c>
      <c r="I5" s="12">
        <f>IF(H5="","",MIN(IF($D$18="LEGAL",DATE(YEAR(H5)+1,1,1),EDATE($D$12,$D$11*(INT((((YEAR(H5)-YEAR($D$12))*12+(MONTH(H5)-MONTH($D$12))-IF(DAY(H5)&lt;DAY($D$12),1,0))/$D$11))+1))),$D$7))</f>
        <v/>
      </c>
      <c r="J5" s="11">
        <f>IF(H5="","",I5-H5)</f>
        <v/>
      </c>
      <c r="K5" s="12">
        <f>IF(H5="","",IF($D$18="LEGAL",H5,EDATE($D$12,-$D$13)))</f>
        <v/>
      </c>
      <c r="L5" s="13">
        <f>IF(H5="","",IFERROR(INDEX('Tipos BdE'!$B$7:$M$336,MATCH(DATE(YEAR(K5),MONTH(K5),1),'Tipos BdE'!$A$7:$A$336,1),MATCH($D$9,'Tipos BdE'!$B$6:$M$6,0)),0))</f>
        <v/>
      </c>
      <c r="M5" s="13">
        <f>IF(H5="","",IF($D$18="LEGAL",0,$D$10))</f>
        <v/>
      </c>
      <c r="N5" s="13">
        <f>IF(H5="","",IF(AND($D$14="Sí",(L5+M5)&lt;0),0,L5+M5))</f>
        <v/>
      </c>
      <c r="O5" s="199">
        <f>IF(H5="","",$D$5*N5*J5/36500)</f>
        <v/>
      </c>
      <c r="P5" s="199">
        <f>IF(H5="","",$D$5+SUM($O$5:O5))</f>
        <v/>
      </c>
    </row>
    <row r="6">
      <c r="A6" s="135" t="inlineStr">
        <is>
          <t>AccountClosureDate (cierre)</t>
        </is>
      </c>
      <c r="B6" s="131" t="n"/>
      <c r="C6" s="132" t="n"/>
      <c r="D6" s="158">
        <f>'Informe Subasta'!$D$15</f>
        <v/>
      </c>
      <c r="E6" s="132" t="n"/>
      <c r="G6" s="11">
        <f>IF(H6="","",ROW()-4)</f>
        <v/>
      </c>
      <c r="H6" s="12">
        <f>IF(OR(I5="",I5&gt;=$D$7),"",I5)</f>
        <v/>
      </c>
      <c r="I6" s="12">
        <f>IF(H6="","",MIN(IF($D$18="LEGAL",DATE(YEAR(H6)+1,1,1),EDATE($D$12,$D$11*(INT((((YEAR(H6)-YEAR($D$12))*12+(MONTH(H6)-MONTH($D$12))-IF(DAY(H6)&lt;DAY($D$12),1,0))/$D$11))+1))),$D$7))</f>
        <v/>
      </c>
      <c r="J6" s="11">
        <f>IF(H6="","",I6-H6)</f>
        <v/>
      </c>
      <c r="K6" s="12">
        <f>IF(H6="","",IF($D$18="LEGAL",H6,EDATE(H6,-$D$13)))</f>
        <v/>
      </c>
      <c r="L6" s="13">
        <f>IF(H6="","",IFERROR(INDEX('Tipos BdE'!$B$7:$M$336,MATCH(DATE(YEAR(K6),MONTH(K6),1),'Tipos BdE'!$A$7:$A$336,1),MATCH($D$9,'Tipos BdE'!$B$6:$M$6,0)),0))</f>
        <v/>
      </c>
      <c r="M6" s="13">
        <f>IF(H6="","",IF($D$18="LEGAL",0,$D$10))</f>
        <v/>
      </c>
      <c r="N6" s="13">
        <f>IF(H6="","",IF(AND($D$14="Sí",(L6+M6)&lt;0),0,L6+M6))</f>
        <v/>
      </c>
      <c r="O6" s="199">
        <f>IF(H6="","",$D$5*N6*J6/36500)</f>
        <v/>
      </c>
      <c r="P6" s="199">
        <f>IF(H6="","",$D$5+SUM($O$5:O6))</f>
        <v/>
      </c>
    </row>
    <row r="7">
      <c r="A7" s="135" t="inlineStr">
        <is>
          <t>CalculationDate</t>
        </is>
      </c>
      <c r="B7" s="131" t="n"/>
      <c r="C7" s="132" t="n"/>
      <c r="D7" s="158">
        <f>'Informe Subasta'!$D$16</f>
        <v/>
      </c>
      <c r="E7" s="132" t="n"/>
      <c r="G7" s="11">
        <f>IF(H7="","",ROW()-4)</f>
        <v/>
      </c>
      <c r="H7" s="12">
        <f>IF(OR(I6="",I6&gt;=$D$7),"",I6)</f>
        <v/>
      </c>
      <c r="I7" s="12">
        <f>IF(H7="","",MIN(IF($D$18="LEGAL",DATE(YEAR(H7)+1,1,1),EDATE($D$12,$D$11*(INT((((YEAR(H7)-YEAR($D$12))*12+(MONTH(H7)-MONTH($D$12))-IF(DAY(H7)&lt;DAY($D$12),1,0))/$D$11))+1))),$D$7))</f>
        <v/>
      </c>
      <c r="J7" s="11">
        <f>IF(H7="","",I7-H7)</f>
        <v/>
      </c>
      <c r="K7" s="12">
        <f>IF(H7="","",IF($D$18="LEGAL",H7,EDATE(H7,-$D$13)))</f>
        <v/>
      </c>
      <c r="L7" s="13">
        <f>IF(H7="","",IFERROR(INDEX('Tipos BdE'!$B$7:$M$336,MATCH(DATE(YEAR(K7),MONTH(K7),1),'Tipos BdE'!$A$7:$A$336,1),MATCH($D$9,'Tipos BdE'!$B$6:$M$6,0)),0))</f>
        <v/>
      </c>
      <c r="M7" s="13">
        <f>IF(H7="","",IF($D$18="LEGAL",0,$D$10))</f>
        <v/>
      </c>
      <c r="N7" s="13">
        <f>IF(H7="","",IF(AND($D$14="Sí",(L7+M7)&lt;0),0,L7+M7))</f>
        <v/>
      </c>
      <c r="O7" s="199">
        <f>IF(H7="","",$D$5*N7*J7/36500)</f>
        <v/>
      </c>
      <c r="P7" s="199">
        <f>IF(H7="","",$D$5+SUM($O$5:O7))</f>
        <v/>
      </c>
    </row>
    <row r="8">
      <c r="A8" s="135" t="inlineStr">
        <is>
          <t>Mode</t>
        </is>
      </c>
      <c r="B8" s="131" t="n"/>
      <c r="C8" s="132" t="n"/>
      <c r="D8" s="140">
        <f>'Informe Subasta'!$D$20</f>
        <v/>
      </c>
      <c r="E8" s="132" t="n"/>
      <c r="G8" s="11">
        <f>IF(H8="","",ROW()-4)</f>
        <v/>
      </c>
      <c r="H8" s="12">
        <f>IF(OR(I7="",I7&gt;=$D$7),"",I7)</f>
        <v/>
      </c>
      <c r="I8" s="12">
        <f>IF(H8="","",MIN(IF($D$18="LEGAL",DATE(YEAR(H8)+1,1,1),EDATE($D$12,$D$11*(INT((((YEAR(H8)-YEAR($D$12))*12+(MONTH(H8)-MONTH($D$12))-IF(DAY(H8)&lt;DAY($D$12),1,0))/$D$11))+1))),$D$7))</f>
        <v/>
      </c>
      <c r="J8" s="11">
        <f>IF(H8="","",I8-H8)</f>
        <v/>
      </c>
      <c r="K8" s="12">
        <f>IF(H8="","",IF($D$18="LEGAL",H8,EDATE(H8,-$D$13)))</f>
        <v/>
      </c>
      <c r="L8" s="13">
        <f>IF(H8="","",IFERROR(INDEX('Tipos BdE'!$B$7:$M$336,MATCH(DATE(YEAR(K8),MONTH(K8),1),'Tipos BdE'!$A$7:$A$336,1),MATCH($D$9,'Tipos BdE'!$B$6:$M$6,0)),0))</f>
        <v/>
      </c>
      <c r="M8" s="13">
        <f>IF(H8="","",IF($D$18="LEGAL",0,$D$10))</f>
        <v/>
      </c>
      <c r="N8" s="13">
        <f>IF(H8="","",IF(AND($D$14="Sí",(L8+M8)&lt;0),0,L8+M8))</f>
        <v/>
      </c>
      <c r="O8" s="199">
        <f>IF(H8="","",$D$5*N8*J8/36500)</f>
        <v/>
      </c>
      <c r="P8" s="199">
        <f>IF(H8="","",$D$5+SUM($O$5:O8))</f>
        <v/>
      </c>
    </row>
    <row r="9">
      <c r="A9" s="135" t="inlineStr">
        <is>
          <t>ReferenceRate (BdE)</t>
        </is>
      </c>
      <c r="B9" s="131" t="n"/>
      <c r="C9" s="132" t="n"/>
      <c r="D9" s="140">
        <f>'Informe Subasta'!$K$20</f>
        <v/>
      </c>
      <c r="E9" s="132" t="n"/>
      <c r="G9" s="11">
        <f>IF(H9="","",ROW()-4)</f>
        <v/>
      </c>
      <c r="H9" s="12">
        <f>IF(OR(I8="",I8&gt;=$D$7),"",I8)</f>
        <v/>
      </c>
      <c r="I9" s="12">
        <f>IF(H9="","",MIN(IF($D$18="LEGAL",DATE(YEAR(H9)+1,1,1),EDATE($D$12,$D$11*(INT((((YEAR(H9)-YEAR($D$12))*12+(MONTH(H9)-MONTH($D$12))-IF(DAY(H9)&lt;DAY($D$12),1,0))/$D$11))+1))),$D$7))</f>
        <v/>
      </c>
      <c r="J9" s="11">
        <f>IF(H9="","",I9-H9)</f>
        <v/>
      </c>
      <c r="K9" s="12">
        <f>IF(H9="","",IF($D$18="LEGAL",H9,EDATE(H9,-$D$13)))</f>
        <v/>
      </c>
      <c r="L9" s="13">
        <f>IF(H9="","",IFERROR(INDEX('Tipos BdE'!$B$7:$M$336,MATCH(DATE(YEAR(K9),MONTH(K9),1),'Tipos BdE'!$A$7:$A$336,1),MATCH($D$9,'Tipos BdE'!$B$6:$M$6,0)),0))</f>
        <v/>
      </c>
      <c r="M9" s="13">
        <f>IF(H9="","",IF($D$18="LEGAL",0,$D$10))</f>
        <v/>
      </c>
      <c r="N9" s="13">
        <f>IF(H9="","",IF(AND($D$14="Sí",(L9+M9)&lt;0),0,L9+M9))</f>
        <v/>
      </c>
      <c r="O9" s="199">
        <f>IF(H9="","",$D$5*N9*J9/36500)</f>
        <v/>
      </c>
      <c r="P9" s="199">
        <f>IF(H9="","",$D$5+SUM($O$5:O9))</f>
        <v/>
      </c>
    </row>
    <row r="10">
      <c r="A10" s="135" t="inlineStr">
        <is>
          <t>DifferentialRate (puntos)</t>
        </is>
      </c>
      <c r="B10" s="131" t="n"/>
      <c r="C10" s="132" t="n"/>
      <c r="D10" s="145">
        <f>'Informe Subasta'!$K$21</f>
        <v/>
      </c>
      <c r="E10" s="132" t="n"/>
      <c r="G10" s="11">
        <f>IF(H10="","",ROW()-4)</f>
        <v/>
      </c>
      <c r="H10" s="12">
        <f>IF(OR(I9="",I9&gt;=$D$7),"",I9)</f>
        <v/>
      </c>
      <c r="I10" s="12">
        <f>IF(H10="","",MIN(IF($D$18="LEGAL",DATE(YEAR(H10)+1,1,1),EDATE($D$12,$D$11*(INT((((YEAR(H10)-YEAR($D$12))*12+(MONTH(H10)-MONTH($D$12))-IF(DAY(H10)&lt;DAY($D$12),1,0))/$D$11))+1))),$D$7))</f>
        <v/>
      </c>
      <c r="J10" s="11">
        <f>IF(H10="","",I10-H10)</f>
        <v/>
      </c>
      <c r="K10" s="12">
        <f>IF(H10="","",IF($D$18="LEGAL",H10,EDATE(H10,-$D$13)))</f>
        <v/>
      </c>
      <c r="L10" s="13">
        <f>IF(H10="","",IFERROR(INDEX('Tipos BdE'!$B$7:$M$336,MATCH(DATE(YEAR(K10),MONTH(K10),1),'Tipos BdE'!$A$7:$A$336,1),MATCH($D$9,'Tipos BdE'!$B$6:$M$6,0)),0))</f>
        <v/>
      </c>
      <c r="M10" s="13">
        <f>IF(H10="","",IF($D$18="LEGAL",0,$D$10))</f>
        <v/>
      </c>
      <c r="N10" s="13">
        <f>IF(H10="","",IF(AND($D$14="Sí",(L10+M10)&lt;0),0,L10+M10))</f>
        <v/>
      </c>
      <c r="O10" s="199">
        <f>IF(H10="","",$D$5*N10*J10/36500)</f>
        <v/>
      </c>
      <c r="P10" s="199">
        <f>IF(H10="","",$D$5+SUM($O$5:O10))</f>
        <v/>
      </c>
    </row>
    <row r="11">
      <c r="A11" s="135" t="inlineStr">
        <is>
          <t>UpdateRateFrequency (meses)</t>
        </is>
      </c>
      <c r="B11" s="131" t="n"/>
      <c r="C11" s="132" t="n"/>
      <c r="D11" s="140">
        <f>'Informe Subasta'!$K$22</f>
        <v/>
      </c>
      <c r="E11" s="132" t="n"/>
      <c r="G11" s="11">
        <f>IF(H11="","",ROW()-4)</f>
        <v/>
      </c>
      <c r="H11" s="12">
        <f>IF(OR(I10="",I10&gt;=$D$7),"",I10)</f>
        <v/>
      </c>
      <c r="I11" s="12">
        <f>IF(H11="","",MIN(IF($D$18="LEGAL",DATE(YEAR(H11)+1,1,1),EDATE($D$12,$D$11*(INT((((YEAR(H11)-YEAR($D$12))*12+(MONTH(H11)-MONTH($D$12))-IF(DAY(H11)&lt;DAY($D$12),1,0))/$D$11))+1))),$D$7))</f>
        <v/>
      </c>
      <c r="J11" s="11">
        <f>IF(H11="","",I11-H11)</f>
        <v/>
      </c>
      <c r="K11" s="12">
        <f>IF(H11="","",IF($D$18="LEGAL",H11,EDATE(H11,-$D$13)))</f>
        <v/>
      </c>
      <c r="L11" s="13">
        <f>IF(H11="","",IFERROR(INDEX('Tipos BdE'!$B$7:$M$336,MATCH(DATE(YEAR(K11),MONTH(K11),1),'Tipos BdE'!$A$7:$A$336,1),MATCH($D$9,'Tipos BdE'!$B$6:$M$6,0)),0))</f>
        <v/>
      </c>
      <c r="M11" s="13">
        <f>IF(H11="","",IF($D$18="LEGAL",0,$D$10))</f>
        <v/>
      </c>
      <c r="N11" s="13">
        <f>IF(H11="","",IF(AND($D$14="Sí",(L11+M11)&lt;0),0,L11+M11))</f>
        <v/>
      </c>
      <c r="O11" s="199">
        <f>IF(H11="","",$D$5*N11*J11/36500)</f>
        <v/>
      </c>
      <c r="P11" s="199">
        <f>IF(H11="","",$D$5+SUM($O$5:O11))</f>
        <v/>
      </c>
    </row>
    <row r="12">
      <c r="A12" s="135" t="inlineStr">
        <is>
          <t>LastRateUpdateDate</t>
        </is>
      </c>
      <c r="B12" s="131" t="n"/>
      <c r="C12" s="132" t="n"/>
      <c r="D12" s="158">
        <f>'Informe Subasta'!$K$23</f>
        <v/>
      </c>
      <c r="E12" s="132" t="n"/>
      <c r="G12" s="11">
        <f>IF(H12="","",ROW()-4)</f>
        <v/>
      </c>
      <c r="H12" s="12">
        <f>IF(OR(I11="",I11&gt;=$D$7),"",I11)</f>
        <v/>
      </c>
      <c r="I12" s="12">
        <f>IF(H12="","",MIN(IF($D$18="LEGAL",DATE(YEAR(H12)+1,1,1),EDATE($D$12,$D$11*(INT((((YEAR(H12)-YEAR($D$12))*12+(MONTH(H12)-MONTH($D$12))-IF(DAY(H12)&lt;DAY($D$12),1,0))/$D$11))+1))),$D$7))</f>
        <v/>
      </c>
      <c r="J12" s="11">
        <f>IF(H12="","",I12-H12)</f>
        <v/>
      </c>
      <c r="K12" s="12">
        <f>IF(H12="","",IF($D$18="LEGAL",H12,EDATE(H12,-$D$13)))</f>
        <v/>
      </c>
      <c r="L12" s="13">
        <f>IF(H12="","",IFERROR(INDEX('Tipos BdE'!$B$7:$M$336,MATCH(DATE(YEAR(K12),MONTH(K12),1),'Tipos BdE'!$A$7:$A$336,1),MATCH($D$9,'Tipos BdE'!$B$6:$M$6,0)),0))</f>
        <v/>
      </c>
      <c r="M12" s="13">
        <f>IF(H12="","",IF($D$18="LEGAL",0,$D$10))</f>
        <v/>
      </c>
      <c r="N12" s="13">
        <f>IF(H12="","",IF(AND($D$14="Sí",(L12+M12)&lt;0),0,L12+M12))</f>
        <v/>
      </c>
      <c r="O12" s="199">
        <f>IF(H12="","",$D$5*N12*J12/36500)</f>
        <v/>
      </c>
      <c r="P12" s="199">
        <f>IF(H12="","",$D$5+SUM($O$5:O12))</f>
        <v/>
      </c>
    </row>
    <row r="13">
      <c r="A13" s="135" t="inlineStr">
        <is>
          <t>RateDelay (meses)</t>
        </is>
      </c>
      <c r="B13" s="131" t="n"/>
      <c r="C13" s="132" t="n"/>
      <c r="D13" s="140">
        <f>'Informe Subasta'!$K$24</f>
        <v/>
      </c>
      <c r="E13" s="132" t="n"/>
      <c r="G13" s="11">
        <f>IF(H13="","",ROW()-4)</f>
        <v/>
      </c>
      <c r="H13" s="12">
        <f>IF(OR(I12="",I12&gt;=$D$7),"",I12)</f>
        <v/>
      </c>
      <c r="I13" s="12">
        <f>IF(H13="","",MIN(IF($D$18="LEGAL",DATE(YEAR(H13)+1,1,1),EDATE($D$12,$D$11*(INT((((YEAR(H13)-YEAR($D$12))*12+(MONTH(H13)-MONTH($D$12))-IF(DAY(H13)&lt;DAY($D$12),1,0))/$D$11))+1))),$D$7))</f>
        <v/>
      </c>
      <c r="J13" s="11">
        <f>IF(H13="","",I13-H13)</f>
        <v/>
      </c>
      <c r="K13" s="12">
        <f>IF(H13="","",IF($D$18="LEGAL",H13,EDATE(H13,-$D$13)))</f>
        <v/>
      </c>
      <c r="L13" s="13">
        <f>IF(H13="","",IFERROR(INDEX('Tipos BdE'!$B$7:$M$336,MATCH(DATE(YEAR(K13),MONTH(K13),1),'Tipos BdE'!$A$7:$A$336,1),MATCH($D$9,'Tipos BdE'!$B$6:$M$6,0)),0))</f>
        <v/>
      </c>
      <c r="M13" s="13">
        <f>IF(H13="","",IF($D$18="LEGAL",0,$D$10))</f>
        <v/>
      </c>
      <c r="N13" s="13">
        <f>IF(H13="","",IF(AND($D$14="Sí",(L13+M13)&lt;0),0,L13+M13))</f>
        <v/>
      </c>
      <c r="O13" s="199">
        <f>IF(H13="","",$D$5*N13*J13/36500)</f>
        <v/>
      </c>
      <c r="P13" s="199">
        <f>IF(H13="","",$D$5+SUM($O$5:O13))</f>
        <v/>
      </c>
    </row>
    <row r="14">
      <c r="A14" s="135" t="inlineStr">
        <is>
          <t>NegativeRatesToZero</t>
        </is>
      </c>
      <c r="B14" s="131" t="n"/>
      <c r="C14" s="132" t="n"/>
      <c r="D14" s="140">
        <f>'Informe Subasta'!$D$24</f>
        <v/>
      </c>
      <c r="E14" s="132" t="n"/>
      <c r="G14" s="11">
        <f>IF(H14="","",ROW()-4)</f>
        <v/>
      </c>
      <c r="H14" s="12">
        <f>IF(OR(I13="",I13&gt;=$D$7),"",I13)</f>
        <v/>
      </c>
      <c r="I14" s="12">
        <f>IF(H14="","",MIN(IF($D$18="LEGAL",DATE(YEAR(H14)+1,1,1),EDATE($D$12,$D$11*(INT((((YEAR(H14)-YEAR($D$12))*12+(MONTH(H14)-MONTH($D$12))-IF(DAY(H14)&lt;DAY($D$12),1,0))/$D$11))+1))),$D$7))</f>
        <v/>
      </c>
      <c r="J14" s="11">
        <f>IF(H14="","",I14-H14)</f>
        <v/>
      </c>
      <c r="K14" s="12">
        <f>IF(H14="","",IF($D$18="LEGAL",H14,EDATE(H14,-$D$13)))</f>
        <v/>
      </c>
      <c r="L14" s="13">
        <f>IF(H14="","",IFERROR(INDEX('Tipos BdE'!$B$7:$M$336,MATCH(DATE(YEAR(K14),MONTH(K14),1),'Tipos BdE'!$A$7:$A$336,1),MATCH($D$9,'Tipos BdE'!$B$6:$M$6,0)),0))</f>
        <v/>
      </c>
      <c r="M14" s="13">
        <f>IF(H14="","",IF($D$18="LEGAL",0,$D$10))</f>
        <v/>
      </c>
      <c r="N14" s="13">
        <f>IF(H14="","",IF(AND($D$14="Sí",(L14+M14)&lt;0),0,L14+M14))</f>
        <v/>
      </c>
      <c r="O14" s="199">
        <f>IF(H14="","",$D$5*N14*J14/36500)</f>
        <v/>
      </c>
      <c r="P14" s="199">
        <f>IF(H14="","",$D$5+SUM($O$5:O14))</f>
        <v/>
      </c>
    </row>
    <row r="15">
      <c r="A15" s="135" t="inlineStr">
        <is>
          <t>IsConsumer</t>
        </is>
      </c>
      <c r="B15" s="131" t="n"/>
      <c r="C15" s="132" t="n"/>
      <c r="D15" s="140">
        <f>'Informe Subasta'!$D$21</f>
        <v/>
      </c>
      <c r="E15" s="132" t="n"/>
      <c r="G15" s="11">
        <f>IF(H15="","",ROW()-4)</f>
        <v/>
      </c>
      <c r="H15" s="12">
        <f>IF(OR(I14="",I14&gt;=$D$7),"",I14)</f>
        <v/>
      </c>
      <c r="I15" s="12">
        <f>IF(H15="","",MIN(IF($D$18="LEGAL",DATE(YEAR(H15)+1,1,1),EDATE($D$12,$D$11*(INT((((YEAR(H15)-YEAR($D$12))*12+(MONTH(H15)-MONTH($D$12))-IF(DAY(H15)&lt;DAY($D$12),1,0))/$D$11))+1))),$D$7))</f>
        <v/>
      </c>
      <c r="J15" s="11">
        <f>IF(H15="","",I15-H15)</f>
        <v/>
      </c>
      <c r="K15" s="12">
        <f>IF(H15="","",IF($D$18="LEGAL",H15,EDATE(H15,-$D$13)))</f>
        <v/>
      </c>
      <c r="L15" s="13">
        <f>IF(H15="","",IFERROR(INDEX('Tipos BdE'!$B$7:$M$336,MATCH(DATE(YEAR(K15),MONTH(K15),1),'Tipos BdE'!$A$7:$A$336,1),MATCH($D$9,'Tipos BdE'!$B$6:$M$6,0)),0))</f>
        <v/>
      </c>
      <c r="M15" s="13">
        <f>IF(H15="","",IF($D$18="LEGAL",0,$D$10))</f>
        <v/>
      </c>
      <c r="N15" s="13">
        <f>IF(H15="","",IF(AND($D$14="Sí",(L15+M15)&lt;0),0,L15+M15))</f>
        <v/>
      </c>
      <c r="O15" s="199">
        <f>IF(H15="","",$D$5*N15*J15/36500)</f>
        <v/>
      </c>
      <c r="P15" s="199">
        <f>IF(H15="","",$D$5+SUM($O$5:O15))</f>
        <v/>
      </c>
    </row>
    <row r="16">
      <c r="A16" s="135" t="inlineStr">
        <is>
          <t>InterestApplicableRate</t>
        </is>
      </c>
      <c r="B16" s="131" t="n"/>
      <c r="C16" s="132" t="n"/>
      <c r="D16" s="200">
        <f>'Informe Subasta'!$D$22</f>
        <v/>
      </c>
      <c r="E16" s="132" t="n"/>
      <c r="G16" s="11">
        <f>IF(H16="","",ROW()-4)</f>
        <v/>
      </c>
      <c r="H16" s="12">
        <f>IF(OR(I15="",I15&gt;=$D$7),"",I15)</f>
        <v/>
      </c>
      <c r="I16" s="12">
        <f>IF(H16="","",MIN(IF($D$18="LEGAL",DATE(YEAR(H16)+1,1,1),EDATE($D$12,$D$11*(INT((((YEAR(H16)-YEAR($D$12))*12+(MONTH(H16)-MONTH($D$12))-IF(DAY(H16)&lt;DAY($D$12),1,0))/$D$11))+1))),$D$7))</f>
        <v/>
      </c>
      <c r="J16" s="11">
        <f>IF(H16="","",I16-H16)</f>
        <v/>
      </c>
      <c r="K16" s="12">
        <f>IF(H16="","",IF($D$18="LEGAL",H16,EDATE(H16,-$D$13)))</f>
        <v/>
      </c>
      <c r="L16" s="13">
        <f>IF(H16="","",IFERROR(INDEX('Tipos BdE'!$B$7:$M$336,MATCH(DATE(YEAR(K16),MONTH(K16),1),'Tipos BdE'!$A$7:$A$336,1),MATCH($D$9,'Tipos BdE'!$B$6:$M$6,0)),0))</f>
        <v/>
      </c>
      <c r="M16" s="13">
        <f>IF(H16="","",IF($D$18="LEGAL",0,$D$10))</f>
        <v/>
      </c>
      <c r="N16" s="13">
        <f>IF(H16="","",IF(AND($D$14="Sí",(L16+M16)&lt;0),0,L16+M16))</f>
        <v/>
      </c>
      <c r="O16" s="199">
        <f>IF(H16="","",$D$5*N16*J16/36500)</f>
        <v/>
      </c>
      <c r="P16" s="199">
        <f>IF(H16="","",$D$5+SUM($O$5:O16))</f>
        <v/>
      </c>
    </row>
    <row r="17">
      <c r="A17" s="135" t="inlineStr">
        <is>
          <t>PenaltyInterestApplicableRate</t>
        </is>
      </c>
      <c r="B17" s="131" t="n"/>
      <c r="C17" s="132" t="n"/>
      <c r="D17" s="200">
        <f>'Informe Subasta'!$D$23</f>
        <v/>
      </c>
      <c r="E17" s="132" t="n"/>
      <c r="G17" s="11">
        <f>IF(H17="","",ROW()-4)</f>
        <v/>
      </c>
      <c r="H17" s="12">
        <f>IF(OR(I16="",I16&gt;=$D$7),"",I16)</f>
        <v/>
      </c>
      <c r="I17" s="12">
        <f>IF(H17="","",MIN(IF($D$18="LEGAL",DATE(YEAR(H17)+1,1,1),EDATE($D$12,$D$11*(INT((((YEAR(H17)-YEAR($D$12))*12+(MONTH(H17)-MONTH($D$12))-IF(DAY(H17)&lt;DAY($D$12),1,0))/$D$11))+1))),$D$7))</f>
        <v/>
      </c>
      <c r="J17" s="11">
        <f>IF(H17="","",I17-H17)</f>
        <v/>
      </c>
      <c r="K17" s="12">
        <f>IF(H17="","",IF($D$18="LEGAL",H17,EDATE(H17,-$D$13)))</f>
        <v/>
      </c>
      <c r="L17" s="13">
        <f>IF(H17="","",IFERROR(INDEX('Tipos BdE'!$B$7:$M$336,MATCH(DATE(YEAR(K17),MONTH(K17),1),'Tipos BdE'!$A$7:$A$336,1),MATCH($D$9,'Tipos BdE'!$B$6:$M$6,0)),0))</f>
        <v/>
      </c>
      <c r="M17" s="13">
        <f>IF(H17="","",IF($D$18="LEGAL",0,$D$10))</f>
        <v/>
      </c>
      <c r="N17" s="13">
        <f>IF(H17="","",IF(AND($D$14="Sí",(L17+M17)&lt;0),0,L17+M17))</f>
        <v/>
      </c>
      <c r="O17" s="199">
        <f>IF(H17="","",$D$5*N17*J17/36500)</f>
        <v/>
      </c>
      <c r="P17" s="199">
        <f>IF(H17="","",$D$5+SUM($O$5:O17))</f>
        <v/>
      </c>
    </row>
    <row r="18">
      <c r="A18" s="135" t="inlineStr">
        <is>
          <t>Régimen (automático)</t>
        </is>
      </c>
      <c r="B18" s="131" t="n"/>
      <c r="C18" s="132" t="n"/>
      <c r="D18" s="161">
        <f>IF(OR(ISNUMBER(SEARCH("legal",$D$9)),ISNUMBER(SEARCH("demora",$D$9)),ISNUMBER(SEARCH("mora procesal",$D$9)),ISNUMBER(SEARCH("576",$D$9))),"LEGAL","VARIABLE")</f>
        <v/>
      </c>
      <c r="E18" s="132" t="n"/>
      <c r="G18" s="11">
        <f>IF(H18="","",ROW()-4)</f>
        <v/>
      </c>
      <c r="H18" s="12">
        <f>IF(OR(I17="",I17&gt;=$D$7),"",I17)</f>
        <v/>
      </c>
      <c r="I18" s="12">
        <f>IF(H18="","",MIN(IF($D$18="LEGAL",DATE(YEAR(H18)+1,1,1),EDATE($D$12,$D$11*(INT((((YEAR(H18)-YEAR($D$12))*12+(MONTH(H18)-MONTH($D$12))-IF(DAY(H18)&lt;DAY($D$12),1,0))/$D$11))+1))),$D$7))</f>
        <v/>
      </c>
      <c r="J18" s="11">
        <f>IF(H18="","",I18-H18)</f>
        <v/>
      </c>
      <c r="K18" s="12">
        <f>IF(H18="","",IF($D$18="LEGAL",H18,EDATE(H18,-$D$13)))</f>
        <v/>
      </c>
      <c r="L18" s="13">
        <f>IF(H18="","",IFERROR(INDEX('Tipos BdE'!$B$7:$M$336,MATCH(DATE(YEAR(K18),MONTH(K18),1),'Tipos BdE'!$A$7:$A$336,1),MATCH($D$9,'Tipos BdE'!$B$6:$M$6,0)),0))</f>
        <v/>
      </c>
      <c r="M18" s="13">
        <f>IF(H18="","",IF($D$18="LEGAL",0,$D$10))</f>
        <v/>
      </c>
      <c r="N18" s="13">
        <f>IF(H18="","",IF(AND($D$14="Sí",(L18+M18)&lt;0),0,L18+M18))</f>
        <v/>
      </c>
      <c r="O18" s="199">
        <f>IF(H18="","",$D$5*N18*J18/36500)</f>
        <v/>
      </c>
      <c r="P18" s="199">
        <f>IF(H18="","",$D$5+SUM($O$5:O18))</f>
        <v/>
      </c>
    </row>
    <row r="19">
      <c r="G19" s="11">
        <f>IF(H19="","",ROW()-4)</f>
        <v/>
      </c>
      <c r="H19" s="12">
        <f>IF(OR(I18="",I18&gt;=$D$7),"",I18)</f>
        <v/>
      </c>
      <c r="I19" s="12">
        <f>IF(H19="","",MIN(IF($D$18="LEGAL",DATE(YEAR(H19)+1,1,1),EDATE($D$12,$D$11*(INT((((YEAR(H19)-YEAR($D$12))*12+(MONTH(H19)-MONTH($D$12))-IF(DAY(H19)&lt;DAY($D$12),1,0))/$D$11))+1))),$D$7))</f>
        <v/>
      </c>
      <c r="J19" s="11">
        <f>IF(H19="","",I19-H19)</f>
        <v/>
      </c>
      <c r="K19" s="12">
        <f>IF(H19="","",IF($D$18="LEGAL",H19,EDATE(H19,-$D$13)))</f>
        <v/>
      </c>
      <c r="L19" s="13">
        <f>IF(H19="","",IFERROR(INDEX('Tipos BdE'!$B$7:$M$336,MATCH(DATE(YEAR(K19),MONTH(K19),1),'Tipos BdE'!$A$7:$A$336,1),MATCH($D$9,'Tipos BdE'!$B$6:$M$6,0)),0))</f>
        <v/>
      </c>
      <c r="M19" s="13">
        <f>IF(H19="","",IF($D$18="LEGAL",0,$D$10))</f>
        <v/>
      </c>
      <c r="N19" s="13">
        <f>IF(H19="","",IF(AND($D$14="Sí",(L19+M19)&lt;0),0,L19+M19))</f>
        <v/>
      </c>
      <c r="O19" s="199">
        <f>IF(H19="","",$D$5*N19*J19/36500)</f>
        <v/>
      </c>
      <c r="P19" s="199">
        <f>IF(H19="","",$D$5+SUM($O$5:O19))</f>
        <v/>
      </c>
    </row>
    <row r="20">
      <c r="A20" s="144" t="inlineStr">
        <is>
          <t>RESULTADO</t>
        </is>
      </c>
      <c r="B20" s="131" t="n"/>
      <c r="C20" s="131" t="n"/>
      <c r="D20" s="131" t="n"/>
      <c r="E20" s="132" t="n"/>
      <c r="G20" s="11">
        <f>IF(H20="","",ROW()-4)</f>
        <v/>
      </c>
      <c r="H20" s="12">
        <f>IF(OR(I19="",I19&gt;=$D$7),"",I19)</f>
        <v/>
      </c>
      <c r="I20" s="12">
        <f>IF(H20="","",MIN(IF($D$18="LEGAL",DATE(YEAR(H20)+1,1,1),EDATE($D$12,$D$11*(INT((((YEAR(H20)-YEAR($D$12))*12+(MONTH(H20)-MONTH($D$12))-IF(DAY(H20)&lt;DAY($D$12),1,0))/$D$11))+1))),$D$7))</f>
        <v/>
      </c>
      <c r="J20" s="11">
        <f>IF(H20="","",I20-H20)</f>
        <v/>
      </c>
      <c r="K20" s="12">
        <f>IF(H20="","",IF($D$18="LEGAL",H20,EDATE(H20,-$D$13)))</f>
        <v/>
      </c>
      <c r="L20" s="13">
        <f>IF(H20="","",IFERROR(INDEX('Tipos BdE'!$B$7:$M$336,MATCH(DATE(YEAR(K20),MONTH(K20),1),'Tipos BdE'!$A$7:$A$336,1),MATCH($D$9,'Tipos BdE'!$B$6:$M$6,0)),0))</f>
        <v/>
      </c>
      <c r="M20" s="13">
        <f>IF(H20="","",IF($D$18="LEGAL",0,$D$10))</f>
        <v/>
      </c>
      <c r="N20" s="13">
        <f>IF(H20="","",IF(AND($D$14="Sí",(L20+M20)&lt;0),0,L20+M20))</f>
        <v/>
      </c>
      <c r="O20" s="199">
        <f>IF(H20="","",$D$5*N20*J20/36500)</f>
        <v/>
      </c>
      <c r="P20" s="199">
        <f>IF(H20="","",$D$5+SUM($O$5:O20))</f>
        <v/>
      </c>
    </row>
    <row r="21">
      <c r="A21" s="135" t="inlineStr">
        <is>
          <t>TOTAL INTERÉS ACTUALIZADO (€)</t>
        </is>
      </c>
      <c r="B21" s="131" t="n"/>
      <c r="C21" s="132" t="n"/>
      <c r="D21" s="201">
        <f>IF($D$8="FIJO",($D$7-$D$6)*IF($D$15="Y",$D$16,$D$17)*$D$5/365,SUM($O$5:$O$304))</f>
        <v/>
      </c>
      <c r="E21" s="148" t="n"/>
      <c r="G21" s="11">
        <f>IF(H21="","",ROW()-4)</f>
        <v/>
      </c>
      <c r="H21" s="12">
        <f>IF(OR(I20="",I20&gt;=$D$7),"",I20)</f>
        <v/>
      </c>
      <c r="I21" s="12">
        <f>IF(H21="","",MIN(IF($D$18="LEGAL",DATE(YEAR(H21)+1,1,1),EDATE($D$12,$D$11*(INT((((YEAR(H21)-YEAR($D$12))*12+(MONTH(H21)-MONTH($D$12))-IF(DAY(H21)&lt;DAY($D$12),1,0))/$D$11))+1))),$D$7))</f>
        <v/>
      </c>
      <c r="J21" s="11">
        <f>IF(H21="","",I21-H21)</f>
        <v/>
      </c>
      <c r="K21" s="12">
        <f>IF(H21="","",IF($D$18="LEGAL",H21,EDATE(H21,-$D$13)))</f>
        <v/>
      </c>
      <c r="L21" s="13">
        <f>IF(H21="","",IFERROR(INDEX('Tipos BdE'!$B$7:$M$336,MATCH(DATE(YEAR(K21),MONTH(K21),1),'Tipos BdE'!$A$7:$A$336,1),MATCH($D$9,'Tipos BdE'!$B$6:$M$6,0)),0))</f>
        <v/>
      </c>
      <c r="M21" s="13">
        <f>IF(H21="","",IF($D$18="LEGAL",0,$D$10))</f>
        <v/>
      </c>
      <c r="N21" s="13">
        <f>IF(H21="","",IF(AND($D$14="Sí",(L21+M21)&lt;0),0,L21+M21))</f>
        <v/>
      </c>
      <c r="O21" s="199">
        <f>IF(H21="","",$D$5*N21*J21/36500)</f>
        <v/>
      </c>
      <c r="P21" s="199">
        <f>IF(H21="","",$D$5+SUM($O$5:O21))</f>
        <v/>
      </c>
    </row>
    <row r="22">
      <c r="A22" s="72" t="n"/>
      <c r="D22" s="202" t="n"/>
      <c r="G22" s="11">
        <f>IF(H22="","",ROW()-4)</f>
        <v/>
      </c>
      <c r="H22" s="12">
        <f>IF(OR(I21="",I21&gt;=$D$7),"",I21)</f>
        <v/>
      </c>
      <c r="I22" s="12">
        <f>IF(H22="","",MIN(IF($D$18="LEGAL",DATE(YEAR(H22)+1,1,1),EDATE($D$12,$D$11*(INT((((YEAR(H22)-YEAR($D$12))*12+(MONTH(H22)-MONTH($D$12))-IF(DAY(H22)&lt;DAY($D$12),1,0))/$D$11))+1))),$D$7))</f>
        <v/>
      </c>
      <c r="J22" s="11">
        <f>IF(H22="","",I22-H22)</f>
        <v/>
      </c>
      <c r="K22" s="12">
        <f>IF(H22="","",IF($D$18="LEGAL",H22,EDATE(H22,-$D$13)))</f>
        <v/>
      </c>
      <c r="L22" s="13">
        <f>IF(H22="","",IFERROR(INDEX('Tipos BdE'!$B$7:$M$336,MATCH(DATE(YEAR(K22),MONTH(K22),1),'Tipos BdE'!$A$7:$A$336,1),MATCH($D$9,'Tipos BdE'!$B$6:$M$6,0)),0))</f>
        <v/>
      </c>
      <c r="M22" s="13">
        <f>IF(H22="","",IF($D$18="LEGAL",0,$D$10))</f>
        <v/>
      </c>
      <c r="N22" s="13">
        <f>IF(H22="","",IF(AND($D$14="Sí",(L22+M22)&lt;0),0,L22+M22))</f>
        <v/>
      </c>
      <c r="O22" s="199">
        <f>IF(H22="","",$D$5*N22*J22/36500)</f>
        <v/>
      </c>
      <c r="P22" s="199">
        <f>IF(H22="","",$D$5+SUM($O$5:O22))</f>
        <v/>
      </c>
    </row>
    <row r="23">
      <c r="A23" s="135" t="inlineStr">
        <is>
          <t>Nº de tramos</t>
        </is>
      </c>
      <c r="B23" s="131" t="n"/>
      <c r="C23" s="132" t="n"/>
      <c r="D23" s="149">
        <f>COUNT($J$5:$J$304)</f>
        <v/>
      </c>
      <c r="E23" s="132" t="n"/>
      <c r="G23" s="11">
        <f>IF(H23="","",ROW()-4)</f>
        <v/>
      </c>
      <c r="H23" s="12">
        <f>IF(OR(I22="",I22&gt;=$D$7),"",I22)</f>
        <v/>
      </c>
      <c r="I23" s="12">
        <f>IF(H23="","",MIN(IF($D$18="LEGAL",DATE(YEAR(H23)+1,1,1),EDATE($D$12,$D$11*(INT((((YEAR(H23)-YEAR($D$12))*12+(MONTH(H23)-MONTH($D$12))-IF(DAY(H23)&lt;DAY($D$12),1,0))/$D$11))+1))),$D$7))</f>
        <v/>
      </c>
      <c r="J23" s="11">
        <f>IF(H23="","",I23-H23)</f>
        <v/>
      </c>
      <c r="K23" s="12">
        <f>IF(H23="","",IF($D$18="LEGAL",H23,EDATE(H23,-$D$13)))</f>
        <v/>
      </c>
      <c r="L23" s="13">
        <f>IF(H23="","",IFERROR(INDEX('Tipos BdE'!$B$7:$M$336,MATCH(DATE(YEAR(K23),MONTH(K23),1),'Tipos BdE'!$A$7:$A$336,1),MATCH($D$9,'Tipos BdE'!$B$6:$M$6,0)),0))</f>
        <v/>
      </c>
      <c r="M23" s="13">
        <f>IF(H23="","",IF($D$18="LEGAL",0,$D$10))</f>
        <v/>
      </c>
      <c r="N23" s="13">
        <f>IF(H23="","",IF(AND($D$14="Sí",(L23+M23)&lt;0),0,L23+M23))</f>
        <v/>
      </c>
      <c r="O23" s="199">
        <f>IF(H23="","",$D$5*N23*J23/36500)</f>
        <v/>
      </c>
      <c r="P23" s="199">
        <f>IF(H23="","",$D$5+SUM($O$5:O23))</f>
        <v/>
      </c>
    </row>
    <row r="24">
      <c r="A24" s="135" t="inlineStr">
        <is>
          <t>Tipo medio aplicado (ponderado)</t>
        </is>
      </c>
      <c r="B24" s="131" t="n"/>
      <c r="C24" s="132" t="n"/>
      <c r="D24" s="159">
        <f>IFERROR($D$21*36500/($D$5*IF($D$8="FIJO",$D$7-$D$6,SUM($J$5:$J$304))),0)</f>
        <v/>
      </c>
      <c r="E24" s="132" t="n"/>
      <c r="G24" s="11">
        <f>IF(H24="","",ROW()-4)</f>
        <v/>
      </c>
      <c r="H24" s="12">
        <f>IF(OR(I23="",I23&gt;=$D$7),"",I23)</f>
        <v/>
      </c>
      <c r="I24" s="12">
        <f>IF(H24="","",MIN(IF($D$18="LEGAL",DATE(YEAR(H24)+1,1,1),EDATE($D$12,$D$11*(INT((((YEAR(H24)-YEAR($D$12))*12+(MONTH(H24)-MONTH($D$12))-IF(DAY(H24)&lt;DAY($D$12),1,0))/$D$11))+1))),$D$7))</f>
        <v/>
      </c>
      <c r="J24" s="11">
        <f>IF(H24="","",I24-H24)</f>
        <v/>
      </c>
      <c r="K24" s="12">
        <f>IF(H24="","",IF($D$18="LEGAL",H24,EDATE(H24,-$D$13)))</f>
        <v/>
      </c>
      <c r="L24" s="13">
        <f>IF(H24="","",IFERROR(INDEX('Tipos BdE'!$B$7:$M$336,MATCH(DATE(YEAR(K24),MONTH(K24),1),'Tipos BdE'!$A$7:$A$336,1),MATCH($D$9,'Tipos BdE'!$B$6:$M$6,0)),0))</f>
        <v/>
      </c>
      <c r="M24" s="13">
        <f>IF(H24="","",IF($D$18="LEGAL",0,$D$10))</f>
        <v/>
      </c>
      <c r="N24" s="13">
        <f>IF(H24="","",IF(AND($D$14="Sí",(L24+M24)&lt;0),0,L24+M24))</f>
        <v/>
      </c>
      <c r="O24" s="199">
        <f>IF(H24="","",$D$5*N24*J24/36500)</f>
        <v/>
      </c>
      <c r="P24" s="199">
        <f>IF(H24="","",$D$5+SUM($O$5:O24))</f>
        <v/>
      </c>
    </row>
    <row r="25">
      <c r="G25" s="11">
        <f>IF(H25="","",ROW()-4)</f>
        <v/>
      </c>
      <c r="H25" s="12">
        <f>IF(OR(I24="",I24&gt;=$D$7),"",I24)</f>
        <v/>
      </c>
      <c r="I25" s="12">
        <f>IF(H25="","",MIN(IF($D$18="LEGAL",DATE(YEAR(H25)+1,1,1),EDATE($D$12,$D$11*(INT((((YEAR(H25)-YEAR($D$12))*12+(MONTH(H25)-MONTH($D$12))-IF(DAY(H25)&lt;DAY($D$12),1,0))/$D$11))+1))),$D$7))</f>
        <v/>
      </c>
      <c r="J25" s="11">
        <f>IF(H25="","",I25-H25)</f>
        <v/>
      </c>
      <c r="K25" s="12">
        <f>IF(H25="","",IF($D$18="LEGAL",H25,EDATE(H25,-$D$13)))</f>
        <v/>
      </c>
      <c r="L25" s="13">
        <f>IF(H25="","",IFERROR(INDEX('Tipos BdE'!$B$7:$M$336,MATCH(DATE(YEAR(K25),MONTH(K25),1),'Tipos BdE'!$A$7:$A$336,1),MATCH($D$9,'Tipos BdE'!$B$6:$M$6,0)),0))</f>
        <v/>
      </c>
      <c r="M25" s="13">
        <f>IF(H25="","",IF($D$18="LEGAL",0,$D$10))</f>
        <v/>
      </c>
      <c r="N25" s="13">
        <f>IF(H25="","",IF(AND($D$14="Sí",(L25+M25)&lt;0),0,L25+M25))</f>
        <v/>
      </c>
      <c r="O25" s="199">
        <f>IF(H25="","",$D$5*N25*J25/36500)</f>
        <v/>
      </c>
      <c r="P25" s="199">
        <f>IF(H25="","",$D$5+SUM($O$5:O25))</f>
        <v/>
      </c>
    </row>
    <row r="26">
      <c r="G26" s="11">
        <f>IF(H26="","",ROW()-4)</f>
        <v/>
      </c>
      <c r="H26" s="12">
        <f>IF(OR(I25="",I25&gt;=$D$7),"",I25)</f>
        <v/>
      </c>
      <c r="I26" s="12">
        <f>IF(H26="","",MIN(IF($D$18="LEGAL",DATE(YEAR(H26)+1,1,1),EDATE($D$12,$D$11*(INT((((YEAR(H26)-YEAR($D$12))*12+(MONTH(H26)-MONTH($D$12))-IF(DAY(H26)&lt;DAY($D$12),1,0))/$D$11))+1))),$D$7))</f>
        <v/>
      </c>
      <c r="J26" s="11">
        <f>IF(H26="","",I26-H26)</f>
        <v/>
      </c>
      <c r="K26" s="12">
        <f>IF(H26="","",IF($D$18="LEGAL",H26,EDATE(H26,-$D$13)))</f>
        <v/>
      </c>
      <c r="L26" s="13">
        <f>IF(H26="","",IFERROR(INDEX('Tipos BdE'!$B$7:$M$336,MATCH(DATE(YEAR(K26),MONTH(K26),1),'Tipos BdE'!$A$7:$A$336,1),MATCH($D$9,'Tipos BdE'!$B$6:$M$6,0)),0))</f>
        <v/>
      </c>
      <c r="M26" s="13">
        <f>IF(H26="","",IF($D$18="LEGAL",0,$D$10))</f>
        <v/>
      </c>
      <c r="N26" s="13">
        <f>IF(H26="","",IF(AND($D$14="Sí",(L26+M26)&lt;0),0,L26+M26))</f>
        <v/>
      </c>
      <c r="O26" s="199">
        <f>IF(H26="","",$D$5*N26*J26/36500)</f>
        <v/>
      </c>
      <c r="P26" s="199">
        <f>IF(H26="","",$D$5+SUM($O$5:O26))</f>
        <v/>
      </c>
    </row>
    <row r="27">
      <c r="G27" s="11">
        <f>IF(H27="","",ROW()-4)</f>
        <v/>
      </c>
      <c r="H27" s="12">
        <f>IF(OR(I26="",I26&gt;=$D$7),"",I26)</f>
        <v/>
      </c>
      <c r="I27" s="12">
        <f>IF(H27="","",MIN(IF($D$18="LEGAL",DATE(YEAR(H27)+1,1,1),EDATE($D$12,$D$11*(INT((((YEAR(H27)-YEAR($D$12))*12+(MONTH(H27)-MONTH($D$12))-IF(DAY(H27)&lt;DAY($D$12),1,0))/$D$11))+1))),$D$7))</f>
        <v/>
      </c>
      <c r="J27" s="11">
        <f>IF(H27="","",I27-H27)</f>
        <v/>
      </c>
      <c r="K27" s="12">
        <f>IF(H27="","",IF($D$18="LEGAL",H27,EDATE(H27,-$D$13)))</f>
        <v/>
      </c>
      <c r="L27" s="13">
        <f>IF(H27="","",IFERROR(INDEX('Tipos BdE'!$B$7:$M$336,MATCH(DATE(YEAR(K27),MONTH(K27),1),'Tipos BdE'!$A$7:$A$336,1),MATCH($D$9,'Tipos BdE'!$B$6:$M$6,0)),0))</f>
        <v/>
      </c>
      <c r="M27" s="13">
        <f>IF(H27="","",IF($D$18="LEGAL",0,$D$10))</f>
        <v/>
      </c>
      <c r="N27" s="13">
        <f>IF(H27="","",IF(AND($D$14="Sí",(L27+M27)&lt;0),0,L27+M27))</f>
        <v/>
      </c>
      <c r="O27" s="199">
        <f>IF(H27="","",$D$5*N27*J27/36500)</f>
        <v/>
      </c>
      <c r="P27" s="199">
        <f>IF(H27="","",$D$5+SUM($O$5:O27))</f>
        <v/>
      </c>
    </row>
    <row r="28">
      <c r="G28" s="11">
        <f>IF(H28="","",ROW()-4)</f>
        <v/>
      </c>
      <c r="H28" s="12">
        <f>IF(OR(I27="",I27&gt;=$D$7),"",I27)</f>
        <v/>
      </c>
      <c r="I28" s="12">
        <f>IF(H28="","",MIN(IF($D$18="LEGAL",DATE(YEAR(H28)+1,1,1),EDATE($D$12,$D$11*(INT((((YEAR(H28)-YEAR($D$12))*12+(MONTH(H28)-MONTH($D$12))-IF(DAY(H28)&lt;DAY($D$12),1,0))/$D$11))+1))),$D$7))</f>
        <v/>
      </c>
      <c r="J28" s="11">
        <f>IF(H28="","",I28-H28)</f>
        <v/>
      </c>
      <c r="K28" s="12">
        <f>IF(H28="","",IF($D$18="LEGAL",H28,EDATE(H28,-$D$13)))</f>
        <v/>
      </c>
      <c r="L28" s="13">
        <f>IF(H28="","",IFERROR(INDEX('Tipos BdE'!$B$7:$M$336,MATCH(DATE(YEAR(K28),MONTH(K28),1),'Tipos BdE'!$A$7:$A$336,1),MATCH($D$9,'Tipos BdE'!$B$6:$M$6,0)),0))</f>
        <v/>
      </c>
      <c r="M28" s="13">
        <f>IF(H28="","",IF($D$18="LEGAL",0,$D$10))</f>
        <v/>
      </c>
      <c r="N28" s="13">
        <f>IF(H28="","",IF(AND($D$14="Sí",(L28+M28)&lt;0),0,L28+M28))</f>
        <v/>
      </c>
      <c r="O28" s="199">
        <f>IF(H28="","",$D$5*N28*J28/36500)</f>
        <v/>
      </c>
      <c r="P28" s="199">
        <f>IF(H28="","",$D$5+SUM($O$5:O28))</f>
        <v/>
      </c>
    </row>
    <row r="29">
      <c r="G29" s="11">
        <f>IF(H29="","",ROW()-4)</f>
        <v/>
      </c>
      <c r="H29" s="12">
        <f>IF(OR(I28="",I28&gt;=$D$7),"",I28)</f>
        <v/>
      </c>
      <c r="I29" s="12">
        <f>IF(H29="","",MIN(IF($D$18="LEGAL",DATE(YEAR(H29)+1,1,1),EDATE($D$12,$D$11*(INT((((YEAR(H29)-YEAR($D$12))*12+(MONTH(H29)-MONTH($D$12))-IF(DAY(H29)&lt;DAY($D$12),1,0))/$D$11))+1))),$D$7))</f>
        <v/>
      </c>
      <c r="J29" s="11">
        <f>IF(H29="","",I29-H29)</f>
        <v/>
      </c>
      <c r="K29" s="12">
        <f>IF(H29="","",IF($D$18="LEGAL",H29,EDATE(H29,-$D$13)))</f>
        <v/>
      </c>
      <c r="L29" s="13">
        <f>IF(H29="","",IFERROR(INDEX('Tipos BdE'!$B$7:$M$336,MATCH(DATE(YEAR(K29),MONTH(K29),1),'Tipos BdE'!$A$7:$A$336,1),MATCH($D$9,'Tipos BdE'!$B$6:$M$6,0)),0))</f>
        <v/>
      </c>
      <c r="M29" s="13">
        <f>IF(H29="","",IF($D$18="LEGAL",0,$D$10))</f>
        <v/>
      </c>
      <c r="N29" s="13">
        <f>IF(H29="","",IF(AND($D$14="Sí",(L29+M29)&lt;0),0,L29+M29))</f>
        <v/>
      </c>
      <c r="O29" s="199">
        <f>IF(H29="","",$D$5*N29*J29/36500)</f>
        <v/>
      </c>
      <c r="P29" s="199">
        <f>IF(H29="","",$D$5+SUM($O$5:O29))</f>
        <v/>
      </c>
    </row>
    <row r="30">
      <c r="G30" s="11">
        <f>IF(H30="","",ROW()-4)</f>
        <v/>
      </c>
      <c r="H30" s="12">
        <f>IF(OR(I29="",I29&gt;=$D$7),"",I29)</f>
        <v/>
      </c>
      <c r="I30" s="12">
        <f>IF(H30="","",MIN(IF($D$18="LEGAL",DATE(YEAR(H30)+1,1,1),EDATE($D$12,$D$11*(INT((((YEAR(H30)-YEAR($D$12))*12+(MONTH(H30)-MONTH($D$12))-IF(DAY(H30)&lt;DAY($D$12),1,0))/$D$11))+1))),$D$7))</f>
        <v/>
      </c>
      <c r="J30" s="11">
        <f>IF(H30="","",I30-H30)</f>
        <v/>
      </c>
      <c r="K30" s="12">
        <f>IF(H30="","",IF($D$18="LEGAL",H30,EDATE(H30,-$D$13)))</f>
        <v/>
      </c>
      <c r="L30" s="13">
        <f>IF(H30="","",IFERROR(INDEX('Tipos BdE'!$B$7:$M$336,MATCH(DATE(YEAR(K30),MONTH(K30),1),'Tipos BdE'!$A$7:$A$336,1),MATCH($D$9,'Tipos BdE'!$B$6:$M$6,0)),0))</f>
        <v/>
      </c>
      <c r="M30" s="13">
        <f>IF(H30="","",IF($D$18="LEGAL",0,$D$10))</f>
        <v/>
      </c>
      <c r="N30" s="13">
        <f>IF(H30="","",IF(AND($D$14="Sí",(L30+M30)&lt;0),0,L30+M30))</f>
        <v/>
      </c>
      <c r="O30" s="199">
        <f>IF(H30="","",$D$5*N30*J30/36500)</f>
        <v/>
      </c>
      <c r="P30" s="199">
        <f>IF(H30="","",$D$5+SUM($O$5:O30))</f>
        <v/>
      </c>
    </row>
    <row r="31">
      <c r="G31" s="11">
        <f>IF(H31="","",ROW()-4)</f>
        <v/>
      </c>
      <c r="H31" s="12">
        <f>IF(OR(I30="",I30&gt;=$D$7),"",I30)</f>
        <v/>
      </c>
      <c r="I31" s="12">
        <f>IF(H31="","",MIN(IF($D$18="LEGAL",DATE(YEAR(H31)+1,1,1),EDATE($D$12,$D$11*(INT((((YEAR(H31)-YEAR($D$12))*12+(MONTH(H31)-MONTH($D$12))-IF(DAY(H31)&lt;DAY($D$12),1,0))/$D$11))+1))),$D$7))</f>
        <v/>
      </c>
      <c r="J31" s="11">
        <f>IF(H31="","",I31-H31)</f>
        <v/>
      </c>
      <c r="K31" s="12">
        <f>IF(H31="","",IF($D$18="LEGAL",H31,EDATE(H31,-$D$13)))</f>
        <v/>
      </c>
      <c r="L31" s="13">
        <f>IF(H31="","",IFERROR(INDEX('Tipos BdE'!$B$7:$M$336,MATCH(DATE(YEAR(K31),MONTH(K31),1),'Tipos BdE'!$A$7:$A$336,1),MATCH($D$9,'Tipos BdE'!$B$6:$M$6,0)),0))</f>
        <v/>
      </c>
      <c r="M31" s="13">
        <f>IF(H31="","",IF($D$18="LEGAL",0,$D$10))</f>
        <v/>
      </c>
      <c r="N31" s="13">
        <f>IF(H31="","",IF(AND($D$14="Sí",(L31+M31)&lt;0),0,L31+M31))</f>
        <v/>
      </c>
      <c r="O31" s="199">
        <f>IF(H31="","",$D$5*N31*J31/36500)</f>
        <v/>
      </c>
      <c r="P31" s="199">
        <f>IF(H31="","",$D$5+SUM($O$5:O31))</f>
        <v/>
      </c>
    </row>
    <row r="32">
      <c r="G32" s="11">
        <f>IF(H32="","",ROW()-4)</f>
        <v/>
      </c>
      <c r="H32" s="12">
        <f>IF(OR(I31="",I31&gt;=$D$7),"",I31)</f>
        <v/>
      </c>
      <c r="I32" s="12">
        <f>IF(H32="","",MIN(IF($D$18="LEGAL",DATE(YEAR(H32)+1,1,1),EDATE($D$12,$D$11*(INT((((YEAR(H32)-YEAR($D$12))*12+(MONTH(H32)-MONTH($D$12))-IF(DAY(H32)&lt;DAY($D$12),1,0))/$D$11))+1))),$D$7))</f>
        <v/>
      </c>
      <c r="J32" s="11">
        <f>IF(H32="","",I32-H32)</f>
        <v/>
      </c>
      <c r="K32" s="12">
        <f>IF(H32="","",IF($D$18="LEGAL",H32,EDATE(H32,-$D$13)))</f>
        <v/>
      </c>
      <c r="L32" s="13">
        <f>IF(H32="","",IFERROR(INDEX('Tipos BdE'!$B$7:$M$336,MATCH(DATE(YEAR(K32),MONTH(K32),1),'Tipos BdE'!$A$7:$A$336,1),MATCH($D$9,'Tipos BdE'!$B$6:$M$6,0)),0))</f>
        <v/>
      </c>
      <c r="M32" s="13">
        <f>IF(H32="","",IF($D$18="LEGAL",0,$D$10))</f>
        <v/>
      </c>
      <c r="N32" s="13">
        <f>IF(H32="","",IF(AND($D$14="Sí",(L32+M32)&lt;0),0,L32+M32))</f>
        <v/>
      </c>
      <c r="O32" s="199">
        <f>IF(H32="","",$D$5*N32*J32/36500)</f>
        <v/>
      </c>
      <c r="P32" s="199">
        <f>IF(H32="","",$D$5+SUM($O$5:O32))</f>
        <v/>
      </c>
    </row>
    <row r="33">
      <c r="G33" s="11">
        <f>IF(H33="","",ROW()-4)</f>
        <v/>
      </c>
      <c r="H33" s="12">
        <f>IF(OR(I32="",I32&gt;=$D$7),"",I32)</f>
        <v/>
      </c>
      <c r="I33" s="12">
        <f>IF(H33="","",MIN(IF($D$18="LEGAL",DATE(YEAR(H33)+1,1,1),EDATE($D$12,$D$11*(INT((((YEAR(H33)-YEAR($D$12))*12+(MONTH(H33)-MONTH($D$12))-IF(DAY(H33)&lt;DAY($D$12),1,0))/$D$11))+1))),$D$7))</f>
        <v/>
      </c>
      <c r="J33" s="11">
        <f>IF(H33="","",I33-H33)</f>
        <v/>
      </c>
      <c r="K33" s="12">
        <f>IF(H33="","",IF($D$18="LEGAL",H33,EDATE(H33,-$D$13)))</f>
        <v/>
      </c>
      <c r="L33" s="13">
        <f>IF(H33="","",IFERROR(INDEX('Tipos BdE'!$B$7:$M$336,MATCH(DATE(YEAR(K33),MONTH(K33),1),'Tipos BdE'!$A$7:$A$336,1),MATCH($D$9,'Tipos BdE'!$B$6:$M$6,0)),0))</f>
        <v/>
      </c>
      <c r="M33" s="13">
        <f>IF(H33="","",IF($D$18="LEGAL",0,$D$10))</f>
        <v/>
      </c>
      <c r="N33" s="13">
        <f>IF(H33="","",IF(AND($D$14="Sí",(L33+M33)&lt;0),0,L33+M33))</f>
        <v/>
      </c>
      <c r="O33" s="199">
        <f>IF(H33="","",$D$5*N33*J33/36500)</f>
        <v/>
      </c>
      <c r="P33" s="199">
        <f>IF(H33="","",$D$5+SUM($O$5:O33))</f>
        <v/>
      </c>
    </row>
    <row r="34">
      <c r="G34" s="11">
        <f>IF(H34="","",ROW()-4)</f>
        <v/>
      </c>
      <c r="H34" s="12">
        <f>IF(OR(I33="",I33&gt;=$D$7),"",I33)</f>
        <v/>
      </c>
      <c r="I34" s="12">
        <f>IF(H34="","",MIN(IF($D$18="LEGAL",DATE(YEAR(H34)+1,1,1),EDATE($D$12,$D$11*(INT((((YEAR(H34)-YEAR($D$12))*12+(MONTH(H34)-MONTH($D$12))-IF(DAY(H34)&lt;DAY($D$12),1,0))/$D$11))+1))),$D$7))</f>
        <v/>
      </c>
      <c r="J34" s="11">
        <f>IF(H34="","",I34-H34)</f>
        <v/>
      </c>
      <c r="K34" s="12">
        <f>IF(H34="","",IF($D$18="LEGAL",H34,EDATE(H34,-$D$13)))</f>
        <v/>
      </c>
      <c r="L34" s="13">
        <f>IF(H34="","",IFERROR(INDEX('Tipos BdE'!$B$7:$M$336,MATCH(DATE(YEAR(K34),MONTH(K34),1),'Tipos BdE'!$A$7:$A$336,1),MATCH($D$9,'Tipos BdE'!$B$6:$M$6,0)),0))</f>
        <v/>
      </c>
      <c r="M34" s="13">
        <f>IF(H34="","",IF($D$18="LEGAL",0,$D$10))</f>
        <v/>
      </c>
      <c r="N34" s="13">
        <f>IF(H34="","",IF(AND($D$14="Sí",(L34+M34)&lt;0),0,L34+M34))</f>
        <v/>
      </c>
      <c r="O34" s="199">
        <f>IF(H34="","",$D$5*N34*J34/36500)</f>
        <v/>
      </c>
      <c r="P34" s="199">
        <f>IF(H34="","",$D$5+SUM($O$5:O34))</f>
        <v/>
      </c>
    </row>
    <row r="35">
      <c r="G35" s="11">
        <f>IF(H35="","",ROW()-4)</f>
        <v/>
      </c>
      <c r="H35" s="12">
        <f>IF(OR(I34="",I34&gt;=$D$7),"",I34)</f>
        <v/>
      </c>
      <c r="I35" s="12">
        <f>IF(H35="","",MIN(IF($D$18="LEGAL",DATE(YEAR(H35)+1,1,1),EDATE($D$12,$D$11*(INT((((YEAR(H35)-YEAR($D$12))*12+(MONTH(H35)-MONTH($D$12))-IF(DAY(H35)&lt;DAY($D$12),1,0))/$D$11))+1))),$D$7))</f>
        <v/>
      </c>
      <c r="J35" s="11">
        <f>IF(H35="","",I35-H35)</f>
        <v/>
      </c>
      <c r="K35" s="12">
        <f>IF(H35="","",IF($D$18="LEGAL",H35,EDATE(H35,-$D$13)))</f>
        <v/>
      </c>
      <c r="L35" s="13">
        <f>IF(H35="","",IFERROR(INDEX('Tipos BdE'!$B$7:$M$336,MATCH(DATE(YEAR(K35),MONTH(K35),1),'Tipos BdE'!$A$7:$A$336,1),MATCH($D$9,'Tipos BdE'!$B$6:$M$6,0)),0))</f>
        <v/>
      </c>
      <c r="M35" s="13">
        <f>IF(H35="","",IF($D$18="LEGAL",0,$D$10))</f>
        <v/>
      </c>
      <c r="N35" s="13">
        <f>IF(H35="","",IF(AND($D$14="Sí",(L35+M35)&lt;0),0,L35+M35))</f>
        <v/>
      </c>
      <c r="O35" s="199">
        <f>IF(H35="","",$D$5*N35*J35/36500)</f>
        <v/>
      </c>
      <c r="P35" s="199">
        <f>IF(H35="","",$D$5+SUM($O$5:O35))</f>
        <v/>
      </c>
    </row>
    <row r="36">
      <c r="G36" s="11">
        <f>IF(H36="","",ROW()-4)</f>
        <v/>
      </c>
      <c r="H36" s="12">
        <f>IF(OR(I35="",I35&gt;=$D$7),"",I35)</f>
        <v/>
      </c>
      <c r="I36" s="12">
        <f>IF(H36="","",MIN(IF($D$18="LEGAL",DATE(YEAR(H36)+1,1,1),EDATE($D$12,$D$11*(INT((((YEAR(H36)-YEAR($D$12))*12+(MONTH(H36)-MONTH($D$12))-IF(DAY(H36)&lt;DAY($D$12),1,0))/$D$11))+1))),$D$7))</f>
        <v/>
      </c>
      <c r="J36" s="11">
        <f>IF(H36="","",I36-H36)</f>
        <v/>
      </c>
      <c r="K36" s="12">
        <f>IF(H36="","",IF($D$18="LEGAL",H36,EDATE(H36,-$D$13)))</f>
        <v/>
      </c>
      <c r="L36" s="13">
        <f>IF(H36="","",IFERROR(INDEX('Tipos BdE'!$B$7:$M$336,MATCH(DATE(YEAR(K36),MONTH(K36),1),'Tipos BdE'!$A$7:$A$336,1),MATCH($D$9,'Tipos BdE'!$B$6:$M$6,0)),0))</f>
        <v/>
      </c>
      <c r="M36" s="13">
        <f>IF(H36="","",IF($D$18="LEGAL",0,$D$10))</f>
        <v/>
      </c>
      <c r="N36" s="13">
        <f>IF(H36="","",IF(AND($D$14="Sí",(L36+M36)&lt;0),0,L36+M36))</f>
        <v/>
      </c>
      <c r="O36" s="199">
        <f>IF(H36="","",$D$5*N36*J36/36500)</f>
        <v/>
      </c>
      <c r="P36" s="199">
        <f>IF(H36="","",$D$5+SUM($O$5:O36))</f>
        <v/>
      </c>
    </row>
    <row r="37">
      <c r="G37" s="11">
        <f>IF(H37="","",ROW()-4)</f>
        <v/>
      </c>
      <c r="H37" s="12">
        <f>IF(OR(I36="",I36&gt;=$D$7),"",I36)</f>
        <v/>
      </c>
      <c r="I37" s="12">
        <f>IF(H37="","",MIN(IF($D$18="LEGAL",DATE(YEAR(H37)+1,1,1),EDATE($D$12,$D$11*(INT((((YEAR(H37)-YEAR($D$12))*12+(MONTH(H37)-MONTH($D$12))-IF(DAY(H37)&lt;DAY($D$12),1,0))/$D$11))+1))),$D$7))</f>
        <v/>
      </c>
      <c r="J37" s="11">
        <f>IF(H37="","",I37-H37)</f>
        <v/>
      </c>
      <c r="K37" s="12">
        <f>IF(H37="","",IF($D$18="LEGAL",H37,EDATE(H37,-$D$13)))</f>
        <v/>
      </c>
      <c r="L37" s="13">
        <f>IF(H37="","",IFERROR(INDEX('Tipos BdE'!$B$7:$M$336,MATCH(DATE(YEAR(K37),MONTH(K37),1),'Tipos BdE'!$A$7:$A$336,1),MATCH($D$9,'Tipos BdE'!$B$6:$M$6,0)),0))</f>
        <v/>
      </c>
      <c r="M37" s="13">
        <f>IF(H37="","",IF($D$18="LEGAL",0,$D$10))</f>
        <v/>
      </c>
      <c r="N37" s="13">
        <f>IF(H37="","",IF(AND($D$14="Sí",(L37+M37)&lt;0),0,L37+M37))</f>
        <v/>
      </c>
      <c r="O37" s="199">
        <f>IF(H37="","",$D$5*N37*J37/36500)</f>
        <v/>
      </c>
      <c r="P37" s="199">
        <f>IF(H37="","",$D$5+SUM($O$5:O37))</f>
        <v/>
      </c>
    </row>
    <row r="38">
      <c r="G38" s="11">
        <f>IF(H38="","",ROW()-4)</f>
        <v/>
      </c>
      <c r="H38" s="12">
        <f>IF(OR(I37="",I37&gt;=$D$7),"",I37)</f>
        <v/>
      </c>
      <c r="I38" s="12">
        <f>IF(H38="","",MIN(IF($D$18="LEGAL",DATE(YEAR(H38)+1,1,1),EDATE($D$12,$D$11*(INT((((YEAR(H38)-YEAR($D$12))*12+(MONTH(H38)-MONTH($D$12))-IF(DAY(H38)&lt;DAY($D$12),1,0))/$D$11))+1))),$D$7))</f>
        <v/>
      </c>
      <c r="J38" s="11">
        <f>IF(H38="","",I38-H38)</f>
        <v/>
      </c>
      <c r="K38" s="12">
        <f>IF(H38="","",IF($D$18="LEGAL",H38,EDATE(H38,-$D$13)))</f>
        <v/>
      </c>
      <c r="L38" s="13">
        <f>IF(H38="","",IFERROR(INDEX('Tipos BdE'!$B$7:$M$336,MATCH(DATE(YEAR(K38),MONTH(K38),1),'Tipos BdE'!$A$7:$A$336,1),MATCH($D$9,'Tipos BdE'!$B$6:$M$6,0)),0))</f>
        <v/>
      </c>
      <c r="M38" s="13">
        <f>IF(H38="","",IF($D$18="LEGAL",0,$D$10))</f>
        <v/>
      </c>
      <c r="N38" s="13">
        <f>IF(H38="","",IF(AND($D$14="Sí",(L38+M38)&lt;0),0,L38+M38))</f>
        <v/>
      </c>
      <c r="O38" s="199">
        <f>IF(H38="","",$D$5*N38*J38/36500)</f>
        <v/>
      </c>
      <c r="P38" s="199">
        <f>IF(H38="","",$D$5+SUM($O$5:O38))</f>
        <v/>
      </c>
    </row>
    <row r="39">
      <c r="G39" s="11">
        <f>IF(H39="","",ROW()-4)</f>
        <v/>
      </c>
      <c r="H39" s="12">
        <f>IF(OR(I38="",I38&gt;=$D$7),"",I38)</f>
        <v/>
      </c>
      <c r="I39" s="12">
        <f>IF(H39="","",MIN(IF($D$18="LEGAL",DATE(YEAR(H39)+1,1,1),EDATE($D$12,$D$11*(INT((((YEAR(H39)-YEAR($D$12))*12+(MONTH(H39)-MONTH($D$12))-IF(DAY(H39)&lt;DAY($D$12),1,0))/$D$11))+1))),$D$7))</f>
        <v/>
      </c>
      <c r="J39" s="11">
        <f>IF(H39="","",I39-H39)</f>
        <v/>
      </c>
      <c r="K39" s="12">
        <f>IF(H39="","",IF($D$18="LEGAL",H39,EDATE(H39,-$D$13)))</f>
        <v/>
      </c>
      <c r="L39" s="13">
        <f>IF(H39="","",IFERROR(INDEX('Tipos BdE'!$B$7:$M$336,MATCH(DATE(YEAR(K39),MONTH(K39),1),'Tipos BdE'!$A$7:$A$336,1),MATCH($D$9,'Tipos BdE'!$B$6:$M$6,0)),0))</f>
        <v/>
      </c>
      <c r="M39" s="13">
        <f>IF(H39="","",IF($D$18="LEGAL",0,$D$10))</f>
        <v/>
      </c>
      <c r="N39" s="13">
        <f>IF(H39="","",IF(AND($D$14="Sí",(L39+M39)&lt;0),0,L39+M39))</f>
        <v/>
      </c>
      <c r="O39" s="199">
        <f>IF(H39="","",$D$5*N39*J39/36500)</f>
        <v/>
      </c>
      <c r="P39" s="199">
        <f>IF(H39="","",$D$5+SUM($O$5:O39))</f>
        <v/>
      </c>
    </row>
    <row r="40">
      <c r="G40" s="11">
        <f>IF(H40="","",ROW()-4)</f>
        <v/>
      </c>
      <c r="H40" s="12">
        <f>IF(OR(I39="",I39&gt;=$D$7),"",I39)</f>
        <v/>
      </c>
      <c r="I40" s="12">
        <f>IF(H40="","",MIN(IF($D$18="LEGAL",DATE(YEAR(H40)+1,1,1),EDATE($D$12,$D$11*(INT((((YEAR(H40)-YEAR($D$12))*12+(MONTH(H40)-MONTH($D$12))-IF(DAY(H40)&lt;DAY($D$12),1,0))/$D$11))+1))),$D$7))</f>
        <v/>
      </c>
      <c r="J40" s="11">
        <f>IF(H40="","",I40-H40)</f>
        <v/>
      </c>
      <c r="K40" s="12">
        <f>IF(H40="","",IF($D$18="LEGAL",H40,EDATE(H40,-$D$13)))</f>
        <v/>
      </c>
      <c r="L40" s="13">
        <f>IF(H40="","",IFERROR(INDEX('Tipos BdE'!$B$7:$M$336,MATCH(DATE(YEAR(K40),MONTH(K40),1),'Tipos BdE'!$A$7:$A$336,1),MATCH($D$9,'Tipos BdE'!$B$6:$M$6,0)),0))</f>
        <v/>
      </c>
      <c r="M40" s="13">
        <f>IF(H40="","",IF($D$18="LEGAL",0,$D$10))</f>
        <v/>
      </c>
      <c r="N40" s="13">
        <f>IF(H40="","",IF(AND($D$14="Sí",(L40+M40)&lt;0),0,L40+M40))</f>
        <v/>
      </c>
      <c r="O40" s="199">
        <f>IF(H40="","",$D$5*N40*J40/36500)</f>
        <v/>
      </c>
      <c r="P40" s="199">
        <f>IF(H40="","",$D$5+SUM($O$5:O40))</f>
        <v/>
      </c>
    </row>
    <row r="41">
      <c r="G41" s="11">
        <f>IF(H41="","",ROW()-4)</f>
        <v/>
      </c>
      <c r="H41" s="12">
        <f>IF(OR(I40="",I40&gt;=$D$7),"",I40)</f>
        <v/>
      </c>
      <c r="I41" s="12">
        <f>IF(H41="","",MIN(IF($D$18="LEGAL",DATE(YEAR(H41)+1,1,1),EDATE($D$12,$D$11*(INT((((YEAR(H41)-YEAR($D$12))*12+(MONTH(H41)-MONTH($D$12))-IF(DAY(H41)&lt;DAY($D$12),1,0))/$D$11))+1))),$D$7))</f>
        <v/>
      </c>
      <c r="J41" s="11">
        <f>IF(H41="","",I41-H41)</f>
        <v/>
      </c>
      <c r="K41" s="12">
        <f>IF(H41="","",IF($D$18="LEGAL",H41,EDATE(H41,-$D$13)))</f>
        <v/>
      </c>
      <c r="L41" s="13">
        <f>IF(H41="","",IFERROR(INDEX('Tipos BdE'!$B$7:$M$336,MATCH(DATE(YEAR(K41),MONTH(K41),1),'Tipos BdE'!$A$7:$A$336,1),MATCH($D$9,'Tipos BdE'!$B$6:$M$6,0)),0))</f>
        <v/>
      </c>
      <c r="M41" s="13">
        <f>IF(H41="","",IF($D$18="LEGAL",0,$D$10))</f>
        <v/>
      </c>
      <c r="N41" s="13">
        <f>IF(H41="","",IF(AND($D$14="Sí",(L41+M41)&lt;0),0,L41+M41))</f>
        <v/>
      </c>
      <c r="O41" s="199">
        <f>IF(H41="","",$D$5*N41*J41/36500)</f>
        <v/>
      </c>
      <c r="P41" s="199">
        <f>IF(H41="","",$D$5+SUM($O$5:O41))</f>
        <v/>
      </c>
    </row>
    <row r="42">
      <c r="G42" s="11">
        <f>IF(H42="","",ROW()-4)</f>
        <v/>
      </c>
      <c r="H42" s="12">
        <f>IF(OR(I41="",I41&gt;=$D$7),"",I41)</f>
        <v/>
      </c>
      <c r="I42" s="12">
        <f>IF(H42="","",MIN(IF($D$18="LEGAL",DATE(YEAR(H42)+1,1,1),EDATE($D$12,$D$11*(INT((((YEAR(H42)-YEAR($D$12))*12+(MONTH(H42)-MONTH($D$12))-IF(DAY(H42)&lt;DAY($D$12),1,0))/$D$11))+1))),$D$7))</f>
        <v/>
      </c>
      <c r="J42" s="11">
        <f>IF(H42="","",I42-H42)</f>
        <v/>
      </c>
      <c r="K42" s="12">
        <f>IF(H42="","",IF($D$18="LEGAL",H42,EDATE(H42,-$D$13)))</f>
        <v/>
      </c>
      <c r="L42" s="13">
        <f>IF(H42="","",IFERROR(INDEX('Tipos BdE'!$B$7:$M$336,MATCH(DATE(YEAR(K42),MONTH(K42),1),'Tipos BdE'!$A$7:$A$336,1),MATCH($D$9,'Tipos BdE'!$B$6:$M$6,0)),0))</f>
        <v/>
      </c>
      <c r="M42" s="13">
        <f>IF(H42="","",IF($D$18="LEGAL",0,$D$10))</f>
        <v/>
      </c>
      <c r="N42" s="13">
        <f>IF(H42="","",IF(AND($D$14="Sí",(L42+M42)&lt;0),0,L42+M42))</f>
        <v/>
      </c>
      <c r="O42" s="199">
        <f>IF(H42="","",$D$5*N42*J42/36500)</f>
        <v/>
      </c>
      <c r="P42" s="199">
        <f>IF(H42="","",$D$5+SUM($O$5:O42))</f>
        <v/>
      </c>
    </row>
    <row r="43">
      <c r="G43" s="11">
        <f>IF(H43="","",ROW()-4)</f>
        <v/>
      </c>
      <c r="H43" s="12">
        <f>IF(OR(I42="",I42&gt;=$D$7),"",I42)</f>
        <v/>
      </c>
      <c r="I43" s="12">
        <f>IF(H43="","",MIN(IF($D$18="LEGAL",DATE(YEAR(H43)+1,1,1),EDATE($D$12,$D$11*(INT((((YEAR(H43)-YEAR($D$12))*12+(MONTH(H43)-MONTH($D$12))-IF(DAY(H43)&lt;DAY($D$12),1,0))/$D$11))+1))),$D$7))</f>
        <v/>
      </c>
      <c r="J43" s="11">
        <f>IF(H43="","",I43-H43)</f>
        <v/>
      </c>
      <c r="K43" s="12">
        <f>IF(H43="","",IF($D$18="LEGAL",H43,EDATE(H43,-$D$13)))</f>
        <v/>
      </c>
      <c r="L43" s="13">
        <f>IF(H43="","",IFERROR(INDEX('Tipos BdE'!$B$7:$M$336,MATCH(DATE(YEAR(K43),MONTH(K43),1),'Tipos BdE'!$A$7:$A$336,1),MATCH($D$9,'Tipos BdE'!$B$6:$M$6,0)),0))</f>
        <v/>
      </c>
      <c r="M43" s="13">
        <f>IF(H43="","",IF($D$18="LEGAL",0,$D$10))</f>
        <v/>
      </c>
      <c r="N43" s="13">
        <f>IF(H43="","",IF(AND($D$14="Sí",(L43+M43)&lt;0),0,L43+M43))</f>
        <v/>
      </c>
      <c r="O43" s="199">
        <f>IF(H43="","",$D$5*N43*J43/36500)</f>
        <v/>
      </c>
      <c r="P43" s="199">
        <f>IF(H43="","",$D$5+SUM($O$5:O43))</f>
        <v/>
      </c>
    </row>
    <row r="44">
      <c r="G44" s="11">
        <f>IF(H44="","",ROW()-4)</f>
        <v/>
      </c>
      <c r="H44" s="12">
        <f>IF(OR(I43="",I43&gt;=$D$7),"",I43)</f>
        <v/>
      </c>
      <c r="I44" s="12">
        <f>IF(H44="","",MIN(IF($D$18="LEGAL",DATE(YEAR(H44)+1,1,1),EDATE($D$12,$D$11*(INT((((YEAR(H44)-YEAR($D$12))*12+(MONTH(H44)-MONTH($D$12))-IF(DAY(H44)&lt;DAY($D$12),1,0))/$D$11))+1))),$D$7))</f>
        <v/>
      </c>
      <c r="J44" s="11">
        <f>IF(H44="","",I44-H44)</f>
        <v/>
      </c>
      <c r="K44" s="12">
        <f>IF(H44="","",IF($D$18="LEGAL",H44,EDATE(H44,-$D$13)))</f>
        <v/>
      </c>
      <c r="L44" s="13">
        <f>IF(H44="","",IFERROR(INDEX('Tipos BdE'!$B$7:$M$336,MATCH(DATE(YEAR(K44),MONTH(K44),1),'Tipos BdE'!$A$7:$A$336,1),MATCH($D$9,'Tipos BdE'!$B$6:$M$6,0)),0))</f>
        <v/>
      </c>
      <c r="M44" s="13">
        <f>IF(H44="","",IF($D$18="LEGAL",0,$D$10))</f>
        <v/>
      </c>
      <c r="N44" s="13">
        <f>IF(H44="","",IF(AND($D$14="Sí",(L44+M44)&lt;0),0,L44+M44))</f>
        <v/>
      </c>
      <c r="O44" s="199">
        <f>IF(H44="","",$D$5*N44*J44/36500)</f>
        <v/>
      </c>
      <c r="P44" s="199">
        <f>IF(H44="","",$D$5+SUM($O$5:O44))</f>
        <v/>
      </c>
    </row>
    <row r="45">
      <c r="G45" s="11">
        <f>IF(H45="","",ROW()-4)</f>
        <v/>
      </c>
      <c r="H45" s="12">
        <f>IF(OR(I44="",I44&gt;=$D$7),"",I44)</f>
        <v/>
      </c>
      <c r="I45" s="12">
        <f>IF(H45="","",MIN(IF($D$18="LEGAL",DATE(YEAR(H45)+1,1,1),EDATE($D$12,$D$11*(INT((((YEAR(H45)-YEAR($D$12))*12+(MONTH(H45)-MONTH($D$12))-IF(DAY(H45)&lt;DAY($D$12),1,0))/$D$11))+1))),$D$7))</f>
        <v/>
      </c>
      <c r="J45" s="11">
        <f>IF(H45="","",I45-H45)</f>
        <v/>
      </c>
      <c r="K45" s="12">
        <f>IF(H45="","",IF($D$18="LEGAL",H45,EDATE(H45,-$D$13)))</f>
        <v/>
      </c>
      <c r="L45" s="13">
        <f>IF(H45="","",IFERROR(INDEX('Tipos BdE'!$B$7:$M$336,MATCH(DATE(YEAR(K45),MONTH(K45),1),'Tipos BdE'!$A$7:$A$336,1),MATCH($D$9,'Tipos BdE'!$B$6:$M$6,0)),0))</f>
        <v/>
      </c>
      <c r="M45" s="13">
        <f>IF(H45="","",IF($D$18="LEGAL",0,$D$10))</f>
        <v/>
      </c>
      <c r="N45" s="13">
        <f>IF(H45="","",IF(AND($D$14="Sí",(L45+M45)&lt;0),0,L45+M45))</f>
        <v/>
      </c>
      <c r="O45" s="199">
        <f>IF(H45="","",$D$5*N45*J45/36500)</f>
        <v/>
      </c>
      <c r="P45" s="199">
        <f>IF(H45="","",$D$5+SUM($O$5:O45))</f>
        <v/>
      </c>
    </row>
    <row r="46">
      <c r="G46" s="11">
        <f>IF(H46="","",ROW()-4)</f>
        <v/>
      </c>
      <c r="H46" s="12">
        <f>IF(OR(I45="",I45&gt;=$D$7),"",I45)</f>
        <v/>
      </c>
      <c r="I46" s="12">
        <f>IF(H46="","",MIN(IF($D$18="LEGAL",DATE(YEAR(H46)+1,1,1),EDATE($D$12,$D$11*(INT((((YEAR(H46)-YEAR($D$12))*12+(MONTH(H46)-MONTH($D$12))-IF(DAY(H46)&lt;DAY($D$12),1,0))/$D$11))+1))),$D$7))</f>
        <v/>
      </c>
      <c r="J46" s="11">
        <f>IF(H46="","",I46-H46)</f>
        <v/>
      </c>
      <c r="K46" s="12">
        <f>IF(H46="","",IF($D$18="LEGAL",H46,EDATE(H46,-$D$13)))</f>
        <v/>
      </c>
      <c r="L46" s="13">
        <f>IF(H46="","",IFERROR(INDEX('Tipos BdE'!$B$7:$M$336,MATCH(DATE(YEAR(K46),MONTH(K46),1),'Tipos BdE'!$A$7:$A$336,1),MATCH($D$9,'Tipos BdE'!$B$6:$M$6,0)),0))</f>
        <v/>
      </c>
      <c r="M46" s="13">
        <f>IF(H46="","",IF($D$18="LEGAL",0,$D$10))</f>
        <v/>
      </c>
      <c r="N46" s="13">
        <f>IF(H46="","",IF(AND($D$14="Sí",(L46+M46)&lt;0),0,L46+M46))</f>
        <v/>
      </c>
      <c r="O46" s="199">
        <f>IF(H46="","",$D$5*N46*J46/36500)</f>
        <v/>
      </c>
      <c r="P46" s="199">
        <f>IF(H46="","",$D$5+SUM($O$5:O46))</f>
        <v/>
      </c>
    </row>
    <row r="47">
      <c r="G47" s="11">
        <f>IF(H47="","",ROW()-4)</f>
        <v/>
      </c>
      <c r="H47" s="12">
        <f>IF(OR(I46="",I46&gt;=$D$7),"",I46)</f>
        <v/>
      </c>
      <c r="I47" s="12">
        <f>IF(H47="","",MIN(IF($D$18="LEGAL",DATE(YEAR(H47)+1,1,1),EDATE($D$12,$D$11*(INT((((YEAR(H47)-YEAR($D$12))*12+(MONTH(H47)-MONTH($D$12))-IF(DAY(H47)&lt;DAY($D$12),1,0))/$D$11))+1))),$D$7))</f>
        <v/>
      </c>
      <c r="J47" s="11">
        <f>IF(H47="","",I47-H47)</f>
        <v/>
      </c>
      <c r="K47" s="12">
        <f>IF(H47="","",IF($D$18="LEGAL",H47,EDATE(H47,-$D$13)))</f>
        <v/>
      </c>
      <c r="L47" s="13">
        <f>IF(H47="","",IFERROR(INDEX('Tipos BdE'!$B$7:$M$336,MATCH(DATE(YEAR(K47),MONTH(K47),1),'Tipos BdE'!$A$7:$A$336,1),MATCH($D$9,'Tipos BdE'!$B$6:$M$6,0)),0))</f>
        <v/>
      </c>
      <c r="M47" s="13">
        <f>IF(H47="","",IF($D$18="LEGAL",0,$D$10))</f>
        <v/>
      </c>
      <c r="N47" s="13">
        <f>IF(H47="","",IF(AND($D$14="Sí",(L47+M47)&lt;0),0,L47+M47))</f>
        <v/>
      </c>
      <c r="O47" s="199">
        <f>IF(H47="","",$D$5*N47*J47/36500)</f>
        <v/>
      </c>
      <c r="P47" s="199">
        <f>IF(H47="","",$D$5+SUM($O$5:O47))</f>
        <v/>
      </c>
    </row>
    <row r="48">
      <c r="G48" s="11">
        <f>IF(H48="","",ROW()-4)</f>
        <v/>
      </c>
      <c r="H48" s="12">
        <f>IF(OR(I47="",I47&gt;=$D$7),"",I47)</f>
        <v/>
      </c>
      <c r="I48" s="12">
        <f>IF(H48="","",MIN(IF($D$18="LEGAL",DATE(YEAR(H48)+1,1,1),EDATE($D$12,$D$11*(INT((((YEAR(H48)-YEAR($D$12))*12+(MONTH(H48)-MONTH($D$12))-IF(DAY(H48)&lt;DAY($D$12),1,0))/$D$11))+1))),$D$7))</f>
        <v/>
      </c>
      <c r="J48" s="11">
        <f>IF(H48="","",I48-H48)</f>
        <v/>
      </c>
      <c r="K48" s="12">
        <f>IF(H48="","",IF($D$18="LEGAL",H48,EDATE(H48,-$D$13)))</f>
        <v/>
      </c>
      <c r="L48" s="13">
        <f>IF(H48="","",IFERROR(INDEX('Tipos BdE'!$B$7:$M$336,MATCH(DATE(YEAR(K48),MONTH(K48),1),'Tipos BdE'!$A$7:$A$336,1),MATCH($D$9,'Tipos BdE'!$B$6:$M$6,0)),0))</f>
        <v/>
      </c>
      <c r="M48" s="13">
        <f>IF(H48="","",IF($D$18="LEGAL",0,$D$10))</f>
        <v/>
      </c>
      <c r="N48" s="13">
        <f>IF(H48="","",IF(AND($D$14="Sí",(L48+M48)&lt;0),0,L48+M48))</f>
        <v/>
      </c>
      <c r="O48" s="199">
        <f>IF(H48="","",$D$5*N48*J48/36500)</f>
        <v/>
      </c>
      <c r="P48" s="199">
        <f>IF(H48="","",$D$5+SUM($O$5:O48))</f>
        <v/>
      </c>
    </row>
    <row r="49">
      <c r="G49" s="11">
        <f>IF(H49="","",ROW()-4)</f>
        <v/>
      </c>
      <c r="H49" s="12">
        <f>IF(OR(I48="",I48&gt;=$D$7),"",I48)</f>
        <v/>
      </c>
      <c r="I49" s="12">
        <f>IF(H49="","",MIN(IF($D$18="LEGAL",DATE(YEAR(H49)+1,1,1),EDATE($D$12,$D$11*(INT((((YEAR(H49)-YEAR($D$12))*12+(MONTH(H49)-MONTH($D$12))-IF(DAY(H49)&lt;DAY($D$12),1,0))/$D$11))+1))),$D$7))</f>
        <v/>
      </c>
      <c r="J49" s="11">
        <f>IF(H49="","",I49-H49)</f>
        <v/>
      </c>
      <c r="K49" s="12">
        <f>IF(H49="","",IF($D$18="LEGAL",H49,EDATE(H49,-$D$13)))</f>
        <v/>
      </c>
      <c r="L49" s="13">
        <f>IF(H49="","",IFERROR(INDEX('Tipos BdE'!$B$7:$M$336,MATCH(DATE(YEAR(K49),MONTH(K49),1),'Tipos BdE'!$A$7:$A$336,1),MATCH($D$9,'Tipos BdE'!$B$6:$M$6,0)),0))</f>
        <v/>
      </c>
      <c r="M49" s="13">
        <f>IF(H49="","",IF($D$18="LEGAL",0,$D$10))</f>
        <v/>
      </c>
      <c r="N49" s="13">
        <f>IF(H49="","",IF(AND($D$14="Sí",(L49+M49)&lt;0),0,L49+M49))</f>
        <v/>
      </c>
      <c r="O49" s="199">
        <f>IF(H49="","",$D$5*N49*J49/36500)</f>
        <v/>
      </c>
      <c r="P49" s="199">
        <f>IF(H49="","",$D$5+SUM($O$5:O49))</f>
        <v/>
      </c>
    </row>
    <row r="50">
      <c r="G50" s="11">
        <f>IF(H50="","",ROW()-4)</f>
        <v/>
      </c>
      <c r="H50" s="12">
        <f>IF(OR(I49="",I49&gt;=$D$7),"",I49)</f>
        <v/>
      </c>
      <c r="I50" s="12">
        <f>IF(H50="","",MIN(IF($D$18="LEGAL",DATE(YEAR(H50)+1,1,1),EDATE($D$12,$D$11*(INT((((YEAR(H50)-YEAR($D$12))*12+(MONTH(H50)-MONTH($D$12))-IF(DAY(H50)&lt;DAY($D$12),1,0))/$D$11))+1))),$D$7))</f>
        <v/>
      </c>
      <c r="J50" s="11">
        <f>IF(H50="","",I50-H50)</f>
        <v/>
      </c>
      <c r="K50" s="12">
        <f>IF(H50="","",IF($D$18="LEGAL",H50,EDATE(H50,-$D$13)))</f>
        <v/>
      </c>
      <c r="L50" s="13">
        <f>IF(H50="","",IFERROR(INDEX('Tipos BdE'!$B$7:$M$336,MATCH(DATE(YEAR(K50),MONTH(K50),1),'Tipos BdE'!$A$7:$A$336,1),MATCH($D$9,'Tipos BdE'!$B$6:$M$6,0)),0))</f>
        <v/>
      </c>
      <c r="M50" s="13">
        <f>IF(H50="","",IF($D$18="LEGAL",0,$D$10))</f>
        <v/>
      </c>
      <c r="N50" s="13">
        <f>IF(H50="","",IF(AND($D$14="Sí",(L50+M50)&lt;0),0,L50+M50))</f>
        <v/>
      </c>
      <c r="O50" s="199">
        <f>IF(H50="","",$D$5*N50*J50/36500)</f>
        <v/>
      </c>
      <c r="P50" s="199">
        <f>IF(H50="","",$D$5+SUM($O$5:O50))</f>
        <v/>
      </c>
    </row>
    <row r="51">
      <c r="G51" s="11">
        <f>IF(H51="","",ROW()-4)</f>
        <v/>
      </c>
      <c r="H51" s="12">
        <f>IF(OR(I50="",I50&gt;=$D$7),"",I50)</f>
        <v/>
      </c>
      <c r="I51" s="12">
        <f>IF(H51="","",MIN(IF($D$18="LEGAL",DATE(YEAR(H51)+1,1,1),EDATE($D$12,$D$11*(INT((((YEAR(H51)-YEAR($D$12))*12+(MONTH(H51)-MONTH($D$12))-IF(DAY(H51)&lt;DAY($D$12),1,0))/$D$11))+1))),$D$7))</f>
        <v/>
      </c>
      <c r="J51" s="11">
        <f>IF(H51="","",I51-H51)</f>
        <v/>
      </c>
      <c r="K51" s="12">
        <f>IF(H51="","",IF($D$18="LEGAL",H51,EDATE(H51,-$D$13)))</f>
        <v/>
      </c>
      <c r="L51" s="13">
        <f>IF(H51="","",IFERROR(INDEX('Tipos BdE'!$B$7:$M$336,MATCH(DATE(YEAR(K51),MONTH(K51),1),'Tipos BdE'!$A$7:$A$336,1),MATCH($D$9,'Tipos BdE'!$B$6:$M$6,0)),0))</f>
        <v/>
      </c>
      <c r="M51" s="13">
        <f>IF(H51="","",IF($D$18="LEGAL",0,$D$10))</f>
        <v/>
      </c>
      <c r="N51" s="13">
        <f>IF(H51="","",IF(AND($D$14="Sí",(L51+M51)&lt;0),0,L51+M51))</f>
        <v/>
      </c>
      <c r="O51" s="199">
        <f>IF(H51="","",$D$5*N51*J51/36500)</f>
        <v/>
      </c>
      <c r="P51" s="199">
        <f>IF(H51="","",$D$5+SUM($O$5:O51))</f>
        <v/>
      </c>
    </row>
    <row r="52">
      <c r="G52" s="11">
        <f>IF(H52="","",ROW()-4)</f>
        <v/>
      </c>
      <c r="H52" s="12">
        <f>IF(OR(I51="",I51&gt;=$D$7),"",I51)</f>
        <v/>
      </c>
      <c r="I52" s="12">
        <f>IF(H52="","",MIN(IF($D$18="LEGAL",DATE(YEAR(H52)+1,1,1),EDATE($D$12,$D$11*(INT((((YEAR(H52)-YEAR($D$12))*12+(MONTH(H52)-MONTH($D$12))-IF(DAY(H52)&lt;DAY($D$12),1,0))/$D$11))+1))),$D$7))</f>
        <v/>
      </c>
      <c r="J52" s="11">
        <f>IF(H52="","",I52-H52)</f>
        <v/>
      </c>
      <c r="K52" s="12">
        <f>IF(H52="","",IF($D$18="LEGAL",H52,EDATE(H52,-$D$13)))</f>
        <v/>
      </c>
      <c r="L52" s="13">
        <f>IF(H52="","",IFERROR(INDEX('Tipos BdE'!$B$7:$M$336,MATCH(DATE(YEAR(K52),MONTH(K52),1),'Tipos BdE'!$A$7:$A$336,1),MATCH($D$9,'Tipos BdE'!$B$6:$M$6,0)),0))</f>
        <v/>
      </c>
      <c r="M52" s="13">
        <f>IF(H52="","",IF($D$18="LEGAL",0,$D$10))</f>
        <v/>
      </c>
      <c r="N52" s="13">
        <f>IF(H52="","",IF(AND($D$14="Sí",(L52+M52)&lt;0),0,L52+M52))</f>
        <v/>
      </c>
      <c r="O52" s="199">
        <f>IF(H52="","",$D$5*N52*J52/36500)</f>
        <v/>
      </c>
      <c r="P52" s="199">
        <f>IF(H52="","",$D$5+SUM($O$5:O52))</f>
        <v/>
      </c>
    </row>
    <row r="53">
      <c r="G53" s="11">
        <f>IF(H53="","",ROW()-4)</f>
        <v/>
      </c>
      <c r="H53" s="12">
        <f>IF(OR(I52="",I52&gt;=$D$7),"",I52)</f>
        <v/>
      </c>
      <c r="I53" s="12">
        <f>IF(H53="","",MIN(IF($D$18="LEGAL",DATE(YEAR(H53)+1,1,1),EDATE($D$12,$D$11*(INT((((YEAR(H53)-YEAR($D$12))*12+(MONTH(H53)-MONTH($D$12))-IF(DAY(H53)&lt;DAY($D$12),1,0))/$D$11))+1))),$D$7))</f>
        <v/>
      </c>
      <c r="J53" s="11">
        <f>IF(H53="","",I53-H53)</f>
        <v/>
      </c>
      <c r="K53" s="12">
        <f>IF(H53="","",IF($D$18="LEGAL",H53,EDATE(H53,-$D$13)))</f>
        <v/>
      </c>
      <c r="L53" s="13">
        <f>IF(H53="","",IFERROR(INDEX('Tipos BdE'!$B$7:$M$336,MATCH(DATE(YEAR(K53),MONTH(K53),1),'Tipos BdE'!$A$7:$A$336,1),MATCH($D$9,'Tipos BdE'!$B$6:$M$6,0)),0))</f>
        <v/>
      </c>
      <c r="M53" s="13">
        <f>IF(H53="","",IF($D$18="LEGAL",0,$D$10))</f>
        <v/>
      </c>
      <c r="N53" s="13">
        <f>IF(H53="","",IF(AND($D$14="Sí",(L53+M53)&lt;0),0,L53+M53))</f>
        <v/>
      </c>
      <c r="O53" s="199">
        <f>IF(H53="","",$D$5*N53*J53/36500)</f>
        <v/>
      </c>
      <c r="P53" s="199">
        <f>IF(H53="","",$D$5+SUM($O$5:O53))</f>
        <v/>
      </c>
    </row>
    <row r="54">
      <c r="G54" s="11">
        <f>IF(H54="","",ROW()-4)</f>
        <v/>
      </c>
      <c r="H54" s="12">
        <f>IF(OR(I53="",I53&gt;=$D$7),"",I53)</f>
        <v/>
      </c>
      <c r="I54" s="12">
        <f>IF(H54="","",MIN(IF($D$18="LEGAL",DATE(YEAR(H54)+1,1,1),EDATE($D$12,$D$11*(INT((((YEAR(H54)-YEAR($D$12))*12+(MONTH(H54)-MONTH($D$12))-IF(DAY(H54)&lt;DAY($D$12),1,0))/$D$11))+1))),$D$7))</f>
        <v/>
      </c>
      <c r="J54" s="11">
        <f>IF(H54="","",I54-H54)</f>
        <v/>
      </c>
      <c r="K54" s="12">
        <f>IF(H54="","",IF($D$18="LEGAL",H54,EDATE(H54,-$D$13)))</f>
        <v/>
      </c>
      <c r="L54" s="13">
        <f>IF(H54="","",IFERROR(INDEX('Tipos BdE'!$B$7:$M$336,MATCH(DATE(YEAR(K54),MONTH(K54),1),'Tipos BdE'!$A$7:$A$336,1),MATCH($D$9,'Tipos BdE'!$B$6:$M$6,0)),0))</f>
        <v/>
      </c>
      <c r="M54" s="13">
        <f>IF(H54="","",IF($D$18="LEGAL",0,$D$10))</f>
        <v/>
      </c>
      <c r="N54" s="13">
        <f>IF(H54="","",IF(AND($D$14="Sí",(L54+M54)&lt;0),0,L54+M54))</f>
        <v/>
      </c>
      <c r="O54" s="199">
        <f>IF(H54="","",$D$5*N54*J54/36500)</f>
        <v/>
      </c>
      <c r="P54" s="199">
        <f>IF(H54="","",$D$5+SUM($O$5:O54))</f>
        <v/>
      </c>
    </row>
    <row r="55">
      <c r="G55" s="11">
        <f>IF(H55="","",ROW()-4)</f>
        <v/>
      </c>
      <c r="H55" s="12">
        <f>IF(OR(I54="",I54&gt;=$D$7),"",I54)</f>
        <v/>
      </c>
      <c r="I55" s="12">
        <f>IF(H55="","",MIN(IF($D$18="LEGAL",DATE(YEAR(H55)+1,1,1),EDATE($D$12,$D$11*(INT((((YEAR(H55)-YEAR($D$12))*12+(MONTH(H55)-MONTH($D$12))-IF(DAY(H55)&lt;DAY($D$12),1,0))/$D$11))+1))),$D$7))</f>
        <v/>
      </c>
      <c r="J55" s="11">
        <f>IF(H55="","",I55-H55)</f>
        <v/>
      </c>
      <c r="K55" s="12">
        <f>IF(H55="","",IF($D$18="LEGAL",H55,EDATE(H55,-$D$13)))</f>
        <v/>
      </c>
      <c r="L55" s="13">
        <f>IF(H55="","",IFERROR(INDEX('Tipos BdE'!$B$7:$M$336,MATCH(DATE(YEAR(K55),MONTH(K55),1),'Tipos BdE'!$A$7:$A$336,1),MATCH($D$9,'Tipos BdE'!$B$6:$M$6,0)),0))</f>
        <v/>
      </c>
      <c r="M55" s="13">
        <f>IF(H55="","",IF($D$18="LEGAL",0,$D$10))</f>
        <v/>
      </c>
      <c r="N55" s="13">
        <f>IF(H55="","",IF(AND($D$14="Sí",(L55+M55)&lt;0),0,L55+M55))</f>
        <v/>
      </c>
      <c r="O55" s="199">
        <f>IF(H55="","",$D$5*N55*J55/36500)</f>
        <v/>
      </c>
      <c r="P55" s="199">
        <f>IF(H55="","",$D$5+SUM($O$5:O55))</f>
        <v/>
      </c>
    </row>
    <row r="56">
      <c r="G56" s="11">
        <f>IF(H56="","",ROW()-4)</f>
        <v/>
      </c>
      <c r="H56" s="12">
        <f>IF(OR(I55="",I55&gt;=$D$7),"",I55)</f>
        <v/>
      </c>
      <c r="I56" s="12">
        <f>IF(H56="","",MIN(IF($D$18="LEGAL",DATE(YEAR(H56)+1,1,1),EDATE($D$12,$D$11*(INT((((YEAR(H56)-YEAR($D$12))*12+(MONTH(H56)-MONTH($D$12))-IF(DAY(H56)&lt;DAY($D$12),1,0))/$D$11))+1))),$D$7))</f>
        <v/>
      </c>
      <c r="J56" s="11">
        <f>IF(H56="","",I56-H56)</f>
        <v/>
      </c>
      <c r="K56" s="12">
        <f>IF(H56="","",IF($D$18="LEGAL",H56,EDATE(H56,-$D$13)))</f>
        <v/>
      </c>
      <c r="L56" s="13">
        <f>IF(H56="","",IFERROR(INDEX('Tipos BdE'!$B$7:$M$336,MATCH(DATE(YEAR(K56),MONTH(K56),1),'Tipos BdE'!$A$7:$A$336,1),MATCH($D$9,'Tipos BdE'!$B$6:$M$6,0)),0))</f>
        <v/>
      </c>
      <c r="M56" s="13">
        <f>IF(H56="","",IF($D$18="LEGAL",0,$D$10))</f>
        <v/>
      </c>
      <c r="N56" s="13">
        <f>IF(H56="","",IF(AND($D$14="Sí",(L56+M56)&lt;0),0,L56+M56))</f>
        <v/>
      </c>
      <c r="O56" s="199">
        <f>IF(H56="","",$D$5*N56*J56/36500)</f>
        <v/>
      </c>
      <c r="P56" s="199">
        <f>IF(H56="","",$D$5+SUM($O$5:O56))</f>
        <v/>
      </c>
    </row>
    <row r="57">
      <c r="G57" s="11">
        <f>IF(H57="","",ROW()-4)</f>
        <v/>
      </c>
      <c r="H57" s="12">
        <f>IF(OR(I56="",I56&gt;=$D$7),"",I56)</f>
        <v/>
      </c>
      <c r="I57" s="12">
        <f>IF(H57="","",MIN(IF($D$18="LEGAL",DATE(YEAR(H57)+1,1,1),EDATE($D$12,$D$11*(INT((((YEAR(H57)-YEAR($D$12))*12+(MONTH(H57)-MONTH($D$12))-IF(DAY(H57)&lt;DAY($D$12),1,0))/$D$11))+1))),$D$7))</f>
        <v/>
      </c>
      <c r="J57" s="11">
        <f>IF(H57="","",I57-H57)</f>
        <v/>
      </c>
      <c r="K57" s="12">
        <f>IF(H57="","",IF($D$18="LEGAL",H57,EDATE(H57,-$D$13)))</f>
        <v/>
      </c>
      <c r="L57" s="13">
        <f>IF(H57="","",IFERROR(INDEX('Tipos BdE'!$B$7:$M$336,MATCH(DATE(YEAR(K57),MONTH(K57),1),'Tipos BdE'!$A$7:$A$336,1),MATCH($D$9,'Tipos BdE'!$B$6:$M$6,0)),0))</f>
        <v/>
      </c>
      <c r="M57" s="13">
        <f>IF(H57="","",IF($D$18="LEGAL",0,$D$10))</f>
        <v/>
      </c>
      <c r="N57" s="13">
        <f>IF(H57="","",IF(AND($D$14="Sí",(L57+M57)&lt;0),0,L57+M57))</f>
        <v/>
      </c>
      <c r="O57" s="199">
        <f>IF(H57="","",$D$5*N57*J57/36500)</f>
        <v/>
      </c>
      <c r="P57" s="199">
        <f>IF(H57="","",$D$5+SUM($O$5:O57))</f>
        <v/>
      </c>
    </row>
    <row r="58">
      <c r="G58" s="11">
        <f>IF(H58="","",ROW()-4)</f>
        <v/>
      </c>
      <c r="H58" s="12">
        <f>IF(OR(I57="",I57&gt;=$D$7),"",I57)</f>
        <v/>
      </c>
      <c r="I58" s="12">
        <f>IF(H58="","",MIN(IF($D$18="LEGAL",DATE(YEAR(H58)+1,1,1),EDATE($D$12,$D$11*(INT((((YEAR(H58)-YEAR($D$12))*12+(MONTH(H58)-MONTH($D$12))-IF(DAY(H58)&lt;DAY($D$12),1,0))/$D$11))+1))),$D$7))</f>
        <v/>
      </c>
      <c r="J58" s="11">
        <f>IF(H58="","",I58-H58)</f>
        <v/>
      </c>
      <c r="K58" s="12">
        <f>IF(H58="","",IF($D$18="LEGAL",H58,EDATE(H58,-$D$13)))</f>
        <v/>
      </c>
      <c r="L58" s="13">
        <f>IF(H58="","",IFERROR(INDEX('Tipos BdE'!$B$7:$M$336,MATCH(DATE(YEAR(K58),MONTH(K58),1),'Tipos BdE'!$A$7:$A$336,1),MATCH($D$9,'Tipos BdE'!$B$6:$M$6,0)),0))</f>
        <v/>
      </c>
      <c r="M58" s="13">
        <f>IF(H58="","",IF($D$18="LEGAL",0,$D$10))</f>
        <v/>
      </c>
      <c r="N58" s="13">
        <f>IF(H58="","",IF(AND($D$14="Sí",(L58+M58)&lt;0),0,L58+M58))</f>
        <v/>
      </c>
      <c r="O58" s="199">
        <f>IF(H58="","",$D$5*N58*J58/36500)</f>
        <v/>
      </c>
      <c r="P58" s="199">
        <f>IF(H58="","",$D$5+SUM($O$5:O58))</f>
        <v/>
      </c>
    </row>
    <row r="59">
      <c r="G59" s="11">
        <f>IF(H59="","",ROW()-4)</f>
        <v/>
      </c>
      <c r="H59" s="12">
        <f>IF(OR(I58="",I58&gt;=$D$7),"",I58)</f>
        <v/>
      </c>
      <c r="I59" s="12">
        <f>IF(H59="","",MIN(IF($D$18="LEGAL",DATE(YEAR(H59)+1,1,1),EDATE($D$12,$D$11*(INT((((YEAR(H59)-YEAR($D$12))*12+(MONTH(H59)-MONTH($D$12))-IF(DAY(H59)&lt;DAY($D$12),1,0))/$D$11))+1))),$D$7))</f>
        <v/>
      </c>
      <c r="J59" s="11">
        <f>IF(H59="","",I59-H59)</f>
        <v/>
      </c>
      <c r="K59" s="12">
        <f>IF(H59="","",IF($D$18="LEGAL",H59,EDATE(H59,-$D$13)))</f>
        <v/>
      </c>
      <c r="L59" s="13">
        <f>IF(H59="","",IFERROR(INDEX('Tipos BdE'!$B$7:$M$336,MATCH(DATE(YEAR(K59),MONTH(K59),1),'Tipos BdE'!$A$7:$A$336,1),MATCH($D$9,'Tipos BdE'!$B$6:$M$6,0)),0))</f>
        <v/>
      </c>
      <c r="M59" s="13">
        <f>IF(H59="","",IF($D$18="LEGAL",0,$D$10))</f>
        <v/>
      </c>
      <c r="N59" s="13">
        <f>IF(H59="","",IF(AND($D$14="Sí",(L59+M59)&lt;0),0,L59+M59))</f>
        <v/>
      </c>
      <c r="O59" s="199">
        <f>IF(H59="","",$D$5*N59*J59/36500)</f>
        <v/>
      </c>
      <c r="P59" s="199">
        <f>IF(H59="","",$D$5+SUM($O$5:O59))</f>
        <v/>
      </c>
    </row>
    <row r="60">
      <c r="G60" s="11">
        <f>IF(H60="","",ROW()-4)</f>
        <v/>
      </c>
      <c r="H60" s="12">
        <f>IF(OR(I59="",I59&gt;=$D$7),"",I59)</f>
        <v/>
      </c>
      <c r="I60" s="12">
        <f>IF(H60="","",MIN(IF($D$18="LEGAL",DATE(YEAR(H60)+1,1,1),EDATE($D$12,$D$11*(INT((((YEAR(H60)-YEAR($D$12))*12+(MONTH(H60)-MONTH($D$12))-IF(DAY(H60)&lt;DAY($D$12),1,0))/$D$11))+1))),$D$7))</f>
        <v/>
      </c>
      <c r="J60" s="11">
        <f>IF(H60="","",I60-H60)</f>
        <v/>
      </c>
      <c r="K60" s="12">
        <f>IF(H60="","",IF($D$18="LEGAL",H60,EDATE(H60,-$D$13)))</f>
        <v/>
      </c>
      <c r="L60" s="13">
        <f>IF(H60="","",IFERROR(INDEX('Tipos BdE'!$B$7:$M$336,MATCH(DATE(YEAR(K60),MONTH(K60),1),'Tipos BdE'!$A$7:$A$336,1),MATCH($D$9,'Tipos BdE'!$B$6:$M$6,0)),0))</f>
        <v/>
      </c>
      <c r="M60" s="13">
        <f>IF(H60="","",IF($D$18="LEGAL",0,$D$10))</f>
        <v/>
      </c>
      <c r="N60" s="13">
        <f>IF(H60="","",IF(AND($D$14="Sí",(L60+M60)&lt;0),0,L60+M60))</f>
        <v/>
      </c>
      <c r="O60" s="199">
        <f>IF(H60="","",$D$5*N60*J60/36500)</f>
        <v/>
      </c>
      <c r="P60" s="199">
        <f>IF(H60="","",$D$5+SUM($O$5:O60))</f>
        <v/>
      </c>
    </row>
    <row r="61">
      <c r="G61" s="11">
        <f>IF(H61="","",ROW()-4)</f>
        <v/>
      </c>
      <c r="H61" s="12">
        <f>IF(OR(I60="",I60&gt;=$D$7),"",I60)</f>
        <v/>
      </c>
      <c r="I61" s="12">
        <f>IF(H61="","",MIN(IF($D$18="LEGAL",DATE(YEAR(H61)+1,1,1),EDATE($D$12,$D$11*(INT((((YEAR(H61)-YEAR($D$12))*12+(MONTH(H61)-MONTH($D$12))-IF(DAY(H61)&lt;DAY($D$12),1,0))/$D$11))+1))),$D$7))</f>
        <v/>
      </c>
      <c r="J61" s="11">
        <f>IF(H61="","",I61-H61)</f>
        <v/>
      </c>
      <c r="K61" s="12">
        <f>IF(H61="","",IF($D$18="LEGAL",H61,EDATE(H61,-$D$13)))</f>
        <v/>
      </c>
      <c r="L61" s="13">
        <f>IF(H61="","",IFERROR(INDEX('Tipos BdE'!$B$7:$M$336,MATCH(DATE(YEAR(K61),MONTH(K61),1),'Tipos BdE'!$A$7:$A$336,1),MATCH($D$9,'Tipos BdE'!$B$6:$M$6,0)),0))</f>
        <v/>
      </c>
      <c r="M61" s="13">
        <f>IF(H61="","",IF($D$18="LEGAL",0,$D$10))</f>
        <v/>
      </c>
      <c r="N61" s="13">
        <f>IF(H61="","",IF(AND($D$14="Sí",(L61+M61)&lt;0),0,L61+M61))</f>
        <v/>
      </c>
      <c r="O61" s="199">
        <f>IF(H61="","",$D$5*N61*J61/36500)</f>
        <v/>
      </c>
      <c r="P61" s="199">
        <f>IF(H61="","",$D$5+SUM($O$5:O61))</f>
        <v/>
      </c>
    </row>
    <row r="62">
      <c r="G62" s="11">
        <f>IF(H62="","",ROW()-4)</f>
        <v/>
      </c>
      <c r="H62" s="12">
        <f>IF(OR(I61="",I61&gt;=$D$7),"",I61)</f>
        <v/>
      </c>
      <c r="I62" s="12">
        <f>IF(H62="","",MIN(IF($D$18="LEGAL",DATE(YEAR(H62)+1,1,1),EDATE($D$12,$D$11*(INT((((YEAR(H62)-YEAR($D$12))*12+(MONTH(H62)-MONTH($D$12))-IF(DAY(H62)&lt;DAY($D$12),1,0))/$D$11))+1))),$D$7))</f>
        <v/>
      </c>
      <c r="J62" s="11">
        <f>IF(H62="","",I62-H62)</f>
        <v/>
      </c>
      <c r="K62" s="12">
        <f>IF(H62="","",IF($D$18="LEGAL",H62,EDATE(H62,-$D$13)))</f>
        <v/>
      </c>
      <c r="L62" s="13">
        <f>IF(H62="","",IFERROR(INDEX('Tipos BdE'!$B$7:$M$336,MATCH(DATE(YEAR(K62),MONTH(K62),1),'Tipos BdE'!$A$7:$A$336,1),MATCH($D$9,'Tipos BdE'!$B$6:$M$6,0)),0))</f>
        <v/>
      </c>
      <c r="M62" s="13">
        <f>IF(H62="","",IF($D$18="LEGAL",0,$D$10))</f>
        <v/>
      </c>
      <c r="N62" s="13">
        <f>IF(H62="","",IF(AND($D$14="Sí",(L62+M62)&lt;0),0,L62+M62))</f>
        <v/>
      </c>
      <c r="O62" s="199">
        <f>IF(H62="","",$D$5*N62*J62/36500)</f>
        <v/>
      </c>
      <c r="P62" s="199">
        <f>IF(H62="","",$D$5+SUM($O$5:O62))</f>
        <v/>
      </c>
    </row>
    <row r="63">
      <c r="G63" s="11">
        <f>IF(H63="","",ROW()-4)</f>
        <v/>
      </c>
      <c r="H63" s="12">
        <f>IF(OR(I62="",I62&gt;=$D$7),"",I62)</f>
        <v/>
      </c>
      <c r="I63" s="12">
        <f>IF(H63="","",MIN(IF($D$18="LEGAL",DATE(YEAR(H63)+1,1,1),EDATE($D$12,$D$11*(INT((((YEAR(H63)-YEAR($D$12))*12+(MONTH(H63)-MONTH($D$12))-IF(DAY(H63)&lt;DAY($D$12),1,0))/$D$11))+1))),$D$7))</f>
        <v/>
      </c>
      <c r="J63" s="11">
        <f>IF(H63="","",I63-H63)</f>
        <v/>
      </c>
      <c r="K63" s="12">
        <f>IF(H63="","",IF($D$18="LEGAL",H63,EDATE(H63,-$D$13)))</f>
        <v/>
      </c>
      <c r="L63" s="13">
        <f>IF(H63="","",IFERROR(INDEX('Tipos BdE'!$B$7:$M$336,MATCH(DATE(YEAR(K63),MONTH(K63),1),'Tipos BdE'!$A$7:$A$336,1),MATCH($D$9,'Tipos BdE'!$B$6:$M$6,0)),0))</f>
        <v/>
      </c>
      <c r="M63" s="13">
        <f>IF(H63="","",IF($D$18="LEGAL",0,$D$10))</f>
        <v/>
      </c>
      <c r="N63" s="13">
        <f>IF(H63="","",IF(AND($D$14="Sí",(L63+M63)&lt;0),0,L63+M63))</f>
        <v/>
      </c>
      <c r="O63" s="199">
        <f>IF(H63="","",$D$5*N63*J63/36500)</f>
        <v/>
      </c>
      <c r="P63" s="199">
        <f>IF(H63="","",$D$5+SUM($O$5:O63))</f>
        <v/>
      </c>
    </row>
    <row r="64">
      <c r="G64" s="11">
        <f>IF(H64="","",ROW()-4)</f>
        <v/>
      </c>
      <c r="H64" s="12">
        <f>IF(OR(I63="",I63&gt;=$D$7),"",I63)</f>
        <v/>
      </c>
      <c r="I64" s="12">
        <f>IF(H64="","",MIN(IF($D$18="LEGAL",DATE(YEAR(H64)+1,1,1),EDATE($D$12,$D$11*(INT((((YEAR(H64)-YEAR($D$12))*12+(MONTH(H64)-MONTH($D$12))-IF(DAY(H64)&lt;DAY($D$12),1,0))/$D$11))+1))),$D$7))</f>
        <v/>
      </c>
      <c r="J64" s="11">
        <f>IF(H64="","",I64-H64)</f>
        <v/>
      </c>
      <c r="K64" s="12">
        <f>IF(H64="","",IF($D$18="LEGAL",H64,EDATE(H64,-$D$13)))</f>
        <v/>
      </c>
      <c r="L64" s="13">
        <f>IF(H64="","",IFERROR(INDEX('Tipos BdE'!$B$7:$M$336,MATCH(DATE(YEAR(K64),MONTH(K64),1),'Tipos BdE'!$A$7:$A$336,1),MATCH($D$9,'Tipos BdE'!$B$6:$M$6,0)),0))</f>
        <v/>
      </c>
      <c r="M64" s="13">
        <f>IF(H64="","",IF($D$18="LEGAL",0,$D$10))</f>
        <v/>
      </c>
      <c r="N64" s="13">
        <f>IF(H64="","",IF(AND($D$14="Sí",(L64+M64)&lt;0),0,L64+M64))</f>
        <v/>
      </c>
      <c r="O64" s="199">
        <f>IF(H64="","",$D$5*N64*J64/36500)</f>
        <v/>
      </c>
      <c r="P64" s="199">
        <f>IF(H64="","",$D$5+SUM($O$5:O64))</f>
        <v/>
      </c>
    </row>
    <row r="65">
      <c r="G65" s="11">
        <f>IF(H65="","",ROW()-4)</f>
        <v/>
      </c>
      <c r="H65" s="12">
        <f>IF(OR(I64="",I64&gt;=$D$7),"",I64)</f>
        <v/>
      </c>
      <c r="I65" s="12">
        <f>IF(H65="","",MIN(IF($D$18="LEGAL",DATE(YEAR(H65)+1,1,1),EDATE($D$12,$D$11*(INT((((YEAR(H65)-YEAR($D$12))*12+(MONTH(H65)-MONTH($D$12))-IF(DAY(H65)&lt;DAY($D$12),1,0))/$D$11))+1))),$D$7))</f>
        <v/>
      </c>
      <c r="J65" s="11">
        <f>IF(H65="","",I65-H65)</f>
        <v/>
      </c>
      <c r="K65" s="12">
        <f>IF(H65="","",IF($D$18="LEGAL",H65,EDATE(H65,-$D$13)))</f>
        <v/>
      </c>
      <c r="L65" s="13">
        <f>IF(H65="","",IFERROR(INDEX('Tipos BdE'!$B$7:$M$336,MATCH(DATE(YEAR(K65),MONTH(K65),1),'Tipos BdE'!$A$7:$A$336,1),MATCH($D$9,'Tipos BdE'!$B$6:$M$6,0)),0))</f>
        <v/>
      </c>
      <c r="M65" s="13">
        <f>IF(H65="","",IF($D$18="LEGAL",0,$D$10))</f>
        <v/>
      </c>
      <c r="N65" s="13">
        <f>IF(H65="","",IF(AND($D$14="Sí",(L65+M65)&lt;0),0,L65+M65))</f>
        <v/>
      </c>
      <c r="O65" s="199">
        <f>IF(H65="","",$D$5*N65*J65/36500)</f>
        <v/>
      </c>
      <c r="P65" s="199">
        <f>IF(H65="","",$D$5+SUM($O$5:O65))</f>
        <v/>
      </c>
    </row>
    <row r="66">
      <c r="G66" s="11">
        <f>IF(H66="","",ROW()-4)</f>
        <v/>
      </c>
      <c r="H66" s="12">
        <f>IF(OR(I65="",I65&gt;=$D$7),"",I65)</f>
        <v/>
      </c>
      <c r="I66" s="12">
        <f>IF(H66="","",MIN(IF($D$18="LEGAL",DATE(YEAR(H66)+1,1,1),EDATE($D$12,$D$11*(INT((((YEAR(H66)-YEAR($D$12))*12+(MONTH(H66)-MONTH($D$12))-IF(DAY(H66)&lt;DAY($D$12),1,0))/$D$11))+1))),$D$7))</f>
        <v/>
      </c>
      <c r="J66" s="11">
        <f>IF(H66="","",I66-H66)</f>
        <v/>
      </c>
      <c r="K66" s="12">
        <f>IF(H66="","",IF($D$18="LEGAL",H66,EDATE(H66,-$D$13)))</f>
        <v/>
      </c>
      <c r="L66" s="13">
        <f>IF(H66="","",IFERROR(INDEX('Tipos BdE'!$B$7:$M$336,MATCH(DATE(YEAR(K66),MONTH(K66),1),'Tipos BdE'!$A$7:$A$336,1),MATCH($D$9,'Tipos BdE'!$B$6:$M$6,0)),0))</f>
        <v/>
      </c>
      <c r="M66" s="13">
        <f>IF(H66="","",IF($D$18="LEGAL",0,$D$10))</f>
        <v/>
      </c>
      <c r="N66" s="13">
        <f>IF(H66="","",IF(AND($D$14="Sí",(L66+M66)&lt;0),0,L66+M66))</f>
        <v/>
      </c>
      <c r="O66" s="199">
        <f>IF(H66="","",$D$5*N66*J66/36500)</f>
        <v/>
      </c>
      <c r="P66" s="199">
        <f>IF(H66="","",$D$5+SUM($O$5:O66))</f>
        <v/>
      </c>
    </row>
    <row r="67">
      <c r="G67" s="11">
        <f>IF(H67="","",ROW()-4)</f>
        <v/>
      </c>
      <c r="H67" s="12">
        <f>IF(OR(I66="",I66&gt;=$D$7),"",I66)</f>
        <v/>
      </c>
      <c r="I67" s="12">
        <f>IF(H67="","",MIN(IF($D$18="LEGAL",DATE(YEAR(H67)+1,1,1),EDATE($D$12,$D$11*(INT((((YEAR(H67)-YEAR($D$12))*12+(MONTH(H67)-MONTH($D$12))-IF(DAY(H67)&lt;DAY($D$12),1,0))/$D$11))+1))),$D$7))</f>
        <v/>
      </c>
      <c r="J67" s="11">
        <f>IF(H67="","",I67-H67)</f>
        <v/>
      </c>
      <c r="K67" s="12">
        <f>IF(H67="","",IF($D$18="LEGAL",H67,EDATE(H67,-$D$13)))</f>
        <v/>
      </c>
      <c r="L67" s="13">
        <f>IF(H67="","",IFERROR(INDEX('Tipos BdE'!$B$7:$M$336,MATCH(DATE(YEAR(K67),MONTH(K67),1),'Tipos BdE'!$A$7:$A$336,1),MATCH($D$9,'Tipos BdE'!$B$6:$M$6,0)),0))</f>
        <v/>
      </c>
      <c r="M67" s="13">
        <f>IF(H67="","",IF($D$18="LEGAL",0,$D$10))</f>
        <v/>
      </c>
      <c r="N67" s="13">
        <f>IF(H67="","",IF(AND($D$14="Sí",(L67+M67)&lt;0),0,L67+M67))</f>
        <v/>
      </c>
      <c r="O67" s="199">
        <f>IF(H67="","",$D$5*N67*J67/36500)</f>
        <v/>
      </c>
      <c r="P67" s="199">
        <f>IF(H67="","",$D$5+SUM($O$5:O67))</f>
        <v/>
      </c>
    </row>
    <row r="68">
      <c r="G68" s="11">
        <f>IF(H68="","",ROW()-4)</f>
        <v/>
      </c>
      <c r="H68" s="12">
        <f>IF(OR(I67="",I67&gt;=$D$7),"",I67)</f>
        <v/>
      </c>
      <c r="I68" s="12">
        <f>IF(H68="","",MIN(IF($D$18="LEGAL",DATE(YEAR(H68)+1,1,1),EDATE($D$12,$D$11*(INT((((YEAR(H68)-YEAR($D$12))*12+(MONTH(H68)-MONTH($D$12))-IF(DAY(H68)&lt;DAY($D$12),1,0))/$D$11))+1))),$D$7))</f>
        <v/>
      </c>
      <c r="J68" s="11">
        <f>IF(H68="","",I68-H68)</f>
        <v/>
      </c>
      <c r="K68" s="12">
        <f>IF(H68="","",IF($D$18="LEGAL",H68,EDATE(H68,-$D$13)))</f>
        <v/>
      </c>
      <c r="L68" s="13">
        <f>IF(H68="","",IFERROR(INDEX('Tipos BdE'!$B$7:$M$336,MATCH(DATE(YEAR(K68),MONTH(K68),1),'Tipos BdE'!$A$7:$A$336,1),MATCH($D$9,'Tipos BdE'!$B$6:$M$6,0)),0))</f>
        <v/>
      </c>
      <c r="M68" s="13">
        <f>IF(H68="","",IF($D$18="LEGAL",0,$D$10))</f>
        <v/>
      </c>
      <c r="N68" s="13">
        <f>IF(H68="","",IF(AND($D$14="Sí",(L68+M68)&lt;0),0,L68+M68))</f>
        <v/>
      </c>
      <c r="O68" s="199">
        <f>IF(H68="","",$D$5*N68*J68/36500)</f>
        <v/>
      </c>
      <c r="P68" s="199">
        <f>IF(H68="","",$D$5+SUM($O$5:O68))</f>
        <v/>
      </c>
    </row>
    <row r="69">
      <c r="G69" s="11">
        <f>IF(H69="","",ROW()-4)</f>
        <v/>
      </c>
      <c r="H69" s="12">
        <f>IF(OR(I68="",I68&gt;=$D$7),"",I68)</f>
        <v/>
      </c>
      <c r="I69" s="12">
        <f>IF(H69="","",MIN(IF($D$18="LEGAL",DATE(YEAR(H69)+1,1,1),EDATE($D$12,$D$11*(INT((((YEAR(H69)-YEAR($D$12))*12+(MONTH(H69)-MONTH($D$12))-IF(DAY(H69)&lt;DAY($D$12),1,0))/$D$11))+1))),$D$7))</f>
        <v/>
      </c>
      <c r="J69" s="11">
        <f>IF(H69="","",I69-H69)</f>
        <v/>
      </c>
      <c r="K69" s="12">
        <f>IF(H69="","",IF($D$18="LEGAL",H69,EDATE(H69,-$D$13)))</f>
        <v/>
      </c>
      <c r="L69" s="13">
        <f>IF(H69="","",IFERROR(INDEX('Tipos BdE'!$B$7:$M$336,MATCH(DATE(YEAR(K69),MONTH(K69),1),'Tipos BdE'!$A$7:$A$336,1),MATCH($D$9,'Tipos BdE'!$B$6:$M$6,0)),0))</f>
        <v/>
      </c>
      <c r="M69" s="13">
        <f>IF(H69="","",IF($D$18="LEGAL",0,$D$10))</f>
        <v/>
      </c>
      <c r="N69" s="13">
        <f>IF(H69="","",IF(AND($D$14="Sí",(L69+M69)&lt;0),0,L69+M69))</f>
        <v/>
      </c>
      <c r="O69" s="199">
        <f>IF(H69="","",$D$5*N69*J69/36500)</f>
        <v/>
      </c>
      <c r="P69" s="199">
        <f>IF(H69="","",$D$5+SUM($O$5:O69))</f>
        <v/>
      </c>
    </row>
    <row r="70">
      <c r="G70" s="11">
        <f>IF(H70="","",ROW()-4)</f>
        <v/>
      </c>
      <c r="H70" s="12">
        <f>IF(OR(I69="",I69&gt;=$D$7),"",I69)</f>
        <v/>
      </c>
      <c r="I70" s="12">
        <f>IF(H70="","",MIN(IF($D$18="LEGAL",DATE(YEAR(H70)+1,1,1),EDATE($D$12,$D$11*(INT((((YEAR(H70)-YEAR($D$12))*12+(MONTH(H70)-MONTH($D$12))-IF(DAY(H70)&lt;DAY($D$12),1,0))/$D$11))+1))),$D$7))</f>
        <v/>
      </c>
      <c r="J70" s="11">
        <f>IF(H70="","",I70-H70)</f>
        <v/>
      </c>
      <c r="K70" s="12">
        <f>IF(H70="","",IF($D$18="LEGAL",H70,EDATE(H70,-$D$13)))</f>
        <v/>
      </c>
      <c r="L70" s="13">
        <f>IF(H70="","",IFERROR(INDEX('Tipos BdE'!$B$7:$M$336,MATCH(DATE(YEAR(K70),MONTH(K70),1),'Tipos BdE'!$A$7:$A$336,1),MATCH($D$9,'Tipos BdE'!$B$6:$M$6,0)),0))</f>
        <v/>
      </c>
      <c r="M70" s="13">
        <f>IF(H70="","",IF($D$18="LEGAL",0,$D$10))</f>
        <v/>
      </c>
      <c r="N70" s="13">
        <f>IF(H70="","",IF(AND($D$14="Sí",(L70+M70)&lt;0),0,L70+M70))</f>
        <v/>
      </c>
      <c r="O70" s="199">
        <f>IF(H70="","",$D$5*N70*J70/36500)</f>
        <v/>
      </c>
      <c r="P70" s="199">
        <f>IF(H70="","",$D$5+SUM($O$5:O70))</f>
        <v/>
      </c>
    </row>
    <row r="71">
      <c r="G71" s="11">
        <f>IF(H71="","",ROW()-4)</f>
        <v/>
      </c>
      <c r="H71" s="12">
        <f>IF(OR(I70="",I70&gt;=$D$7),"",I70)</f>
        <v/>
      </c>
      <c r="I71" s="12">
        <f>IF(H71="","",MIN(IF($D$18="LEGAL",DATE(YEAR(H71)+1,1,1),EDATE($D$12,$D$11*(INT((((YEAR(H71)-YEAR($D$12))*12+(MONTH(H71)-MONTH($D$12))-IF(DAY(H71)&lt;DAY($D$12),1,0))/$D$11))+1))),$D$7))</f>
        <v/>
      </c>
      <c r="J71" s="11">
        <f>IF(H71="","",I71-H71)</f>
        <v/>
      </c>
      <c r="K71" s="12">
        <f>IF(H71="","",IF($D$18="LEGAL",H71,EDATE(H71,-$D$13)))</f>
        <v/>
      </c>
      <c r="L71" s="13">
        <f>IF(H71="","",IFERROR(INDEX('Tipos BdE'!$B$7:$M$336,MATCH(DATE(YEAR(K71),MONTH(K71),1),'Tipos BdE'!$A$7:$A$336,1),MATCH($D$9,'Tipos BdE'!$B$6:$M$6,0)),0))</f>
        <v/>
      </c>
      <c r="M71" s="13">
        <f>IF(H71="","",IF($D$18="LEGAL",0,$D$10))</f>
        <v/>
      </c>
      <c r="N71" s="13">
        <f>IF(H71="","",IF(AND($D$14="Sí",(L71+M71)&lt;0),0,L71+M71))</f>
        <v/>
      </c>
      <c r="O71" s="199">
        <f>IF(H71="","",$D$5*N71*J71/36500)</f>
        <v/>
      </c>
      <c r="P71" s="199">
        <f>IF(H71="","",$D$5+SUM($O$5:O71))</f>
        <v/>
      </c>
    </row>
    <row r="72">
      <c r="G72" s="11">
        <f>IF(H72="","",ROW()-4)</f>
        <v/>
      </c>
      <c r="H72" s="12">
        <f>IF(OR(I71="",I71&gt;=$D$7),"",I71)</f>
        <v/>
      </c>
      <c r="I72" s="12">
        <f>IF(H72="","",MIN(IF($D$18="LEGAL",DATE(YEAR(H72)+1,1,1),EDATE($D$12,$D$11*(INT((((YEAR(H72)-YEAR($D$12))*12+(MONTH(H72)-MONTH($D$12))-IF(DAY(H72)&lt;DAY($D$12),1,0))/$D$11))+1))),$D$7))</f>
        <v/>
      </c>
      <c r="J72" s="11">
        <f>IF(H72="","",I72-H72)</f>
        <v/>
      </c>
      <c r="K72" s="12">
        <f>IF(H72="","",IF($D$18="LEGAL",H72,EDATE(H72,-$D$13)))</f>
        <v/>
      </c>
      <c r="L72" s="13">
        <f>IF(H72="","",IFERROR(INDEX('Tipos BdE'!$B$7:$M$336,MATCH(DATE(YEAR(K72),MONTH(K72),1),'Tipos BdE'!$A$7:$A$336,1),MATCH($D$9,'Tipos BdE'!$B$6:$M$6,0)),0))</f>
        <v/>
      </c>
      <c r="M72" s="13">
        <f>IF(H72="","",IF($D$18="LEGAL",0,$D$10))</f>
        <v/>
      </c>
      <c r="N72" s="13">
        <f>IF(H72="","",IF(AND($D$14="Sí",(L72+M72)&lt;0),0,L72+M72))</f>
        <v/>
      </c>
      <c r="O72" s="199">
        <f>IF(H72="","",$D$5*N72*J72/36500)</f>
        <v/>
      </c>
      <c r="P72" s="199">
        <f>IF(H72="","",$D$5+SUM($O$5:O72))</f>
        <v/>
      </c>
    </row>
    <row r="73">
      <c r="G73" s="11">
        <f>IF(H73="","",ROW()-4)</f>
        <v/>
      </c>
      <c r="H73" s="12">
        <f>IF(OR(I72="",I72&gt;=$D$7),"",I72)</f>
        <v/>
      </c>
      <c r="I73" s="12">
        <f>IF(H73="","",MIN(IF($D$18="LEGAL",DATE(YEAR(H73)+1,1,1),EDATE($D$12,$D$11*(INT((((YEAR(H73)-YEAR($D$12))*12+(MONTH(H73)-MONTH($D$12))-IF(DAY(H73)&lt;DAY($D$12),1,0))/$D$11))+1))),$D$7))</f>
        <v/>
      </c>
      <c r="J73" s="11">
        <f>IF(H73="","",I73-H73)</f>
        <v/>
      </c>
      <c r="K73" s="12">
        <f>IF(H73="","",IF($D$18="LEGAL",H73,EDATE(H73,-$D$13)))</f>
        <v/>
      </c>
      <c r="L73" s="13">
        <f>IF(H73="","",IFERROR(INDEX('Tipos BdE'!$B$7:$M$336,MATCH(DATE(YEAR(K73),MONTH(K73),1),'Tipos BdE'!$A$7:$A$336,1),MATCH($D$9,'Tipos BdE'!$B$6:$M$6,0)),0))</f>
        <v/>
      </c>
      <c r="M73" s="13">
        <f>IF(H73="","",IF($D$18="LEGAL",0,$D$10))</f>
        <v/>
      </c>
      <c r="N73" s="13">
        <f>IF(H73="","",IF(AND($D$14="Sí",(L73+M73)&lt;0),0,L73+M73))</f>
        <v/>
      </c>
      <c r="O73" s="199">
        <f>IF(H73="","",$D$5*N73*J73/36500)</f>
        <v/>
      </c>
      <c r="P73" s="199">
        <f>IF(H73="","",$D$5+SUM($O$5:O73))</f>
        <v/>
      </c>
    </row>
    <row r="74">
      <c r="G74" s="11">
        <f>IF(H74="","",ROW()-4)</f>
        <v/>
      </c>
      <c r="H74" s="12">
        <f>IF(OR(I73="",I73&gt;=$D$7),"",I73)</f>
        <v/>
      </c>
      <c r="I74" s="12">
        <f>IF(H74="","",MIN(IF($D$18="LEGAL",DATE(YEAR(H74)+1,1,1),EDATE($D$12,$D$11*(INT((((YEAR(H74)-YEAR($D$12))*12+(MONTH(H74)-MONTH($D$12))-IF(DAY(H74)&lt;DAY($D$12),1,0))/$D$11))+1))),$D$7))</f>
        <v/>
      </c>
      <c r="J74" s="11">
        <f>IF(H74="","",I74-H74)</f>
        <v/>
      </c>
      <c r="K74" s="12">
        <f>IF(H74="","",IF($D$18="LEGAL",H74,EDATE(H74,-$D$13)))</f>
        <v/>
      </c>
      <c r="L74" s="13">
        <f>IF(H74="","",IFERROR(INDEX('Tipos BdE'!$B$7:$M$336,MATCH(DATE(YEAR(K74),MONTH(K74),1),'Tipos BdE'!$A$7:$A$336,1),MATCH($D$9,'Tipos BdE'!$B$6:$M$6,0)),0))</f>
        <v/>
      </c>
      <c r="M74" s="13">
        <f>IF(H74="","",IF($D$18="LEGAL",0,$D$10))</f>
        <v/>
      </c>
      <c r="N74" s="13">
        <f>IF(H74="","",IF(AND($D$14="Sí",(L74+M74)&lt;0),0,L74+M74))</f>
        <v/>
      </c>
      <c r="O74" s="199">
        <f>IF(H74="","",$D$5*N74*J74/36500)</f>
        <v/>
      </c>
      <c r="P74" s="199">
        <f>IF(H74="","",$D$5+SUM($O$5:O74))</f>
        <v/>
      </c>
    </row>
    <row r="75">
      <c r="G75" s="11">
        <f>IF(H75="","",ROW()-4)</f>
        <v/>
      </c>
      <c r="H75" s="12">
        <f>IF(OR(I74="",I74&gt;=$D$7),"",I74)</f>
        <v/>
      </c>
      <c r="I75" s="12">
        <f>IF(H75="","",MIN(IF($D$18="LEGAL",DATE(YEAR(H75)+1,1,1),EDATE($D$12,$D$11*(INT((((YEAR(H75)-YEAR($D$12))*12+(MONTH(H75)-MONTH($D$12))-IF(DAY(H75)&lt;DAY($D$12),1,0))/$D$11))+1))),$D$7))</f>
        <v/>
      </c>
      <c r="J75" s="11">
        <f>IF(H75="","",I75-H75)</f>
        <v/>
      </c>
      <c r="K75" s="12">
        <f>IF(H75="","",IF($D$18="LEGAL",H75,EDATE(H75,-$D$13)))</f>
        <v/>
      </c>
      <c r="L75" s="13">
        <f>IF(H75="","",IFERROR(INDEX('Tipos BdE'!$B$7:$M$336,MATCH(DATE(YEAR(K75),MONTH(K75),1),'Tipos BdE'!$A$7:$A$336,1),MATCH($D$9,'Tipos BdE'!$B$6:$M$6,0)),0))</f>
        <v/>
      </c>
      <c r="M75" s="13">
        <f>IF(H75="","",IF($D$18="LEGAL",0,$D$10))</f>
        <v/>
      </c>
      <c r="N75" s="13">
        <f>IF(H75="","",IF(AND($D$14="Sí",(L75+M75)&lt;0),0,L75+M75))</f>
        <v/>
      </c>
      <c r="O75" s="199">
        <f>IF(H75="","",$D$5*N75*J75/36500)</f>
        <v/>
      </c>
      <c r="P75" s="199">
        <f>IF(H75="","",$D$5+SUM($O$5:O75))</f>
        <v/>
      </c>
    </row>
    <row r="76">
      <c r="G76" s="11">
        <f>IF(H76="","",ROW()-4)</f>
        <v/>
      </c>
      <c r="H76" s="12">
        <f>IF(OR(I75="",I75&gt;=$D$7),"",I75)</f>
        <v/>
      </c>
      <c r="I76" s="12">
        <f>IF(H76="","",MIN(IF($D$18="LEGAL",DATE(YEAR(H76)+1,1,1),EDATE($D$12,$D$11*(INT((((YEAR(H76)-YEAR($D$12))*12+(MONTH(H76)-MONTH($D$12))-IF(DAY(H76)&lt;DAY($D$12),1,0))/$D$11))+1))),$D$7))</f>
        <v/>
      </c>
      <c r="J76" s="11">
        <f>IF(H76="","",I76-H76)</f>
        <v/>
      </c>
      <c r="K76" s="12">
        <f>IF(H76="","",IF($D$18="LEGAL",H76,EDATE(H76,-$D$13)))</f>
        <v/>
      </c>
      <c r="L76" s="13">
        <f>IF(H76="","",IFERROR(INDEX('Tipos BdE'!$B$7:$M$336,MATCH(DATE(YEAR(K76),MONTH(K76),1),'Tipos BdE'!$A$7:$A$336,1),MATCH($D$9,'Tipos BdE'!$B$6:$M$6,0)),0))</f>
        <v/>
      </c>
      <c r="M76" s="13">
        <f>IF(H76="","",IF($D$18="LEGAL",0,$D$10))</f>
        <v/>
      </c>
      <c r="N76" s="13">
        <f>IF(H76="","",IF(AND($D$14="Sí",(L76+M76)&lt;0),0,L76+M76))</f>
        <v/>
      </c>
      <c r="O76" s="199">
        <f>IF(H76="","",$D$5*N76*J76/36500)</f>
        <v/>
      </c>
      <c r="P76" s="199">
        <f>IF(H76="","",$D$5+SUM($O$5:O76))</f>
        <v/>
      </c>
    </row>
    <row r="77">
      <c r="G77" s="11">
        <f>IF(H77="","",ROW()-4)</f>
        <v/>
      </c>
      <c r="H77" s="12">
        <f>IF(OR(I76="",I76&gt;=$D$7),"",I76)</f>
        <v/>
      </c>
      <c r="I77" s="12">
        <f>IF(H77="","",MIN(IF($D$18="LEGAL",DATE(YEAR(H77)+1,1,1),EDATE($D$12,$D$11*(INT((((YEAR(H77)-YEAR($D$12))*12+(MONTH(H77)-MONTH($D$12))-IF(DAY(H77)&lt;DAY($D$12),1,0))/$D$11))+1))),$D$7))</f>
        <v/>
      </c>
      <c r="J77" s="11">
        <f>IF(H77="","",I77-H77)</f>
        <v/>
      </c>
      <c r="K77" s="12">
        <f>IF(H77="","",IF($D$18="LEGAL",H77,EDATE(H77,-$D$13)))</f>
        <v/>
      </c>
      <c r="L77" s="13">
        <f>IF(H77="","",IFERROR(INDEX('Tipos BdE'!$B$7:$M$336,MATCH(DATE(YEAR(K77),MONTH(K77),1),'Tipos BdE'!$A$7:$A$336,1),MATCH($D$9,'Tipos BdE'!$B$6:$M$6,0)),0))</f>
        <v/>
      </c>
      <c r="M77" s="13">
        <f>IF(H77="","",IF($D$18="LEGAL",0,$D$10))</f>
        <v/>
      </c>
      <c r="N77" s="13">
        <f>IF(H77="","",IF(AND($D$14="Sí",(L77+M77)&lt;0),0,L77+M77))</f>
        <v/>
      </c>
      <c r="O77" s="199">
        <f>IF(H77="","",$D$5*N77*J77/36500)</f>
        <v/>
      </c>
      <c r="P77" s="199">
        <f>IF(H77="","",$D$5+SUM($O$5:O77))</f>
        <v/>
      </c>
    </row>
    <row r="78">
      <c r="G78" s="11">
        <f>IF(H78="","",ROW()-4)</f>
        <v/>
      </c>
      <c r="H78" s="12">
        <f>IF(OR(I77="",I77&gt;=$D$7),"",I77)</f>
        <v/>
      </c>
      <c r="I78" s="12">
        <f>IF(H78="","",MIN(IF($D$18="LEGAL",DATE(YEAR(H78)+1,1,1),EDATE($D$12,$D$11*(INT((((YEAR(H78)-YEAR($D$12))*12+(MONTH(H78)-MONTH($D$12))-IF(DAY(H78)&lt;DAY($D$12),1,0))/$D$11))+1))),$D$7))</f>
        <v/>
      </c>
      <c r="J78" s="11">
        <f>IF(H78="","",I78-H78)</f>
        <v/>
      </c>
      <c r="K78" s="12">
        <f>IF(H78="","",IF($D$18="LEGAL",H78,EDATE(H78,-$D$13)))</f>
        <v/>
      </c>
      <c r="L78" s="13">
        <f>IF(H78="","",IFERROR(INDEX('Tipos BdE'!$B$7:$M$336,MATCH(DATE(YEAR(K78),MONTH(K78),1),'Tipos BdE'!$A$7:$A$336,1),MATCH($D$9,'Tipos BdE'!$B$6:$M$6,0)),0))</f>
        <v/>
      </c>
      <c r="M78" s="13">
        <f>IF(H78="","",IF($D$18="LEGAL",0,$D$10))</f>
        <v/>
      </c>
      <c r="N78" s="13">
        <f>IF(H78="","",IF(AND($D$14="Sí",(L78+M78)&lt;0),0,L78+M78))</f>
        <v/>
      </c>
      <c r="O78" s="199">
        <f>IF(H78="","",$D$5*N78*J78/36500)</f>
        <v/>
      </c>
      <c r="P78" s="199">
        <f>IF(H78="","",$D$5+SUM($O$5:O78))</f>
        <v/>
      </c>
    </row>
    <row r="79">
      <c r="G79" s="11">
        <f>IF(H79="","",ROW()-4)</f>
        <v/>
      </c>
      <c r="H79" s="12">
        <f>IF(OR(I78="",I78&gt;=$D$7),"",I78)</f>
        <v/>
      </c>
      <c r="I79" s="12">
        <f>IF(H79="","",MIN(IF($D$18="LEGAL",DATE(YEAR(H79)+1,1,1),EDATE($D$12,$D$11*(INT((((YEAR(H79)-YEAR($D$12))*12+(MONTH(H79)-MONTH($D$12))-IF(DAY(H79)&lt;DAY($D$12),1,0))/$D$11))+1))),$D$7))</f>
        <v/>
      </c>
      <c r="J79" s="11">
        <f>IF(H79="","",I79-H79)</f>
        <v/>
      </c>
      <c r="K79" s="12">
        <f>IF(H79="","",IF($D$18="LEGAL",H79,EDATE(H79,-$D$13)))</f>
        <v/>
      </c>
      <c r="L79" s="13">
        <f>IF(H79="","",IFERROR(INDEX('Tipos BdE'!$B$7:$M$336,MATCH(DATE(YEAR(K79),MONTH(K79),1),'Tipos BdE'!$A$7:$A$336,1),MATCH($D$9,'Tipos BdE'!$B$6:$M$6,0)),0))</f>
        <v/>
      </c>
      <c r="M79" s="13">
        <f>IF(H79="","",IF($D$18="LEGAL",0,$D$10))</f>
        <v/>
      </c>
      <c r="N79" s="13">
        <f>IF(H79="","",IF(AND($D$14="Sí",(L79+M79)&lt;0),0,L79+M79))</f>
        <v/>
      </c>
      <c r="O79" s="199">
        <f>IF(H79="","",$D$5*N79*J79/36500)</f>
        <v/>
      </c>
      <c r="P79" s="199">
        <f>IF(H79="","",$D$5+SUM($O$5:O79))</f>
        <v/>
      </c>
    </row>
    <row r="80">
      <c r="G80" s="11">
        <f>IF(H80="","",ROW()-4)</f>
        <v/>
      </c>
      <c r="H80" s="12">
        <f>IF(OR(I79="",I79&gt;=$D$7),"",I79)</f>
        <v/>
      </c>
      <c r="I80" s="12">
        <f>IF(H80="","",MIN(IF($D$18="LEGAL",DATE(YEAR(H80)+1,1,1),EDATE($D$12,$D$11*(INT((((YEAR(H80)-YEAR($D$12))*12+(MONTH(H80)-MONTH($D$12))-IF(DAY(H80)&lt;DAY($D$12),1,0))/$D$11))+1))),$D$7))</f>
        <v/>
      </c>
      <c r="J80" s="11">
        <f>IF(H80="","",I80-H80)</f>
        <v/>
      </c>
      <c r="K80" s="12">
        <f>IF(H80="","",IF($D$18="LEGAL",H80,EDATE(H80,-$D$13)))</f>
        <v/>
      </c>
      <c r="L80" s="13">
        <f>IF(H80="","",IFERROR(INDEX('Tipos BdE'!$B$7:$M$336,MATCH(DATE(YEAR(K80),MONTH(K80),1),'Tipos BdE'!$A$7:$A$336,1),MATCH($D$9,'Tipos BdE'!$B$6:$M$6,0)),0))</f>
        <v/>
      </c>
      <c r="M80" s="13">
        <f>IF(H80="","",IF($D$18="LEGAL",0,$D$10))</f>
        <v/>
      </c>
      <c r="N80" s="13">
        <f>IF(H80="","",IF(AND($D$14="Sí",(L80+M80)&lt;0),0,L80+M80))</f>
        <v/>
      </c>
      <c r="O80" s="199">
        <f>IF(H80="","",$D$5*N80*J80/36500)</f>
        <v/>
      </c>
      <c r="P80" s="199">
        <f>IF(H80="","",$D$5+SUM($O$5:O80))</f>
        <v/>
      </c>
    </row>
    <row r="81">
      <c r="G81" s="11">
        <f>IF(H81="","",ROW()-4)</f>
        <v/>
      </c>
      <c r="H81" s="12">
        <f>IF(OR(I80="",I80&gt;=$D$7),"",I80)</f>
        <v/>
      </c>
      <c r="I81" s="12">
        <f>IF(H81="","",MIN(IF($D$18="LEGAL",DATE(YEAR(H81)+1,1,1),EDATE($D$12,$D$11*(INT((((YEAR(H81)-YEAR($D$12))*12+(MONTH(H81)-MONTH($D$12))-IF(DAY(H81)&lt;DAY($D$12),1,0))/$D$11))+1))),$D$7))</f>
        <v/>
      </c>
      <c r="J81" s="11">
        <f>IF(H81="","",I81-H81)</f>
        <v/>
      </c>
      <c r="K81" s="12">
        <f>IF(H81="","",IF($D$18="LEGAL",H81,EDATE(H81,-$D$13)))</f>
        <v/>
      </c>
      <c r="L81" s="13">
        <f>IF(H81="","",IFERROR(INDEX('Tipos BdE'!$B$7:$M$336,MATCH(DATE(YEAR(K81),MONTH(K81),1),'Tipos BdE'!$A$7:$A$336,1),MATCH($D$9,'Tipos BdE'!$B$6:$M$6,0)),0))</f>
        <v/>
      </c>
      <c r="M81" s="13">
        <f>IF(H81="","",IF($D$18="LEGAL",0,$D$10))</f>
        <v/>
      </c>
      <c r="N81" s="13">
        <f>IF(H81="","",IF(AND($D$14="Sí",(L81+M81)&lt;0),0,L81+M81))</f>
        <v/>
      </c>
      <c r="O81" s="199">
        <f>IF(H81="","",$D$5*N81*J81/36500)</f>
        <v/>
      </c>
      <c r="P81" s="199">
        <f>IF(H81="","",$D$5+SUM($O$5:O81))</f>
        <v/>
      </c>
    </row>
    <row r="82">
      <c r="G82" s="11">
        <f>IF(H82="","",ROW()-4)</f>
        <v/>
      </c>
      <c r="H82" s="12">
        <f>IF(OR(I81="",I81&gt;=$D$7),"",I81)</f>
        <v/>
      </c>
      <c r="I82" s="12">
        <f>IF(H82="","",MIN(IF($D$18="LEGAL",DATE(YEAR(H82)+1,1,1),EDATE($D$12,$D$11*(INT((((YEAR(H82)-YEAR($D$12))*12+(MONTH(H82)-MONTH($D$12))-IF(DAY(H82)&lt;DAY($D$12),1,0))/$D$11))+1))),$D$7))</f>
        <v/>
      </c>
      <c r="J82" s="11">
        <f>IF(H82="","",I82-H82)</f>
        <v/>
      </c>
      <c r="K82" s="12">
        <f>IF(H82="","",IF($D$18="LEGAL",H82,EDATE(H82,-$D$13)))</f>
        <v/>
      </c>
      <c r="L82" s="13">
        <f>IF(H82="","",IFERROR(INDEX('Tipos BdE'!$B$7:$M$336,MATCH(DATE(YEAR(K82),MONTH(K82),1),'Tipos BdE'!$A$7:$A$336,1),MATCH($D$9,'Tipos BdE'!$B$6:$M$6,0)),0))</f>
        <v/>
      </c>
      <c r="M82" s="13">
        <f>IF(H82="","",IF($D$18="LEGAL",0,$D$10))</f>
        <v/>
      </c>
      <c r="N82" s="13">
        <f>IF(H82="","",IF(AND($D$14="Sí",(L82+M82)&lt;0),0,L82+M82))</f>
        <v/>
      </c>
      <c r="O82" s="199">
        <f>IF(H82="","",$D$5*N82*J82/36500)</f>
        <v/>
      </c>
      <c r="P82" s="199">
        <f>IF(H82="","",$D$5+SUM($O$5:O82))</f>
        <v/>
      </c>
    </row>
    <row r="83">
      <c r="G83" s="11">
        <f>IF(H83="","",ROW()-4)</f>
        <v/>
      </c>
      <c r="H83" s="12">
        <f>IF(OR(I82="",I82&gt;=$D$7),"",I82)</f>
        <v/>
      </c>
      <c r="I83" s="12">
        <f>IF(H83="","",MIN(IF($D$18="LEGAL",DATE(YEAR(H83)+1,1,1),EDATE($D$12,$D$11*(INT((((YEAR(H83)-YEAR($D$12))*12+(MONTH(H83)-MONTH($D$12))-IF(DAY(H83)&lt;DAY($D$12),1,0))/$D$11))+1))),$D$7))</f>
        <v/>
      </c>
      <c r="J83" s="11">
        <f>IF(H83="","",I83-H83)</f>
        <v/>
      </c>
      <c r="K83" s="12">
        <f>IF(H83="","",IF($D$18="LEGAL",H83,EDATE(H83,-$D$13)))</f>
        <v/>
      </c>
      <c r="L83" s="13">
        <f>IF(H83="","",IFERROR(INDEX('Tipos BdE'!$B$7:$M$336,MATCH(DATE(YEAR(K83),MONTH(K83),1),'Tipos BdE'!$A$7:$A$336,1),MATCH($D$9,'Tipos BdE'!$B$6:$M$6,0)),0))</f>
        <v/>
      </c>
      <c r="M83" s="13">
        <f>IF(H83="","",IF($D$18="LEGAL",0,$D$10))</f>
        <v/>
      </c>
      <c r="N83" s="13">
        <f>IF(H83="","",IF(AND($D$14="Sí",(L83+M83)&lt;0),0,L83+M83))</f>
        <v/>
      </c>
      <c r="O83" s="199">
        <f>IF(H83="","",$D$5*N83*J83/36500)</f>
        <v/>
      </c>
      <c r="P83" s="199">
        <f>IF(H83="","",$D$5+SUM($O$5:O83))</f>
        <v/>
      </c>
    </row>
    <row r="84">
      <c r="G84" s="11">
        <f>IF(H84="","",ROW()-4)</f>
        <v/>
      </c>
      <c r="H84" s="12">
        <f>IF(OR(I83="",I83&gt;=$D$7),"",I83)</f>
        <v/>
      </c>
      <c r="I84" s="12">
        <f>IF(H84="","",MIN(IF($D$18="LEGAL",DATE(YEAR(H84)+1,1,1),EDATE($D$12,$D$11*(INT((((YEAR(H84)-YEAR($D$12))*12+(MONTH(H84)-MONTH($D$12))-IF(DAY(H84)&lt;DAY($D$12),1,0))/$D$11))+1))),$D$7))</f>
        <v/>
      </c>
      <c r="J84" s="11">
        <f>IF(H84="","",I84-H84)</f>
        <v/>
      </c>
      <c r="K84" s="12">
        <f>IF(H84="","",IF($D$18="LEGAL",H84,EDATE(H84,-$D$13)))</f>
        <v/>
      </c>
      <c r="L84" s="13">
        <f>IF(H84="","",IFERROR(INDEX('Tipos BdE'!$B$7:$M$336,MATCH(DATE(YEAR(K84),MONTH(K84),1),'Tipos BdE'!$A$7:$A$336,1),MATCH($D$9,'Tipos BdE'!$B$6:$M$6,0)),0))</f>
        <v/>
      </c>
      <c r="M84" s="13">
        <f>IF(H84="","",IF($D$18="LEGAL",0,$D$10))</f>
        <v/>
      </c>
      <c r="N84" s="13">
        <f>IF(H84="","",IF(AND($D$14="Sí",(L84+M84)&lt;0),0,L84+M84))</f>
        <v/>
      </c>
      <c r="O84" s="199">
        <f>IF(H84="","",$D$5*N84*J84/36500)</f>
        <v/>
      </c>
      <c r="P84" s="199">
        <f>IF(H84="","",$D$5+SUM($O$5:O84))</f>
        <v/>
      </c>
    </row>
    <row r="85">
      <c r="G85" s="11">
        <f>IF(H85="","",ROW()-4)</f>
        <v/>
      </c>
      <c r="H85" s="12">
        <f>IF(OR(I84="",I84&gt;=$D$7),"",I84)</f>
        <v/>
      </c>
      <c r="I85" s="12">
        <f>IF(H85="","",MIN(IF($D$18="LEGAL",DATE(YEAR(H85)+1,1,1),EDATE($D$12,$D$11*(INT((((YEAR(H85)-YEAR($D$12))*12+(MONTH(H85)-MONTH($D$12))-IF(DAY(H85)&lt;DAY($D$12),1,0))/$D$11))+1))),$D$7))</f>
        <v/>
      </c>
      <c r="J85" s="11">
        <f>IF(H85="","",I85-H85)</f>
        <v/>
      </c>
      <c r="K85" s="12">
        <f>IF(H85="","",IF($D$18="LEGAL",H85,EDATE(H85,-$D$13)))</f>
        <v/>
      </c>
      <c r="L85" s="13">
        <f>IF(H85="","",IFERROR(INDEX('Tipos BdE'!$B$7:$M$336,MATCH(DATE(YEAR(K85),MONTH(K85),1),'Tipos BdE'!$A$7:$A$336,1),MATCH($D$9,'Tipos BdE'!$B$6:$M$6,0)),0))</f>
        <v/>
      </c>
      <c r="M85" s="13">
        <f>IF(H85="","",IF($D$18="LEGAL",0,$D$10))</f>
        <v/>
      </c>
      <c r="N85" s="13">
        <f>IF(H85="","",IF(AND($D$14="Sí",(L85+M85)&lt;0),0,L85+M85))</f>
        <v/>
      </c>
      <c r="O85" s="199">
        <f>IF(H85="","",$D$5*N85*J85/36500)</f>
        <v/>
      </c>
      <c r="P85" s="199">
        <f>IF(H85="","",$D$5+SUM($O$5:O85))</f>
        <v/>
      </c>
    </row>
    <row r="86">
      <c r="G86" s="11">
        <f>IF(H86="","",ROW()-4)</f>
        <v/>
      </c>
      <c r="H86" s="12">
        <f>IF(OR(I85="",I85&gt;=$D$7),"",I85)</f>
        <v/>
      </c>
      <c r="I86" s="12">
        <f>IF(H86="","",MIN(IF($D$18="LEGAL",DATE(YEAR(H86)+1,1,1),EDATE($D$12,$D$11*(INT((((YEAR(H86)-YEAR($D$12))*12+(MONTH(H86)-MONTH($D$12))-IF(DAY(H86)&lt;DAY($D$12),1,0))/$D$11))+1))),$D$7))</f>
        <v/>
      </c>
      <c r="J86" s="11">
        <f>IF(H86="","",I86-H86)</f>
        <v/>
      </c>
      <c r="K86" s="12">
        <f>IF(H86="","",IF($D$18="LEGAL",H86,EDATE(H86,-$D$13)))</f>
        <v/>
      </c>
      <c r="L86" s="13">
        <f>IF(H86="","",IFERROR(INDEX('Tipos BdE'!$B$7:$M$336,MATCH(DATE(YEAR(K86),MONTH(K86),1),'Tipos BdE'!$A$7:$A$336,1),MATCH($D$9,'Tipos BdE'!$B$6:$M$6,0)),0))</f>
        <v/>
      </c>
      <c r="M86" s="13">
        <f>IF(H86="","",IF($D$18="LEGAL",0,$D$10))</f>
        <v/>
      </c>
      <c r="N86" s="13">
        <f>IF(H86="","",IF(AND($D$14="Sí",(L86+M86)&lt;0),0,L86+M86))</f>
        <v/>
      </c>
      <c r="O86" s="199">
        <f>IF(H86="","",$D$5*N86*J86/36500)</f>
        <v/>
      </c>
      <c r="P86" s="199">
        <f>IF(H86="","",$D$5+SUM($O$5:O86))</f>
        <v/>
      </c>
    </row>
    <row r="87">
      <c r="G87" s="11">
        <f>IF(H87="","",ROW()-4)</f>
        <v/>
      </c>
      <c r="H87" s="12">
        <f>IF(OR(I86="",I86&gt;=$D$7),"",I86)</f>
        <v/>
      </c>
      <c r="I87" s="12">
        <f>IF(H87="","",MIN(IF($D$18="LEGAL",DATE(YEAR(H87)+1,1,1),EDATE($D$12,$D$11*(INT((((YEAR(H87)-YEAR($D$12))*12+(MONTH(H87)-MONTH($D$12))-IF(DAY(H87)&lt;DAY($D$12),1,0))/$D$11))+1))),$D$7))</f>
        <v/>
      </c>
      <c r="J87" s="11">
        <f>IF(H87="","",I87-H87)</f>
        <v/>
      </c>
      <c r="K87" s="12">
        <f>IF(H87="","",IF($D$18="LEGAL",H87,EDATE(H87,-$D$13)))</f>
        <v/>
      </c>
      <c r="L87" s="13">
        <f>IF(H87="","",IFERROR(INDEX('Tipos BdE'!$B$7:$M$336,MATCH(DATE(YEAR(K87),MONTH(K87),1),'Tipos BdE'!$A$7:$A$336,1),MATCH($D$9,'Tipos BdE'!$B$6:$M$6,0)),0))</f>
        <v/>
      </c>
      <c r="M87" s="13">
        <f>IF(H87="","",IF($D$18="LEGAL",0,$D$10))</f>
        <v/>
      </c>
      <c r="N87" s="13">
        <f>IF(H87="","",IF(AND($D$14="Sí",(L87+M87)&lt;0),0,L87+M87))</f>
        <v/>
      </c>
      <c r="O87" s="199">
        <f>IF(H87="","",$D$5*N87*J87/36500)</f>
        <v/>
      </c>
      <c r="P87" s="199">
        <f>IF(H87="","",$D$5+SUM($O$5:O87))</f>
        <v/>
      </c>
    </row>
    <row r="88">
      <c r="G88" s="11">
        <f>IF(H88="","",ROW()-4)</f>
        <v/>
      </c>
      <c r="H88" s="12">
        <f>IF(OR(I87="",I87&gt;=$D$7),"",I87)</f>
        <v/>
      </c>
      <c r="I88" s="12">
        <f>IF(H88="","",MIN(IF($D$18="LEGAL",DATE(YEAR(H88)+1,1,1),EDATE($D$12,$D$11*(INT((((YEAR(H88)-YEAR($D$12))*12+(MONTH(H88)-MONTH($D$12))-IF(DAY(H88)&lt;DAY($D$12),1,0))/$D$11))+1))),$D$7))</f>
        <v/>
      </c>
      <c r="J88" s="11">
        <f>IF(H88="","",I88-H88)</f>
        <v/>
      </c>
      <c r="K88" s="12">
        <f>IF(H88="","",IF($D$18="LEGAL",H88,EDATE(H88,-$D$13)))</f>
        <v/>
      </c>
      <c r="L88" s="13">
        <f>IF(H88="","",IFERROR(INDEX('Tipos BdE'!$B$7:$M$336,MATCH(DATE(YEAR(K88),MONTH(K88),1),'Tipos BdE'!$A$7:$A$336,1),MATCH($D$9,'Tipos BdE'!$B$6:$M$6,0)),0))</f>
        <v/>
      </c>
      <c r="M88" s="13">
        <f>IF(H88="","",IF($D$18="LEGAL",0,$D$10))</f>
        <v/>
      </c>
      <c r="N88" s="13">
        <f>IF(H88="","",IF(AND($D$14="Sí",(L88+M88)&lt;0),0,L88+M88))</f>
        <v/>
      </c>
      <c r="O88" s="199">
        <f>IF(H88="","",$D$5*N88*J88/36500)</f>
        <v/>
      </c>
      <c r="P88" s="199">
        <f>IF(H88="","",$D$5+SUM($O$5:O88))</f>
        <v/>
      </c>
    </row>
    <row r="89">
      <c r="G89" s="11">
        <f>IF(H89="","",ROW()-4)</f>
        <v/>
      </c>
      <c r="H89" s="12">
        <f>IF(OR(I88="",I88&gt;=$D$7),"",I88)</f>
        <v/>
      </c>
      <c r="I89" s="12">
        <f>IF(H89="","",MIN(IF($D$18="LEGAL",DATE(YEAR(H89)+1,1,1),EDATE($D$12,$D$11*(INT((((YEAR(H89)-YEAR($D$12))*12+(MONTH(H89)-MONTH($D$12))-IF(DAY(H89)&lt;DAY($D$12),1,0))/$D$11))+1))),$D$7))</f>
        <v/>
      </c>
      <c r="J89" s="11">
        <f>IF(H89="","",I89-H89)</f>
        <v/>
      </c>
      <c r="K89" s="12">
        <f>IF(H89="","",IF($D$18="LEGAL",H89,EDATE(H89,-$D$13)))</f>
        <v/>
      </c>
      <c r="L89" s="13">
        <f>IF(H89="","",IFERROR(INDEX('Tipos BdE'!$B$7:$M$336,MATCH(DATE(YEAR(K89),MONTH(K89),1),'Tipos BdE'!$A$7:$A$336,1),MATCH($D$9,'Tipos BdE'!$B$6:$M$6,0)),0))</f>
        <v/>
      </c>
      <c r="M89" s="13">
        <f>IF(H89="","",IF($D$18="LEGAL",0,$D$10))</f>
        <v/>
      </c>
      <c r="N89" s="13">
        <f>IF(H89="","",IF(AND($D$14="Sí",(L89+M89)&lt;0),0,L89+M89))</f>
        <v/>
      </c>
      <c r="O89" s="199">
        <f>IF(H89="","",$D$5*N89*J89/36500)</f>
        <v/>
      </c>
      <c r="P89" s="199">
        <f>IF(H89="","",$D$5+SUM($O$5:O89))</f>
        <v/>
      </c>
    </row>
    <row r="90">
      <c r="G90" s="11">
        <f>IF(H90="","",ROW()-4)</f>
        <v/>
      </c>
      <c r="H90" s="12">
        <f>IF(OR(I89="",I89&gt;=$D$7),"",I89)</f>
        <v/>
      </c>
      <c r="I90" s="12">
        <f>IF(H90="","",MIN(IF($D$18="LEGAL",DATE(YEAR(H90)+1,1,1),EDATE($D$12,$D$11*(INT((((YEAR(H90)-YEAR($D$12))*12+(MONTH(H90)-MONTH($D$12))-IF(DAY(H90)&lt;DAY($D$12),1,0))/$D$11))+1))),$D$7))</f>
        <v/>
      </c>
      <c r="J90" s="11">
        <f>IF(H90="","",I90-H90)</f>
        <v/>
      </c>
      <c r="K90" s="12">
        <f>IF(H90="","",IF($D$18="LEGAL",H90,EDATE(H90,-$D$13)))</f>
        <v/>
      </c>
      <c r="L90" s="13">
        <f>IF(H90="","",IFERROR(INDEX('Tipos BdE'!$B$7:$M$336,MATCH(DATE(YEAR(K90),MONTH(K90),1),'Tipos BdE'!$A$7:$A$336,1),MATCH($D$9,'Tipos BdE'!$B$6:$M$6,0)),0))</f>
        <v/>
      </c>
      <c r="M90" s="13">
        <f>IF(H90="","",IF($D$18="LEGAL",0,$D$10))</f>
        <v/>
      </c>
      <c r="N90" s="13">
        <f>IF(H90="","",IF(AND($D$14="Sí",(L90+M90)&lt;0),0,L90+M90))</f>
        <v/>
      </c>
      <c r="O90" s="199">
        <f>IF(H90="","",$D$5*N90*J90/36500)</f>
        <v/>
      </c>
      <c r="P90" s="199">
        <f>IF(H90="","",$D$5+SUM($O$5:O90))</f>
        <v/>
      </c>
    </row>
    <row r="91">
      <c r="G91" s="11">
        <f>IF(H91="","",ROW()-4)</f>
        <v/>
      </c>
      <c r="H91" s="12">
        <f>IF(OR(I90="",I90&gt;=$D$7),"",I90)</f>
        <v/>
      </c>
      <c r="I91" s="12">
        <f>IF(H91="","",MIN(IF($D$18="LEGAL",DATE(YEAR(H91)+1,1,1),EDATE($D$12,$D$11*(INT((((YEAR(H91)-YEAR($D$12))*12+(MONTH(H91)-MONTH($D$12))-IF(DAY(H91)&lt;DAY($D$12),1,0))/$D$11))+1))),$D$7))</f>
        <v/>
      </c>
      <c r="J91" s="11">
        <f>IF(H91="","",I91-H91)</f>
        <v/>
      </c>
      <c r="K91" s="12">
        <f>IF(H91="","",IF($D$18="LEGAL",H91,EDATE(H91,-$D$13)))</f>
        <v/>
      </c>
      <c r="L91" s="13">
        <f>IF(H91="","",IFERROR(INDEX('Tipos BdE'!$B$7:$M$336,MATCH(DATE(YEAR(K91),MONTH(K91),1),'Tipos BdE'!$A$7:$A$336,1),MATCH($D$9,'Tipos BdE'!$B$6:$M$6,0)),0))</f>
        <v/>
      </c>
      <c r="M91" s="13">
        <f>IF(H91="","",IF($D$18="LEGAL",0,$D$10))</f>
        <v/>
      </c>
      <c r="N91" s="13">
        <f>IF(H91="","",IF(AND($D$14="Sí",(L91+M91)&lt;0),0,L91+M91))</f>
        <v/>
      </c>
      <c r="O91" s="199">
        <f>IF(H91="","",$D$5*N91*J91/36500)</f>
        <v/>
      </c>
      <c r="P91" s="199">
        <f>IF(H91="","",$D$5+SUM($O$5:O91))</f>
        <v/>
      </c>
    </row>
    <row r="92">
      <c r="G92" s="11">
        <f>IF(H92="","",ROW()-4)</f>
        <v/>
      </c>
      <c r="H92" s="12">
        <f>IF(OR(I91="",I91&gt;=$D$7),"",I91)</f>
        <v/>
      </c>
      <c r="I92" s="12">
        <f>IF(H92="","",MIN(IF($D$18="LEGAL",DATE(YEAR(H92)+1,1,1),EDATE($D$12,$D$11*(INT((((YEAR(H92)-YEAR($D$12))*12+(MONTH(H92)-MONTH($D$12))-IF(DAY(H92)&lt;DAY($D$12),1,0))/$D$11))+1))),$D$7))</f>
        <v/>
      </c>
      <c r="J92" s="11">
        <f>IF(H92="","",I92-H92)</f>
        <v/>
      </c>
      <c r="K92" s="12">
        <f>IF(H92="","",IF($D$18="LEGAL",H92,EDATE(H92,-$D$13)))</f>
        <v/>
      </c>
      <c r="L92" s="13">
        <f>IF(H92="","",IFERROR(INDEX('Tipos BdE'!$B$7:$M$336,MATCH(DATE(YEAR(K92),MONTH(K92),1),'Tipos BdE'!$A$7:$A$336,1),MATCH($D$9,'Tipos BdE'!$B$6:$M$6,0)),0))</f>
        <v/>
      </c>
      <c r="M92" s="13">
        <f>IF(H92="","",IF($D$18="LEGAL",0,$D$10))</f>
        <v/>
      </c>
      <c r="N92" s="13">
        <f>IF(H92="","",IF(AND($D$14="Sí",(L92+M92)&lt;0),0,L92+M92))</f>
        <v/>
      </c>
      <c r="O92" s="199">
        <f>IF(H92="","",$D$5*N92*J92/36500)</f>
        <v/>
      </c>
      <c r="P92" s="199">
        <f>IF(H92="","",$D$5+SUM($O$5:O92))</f>
        <v/>
      </c>
    </row>
    <row r="93">
      <c r="G93" s="11">
        <f>IF(H93="","",ROW()-4)</f>
        <v/>
      </c>
      <c r="H93" s="12">
        <f>IF(OR(I92="",I92&gt;=$D$7),"",I92)</f>
        <v/>
      </c>
      <c r="I93" s="12">
        <f>IF(H93="","",MIN(IF($D$18="LEGAL",DATE(YEAR(H93)+1,1,1),EDATE($D$12,$D$11*(INT((((YEAR(H93)-YEAR($D$12))*12+(MONTH(H93)-MONTH($D$12))-IF(DAY(H93)&lt;DAY($D$12),1,0))/$D$11))+1))),$D$7))</f>
        <v/>
      </c>
      <c r="J93" s="11">
        <f>IF(H93="","",I93-H93)</f>
        <v/>
      </c>
      <c r="K93" s="12">
        <f>IF(H93="","",IF($D$18="LEGAL",H93,EDATE(H93,-$D$13)))</f>
        <v/>
      </c>
      <c r="L93" s="13">
        <f>IF(H93="","",IFERROR(INDEX('Tipos BdE'!$B$7:$M$336,MATCH(DATE(YEAR(K93),MONTH(K93),1),'Tipos BdE'!$A$7:$A$336,1),MATCH($D$9,'Tipos BdE'!$B$6:$M$6,0)),0))</f>
        <v/>
      </c>
      <c r="M93" s="13">
        <f>IF(H93="","",IF($D$18="LEGAL",0,$D$10))</f>
        <v/>
      </c>
      <c r="N93" s="13">
        <f>IF(H93="","",IF(AND($D$14="Sí",(L93+M93)&lt;0),0,L93+M93))</f>
        <v/>
      </c>
      <c r="O93" s="199">
        <f>IF(H93="","",$D$5*N93*J93/36500)</f>
        <v/>
      </c>
      <c r="P93" s="199">
        <f>IF(H93="","",$D$5+SUM($O$5:O93))</f>
        <v/>
      </c>
    </row>
    <row r="94">
      <c r="G94" s="11">
        <f>IF(H94="","",ROW()-4)</f>
        <v/>
      </c>
      <c r="H94" s="12">
        <f>IF(OR(I93="",I93&gt;=$D$7),"",I93)</f>
        <v/>
      </c>
      <c r="I94" s="12">
        <f>IF(H94="","",MIN(IF($D$18="LEGAL",DATE(YEAR(H94)+1,1,1),EDATE($D$12,$D$11*(INT((((YEAR(H94)-YEAR($D$12))*12+(MONTH(H94)-MONTH($D$12))-IF(DAY(H94)&lt;DAY($D$12),1,0))/$D$11))+1))),$D$7))</f>
        <v/>
      </c>
      <c r="J94" s="11">
        <f>IF(H94="","",I94-H94)</f>
        <v/>
      </c>
      <c r="K94" s="12">
        <f>IF(H94="","",IF($D$18="LEGAL",H94,EDATE(H94,-$D$13)))</f>
        <v/>
      </c>
      <c r="L94" s="13">
        <f>IF(H94="","",IFERROR(INDEX('Tipos BdE'!$B$7:$M$336,MATCH(DATE(YEAR(K94),MONTH(K94),1),'Tipos BdE'!$A$7:$A$336,1),MATCH($D$9,'Tipos BdE'!$B$6:$M$6,0)),0))</f>
        <v/>
      </c>
      <c r="M94" s="13">
        <f>IF(H94="","",IF($D$18="LEGAL",0,$D$10))</f>
        <v/>
      </c>
      <c r="N94" s="13">
        <f>IF(H94="","",IF(AND($D$14="Sí",(L94+M94)&lt;0),0,L94+M94))</f>
        <v/>
      </c>
      <c r="O94" s="199">
        <f>IF(H94="","",$D$5*N94*J94/36500)</f>
        <v/>
      </c>
      <c r="P94" s="199">
        <f>IF(H94="","",$D$5+SUM($O$5:O94))</f>
        <v/>
      </c>
    </row>
    <row r="95">
      <c r="G95" s="11">
        <f>IF(H95="","",ROW()-4)</f>
        <v/>
      </c>
      <c r="H95" s="12">
        <f>IF(OR(I94="",I94&gt;=$D$7),"",I94)</f>
        <v/>
      </c>
      <c r="I95" s="12">
        <f>IF(H95="","",MIN(IF($D$18="LEGAL",DATE(YEAR(H95)+1,1,1),EDATE($D$12,$D$11*(INT((((YEAR(H95)-YEAR($D$12))*12+(MONTH(H95)-MONTH($D$12))-IF(DAY(H95)&lt;DAY($D$12),1,0))/$D$11))+1))),$D$7))</f>
        <v/>
      </c>
      <c r="J95" s="11">
        <f>IF(H95="","",I95-H95)</f>
        <v/>
      </c>
      <c r="K95" s="12">
        <f>IF(H95="","",IF($D$18="LEGAL",H95,EDATE(H95,-$D$13)))</f>
        <v/>
      </c>
      <c r="L95" s="13">
        <f>IF(H95="","",IFERROR(INDEX('Tipos BdE'!$B$7:$M$336,MATCH(DATE(YEAR(K95),MONTH(K95),1),'Tipos BdE'!$A$7:$A$336,1),MATCH($D$9,'Tipos BdE'!$B$6:$M$6,0)),0))</f>
        <v/>
      </c>
      <c r="M95" s="13">
        <f>IF(H95="","",IF($D$18="LEGAL",0,$D$10))</f>
        <v/>
      </c>
      <c r="N95" s="13">
        <f>IF(H95="","",IF(AND($D$14="Sí",(L95+M95)&lt;0),0,L95+M95))</f>
        <v/>
      </c>
      <c r="O95" s="199">
        <f>IF(H95="","",$D$5*N95*J95/36500)</f>
        <v/>
      </c>
      <c r="P95" s="199">
        <f>IF(H95="","",$D$5+SUM($O$5:O95))</f>
        <v/>
      </c>
    </row>
    <row r="96">
      <c r="G96" s="11">
        <f>IF(H96="","",ROW()-4)</f>
        <v/>
      </c>
      <c r="H96" s="12">
        <f>IF(OR(I95="",I95&gt;=$D$7),"",I95)</f>
        <v/>
      </c>
      <c r="I96" s="12">
        <f>IF(H96="","",MIN(IF($D$18="LEGAL",DATE(YEAR(H96)+1,1,1),EDATE($D$12,$D$11*(INT((((YEAR(H96)-YEAR($D$12))*12+(MONTH(H96)-MONTH($D$12))-IF(DAY(H96)&lt;DAY($D$12),1,0))/$D$11))+1))),$D$7))</f>
        <v/>
      </c>
      <c r="J96" s="11">
        <f>IF(H96="","",I96-H96)</f>
        <v/>
      </c>
      <c r="K96" s="12">
        <f>IF(H96="","",IF($D$18="LEGAL",H96,EDATE(H96,-$D$13)))</f>
        <v/>
      </c>
      <c r="L96" s="13">
        <f>IF(H96="","",IFERROR(INDEX('Tipos BdE'!$B$7:$M$336,MATCH(DATE(YEAR(K96),MONTH(K96),1),'Tipos BdE'!$A$7:$A$336,1),MATCH($D$9,'Tipos BdE'!$B$6:$M$6,0)),0))</f>
        <v/>
      </c>
      <c r="M96" s="13">
        <f>IF(H96="","",IF($D$18="LEGAL",0,$D$10))</f>
        <v/>
      </c>
      <c r="N96" s="13">
        <f>IF(H96="","",IF(AND($D$14="Sí",(L96+M96)&lt;0),0,L96+M96))</f>
        <v/>
      </c>
      <c r="O96" s="199">
        <f>IF(H96="","",$D$5*N96*J96/36500)</f>
        <v/>
      </c>
      <c r="P96" s="199">
        <f>IF(H96="","",$D$5+SUM($O$5:O96))</f>
        <v/>
      </c>
    </row>
    <row r="97">
      <c r="G97" s="11">
        <f>IF(H97="","",ROW()-4)</f>
        <v/>
      </c>
      <c r="H97" s="12">
        <f>IF(OR(I96="",I96&gt;=$D$7),"",I96)</f>
        <v/>
      </c>
      <c r="I97" s="12">
        <f>IF(H97="","",MIN(IF($D$18="LEGAL",DATE(YEAR(H97)+1,1,1),EDATE($D$12,$D$11*(INT((((YEAR(H97)-YEAR($D$12))*12+(MONTH(H97)-MONTH($D$12))-IF(DAY(H97)&lt;DAY($D$12),1,0))/$D$11))+1))),$D$7))</f>
        <v/>
      </c>
      <c r="J97" s="11">
        <f>IF(H97="","",I97-H97)</f>
        <v/>
      </c>
      <c r="K97" s="12">
        <f>IF(H97="","",IF($D$18="LEGAL",H97,EDATE(H97,-$D$13)))</f>
        <v/>
      </c>
      <c r="L97" s="13">
        <f>IF(H97="","",IFERROR(INDEX('Tipos BdE'!$B$7:$M$336,MATCH(DATE(YEAR(K97),MONTH(K97),1),'Tipos BdE'!$A$7:$A$336,1),MATCH($D$9,'Tipos BdE'!$B$6:$M$6,0)),0))</f>
        <v/>
      </c>
      <c r="M97" s="13">
        <f>IF(H97="","",IF($D$18="LEGAL",0,$D$10))</f>
        <v/>
      </c>
      <c r="N97" s="13">
        <f>IF(H97="","",IF(AND($D$14="Sí",(L97+M97)&lt;0),0,L97+M97))</f>
        <v/>
      </c>
      <c r="O97" s="199">
        <f>IF(H97="","",$D$5*N97*J97/36500)</f>
        <v/>
      </c>
      <c r="P97" s="199">
        <f>IF(H97="","",$D$5+SUM($O$5:O97))</f>
        <v/>
      </c>
    </row>
    <row r="98">
      <c r="G98" s="11">
        <f>IF(H98="","",ROW()-4)</f>
        <v/>
      </c>
      <c r="H98" s="12">
        <f>IF(OR(I97="",I97&gt;=$D$7),"",I97)</f>
        <v/>
      </c>
      <c r="I98" s="12">
        <f>IF(H98="","",MIN(IF($D$18="LEGAL",DATE(YEAR(H98)+1,1,1),EDATE($D$12,$D$11*(INT((((YEAR(H98)-YEAR($D$12))*12+(MONTH(H98)-MONTH($D$12))-IF(DAY(H98)&lt;DAY($D$12),1,0))/$D$11))+1))),$D$7))</f>
        <v/>
      </c>
      <c r="J98" s="11">
        <f>IF(H98="","",I98-H98)</f>
        <v/>
      </c>
      <c r="K98" s="12">
        <f>IF(H98="","",IF($D$18="LEGAL",H98,EDATE(H98,-$D$13)))</f>
        <v/>
      </c>
      <c r="L98" s="13">
        <f>IF(H98="","",IFERROR(INDEX('Tipos BdE'!$B$7:$M$336,MATCH(DATE(YEAR(K98),MONTH(K98),1),'Tipos BdE'!$A$7:$A$336,1),MATCH($D$9,'Tipos BdE'!$B$6:$M$6,0)),0))</f>
        <v/>
      </c>
      <c r="M98" s="13">
        <f>IF(H98="","",IF($D$18="LEGAL",0,$D$10))</f>
        <v/>
      </c>
      <c r="N98" s="13">
        <f>IF(H98="","",IF(AND($D$14="Sí",(L98+M98)&lt;0),0,L98+M98))</f>
        <v/>
      </c>
      <c r="O98" s="199">
        <f>IF(H98="","",$D$5*N98*J98/36500)</f>
        <v/>
      </c>
      <c r="P98" s="199">
        <f>IF(H98="","",$D$5+SUM($O$5:O98))</f>
        <v/>
      </c>
    </row>
    <row r="99">
      <c r="G99" s="11">
        <f>IF(H99="","",ROW()-4)</f>
        <v/>
      </c>
      <c r="H99" s="12">
        <f>IF(OR(I98="",I98&gt;=$D$7),"",I98)</f>
        <v/>
      </c>
      <c r="I99" s="12">
        <f>IF(H99="","",MIN(IF($D$18="LEGAL",DATE(YEAR(H99)+1,1,1),EDATE($D$12,$D$11*(INT((((YEAR(H99)-YEAR($D$12))*12+(MONTH(H99)-MONTH($D$12))-IF(DAY(H99)&lt;DAY($D$12),1,0))/$D$11))+1))),$D$7))</f>
        <v/>
      </c>
      <c r="J99" s="11">
        <f>IF(H99="","",I99-H99)</f>
        <v/>
      </c>
      <c r="K99" s="12">
        <f>IF(H99="","",IF($D$18="LEGAL",H99,EDATE(H99,-$D$13)))</f>
        <v/>
      </c>
      <c r="L99" s="13">
        <f>IF(H99="","",IFERROR(INDEX('Tipos BdE'!$B$7:$M$336,MATCH(DATE(YEAR(K99),MONTH(K99),1),'Tipos BdE'!$A$7:$A$336,1),MATCH($D$9,'Tipos BdE'!$B$6:$M$6,0)),0))</f>
        <v/>
      </c>
      <c r="M99" s="13">
        <f>IF(H99="","",IF($D$18="LEGAL",0,$D$10))</f>
        <v/>
      </c>
      <c r="N99" s="13">
        <f>IF(H99="","",IF(AND($D$14="Sí",(L99+M99)&lt;0),0,L99+M99))</f>
        <v/>
      </c>
      <c r="O99" s="199">
        <f>IF(H99="","",$D$5*N99*J99/36500)</f>
        <v/>
      </c>
      <c r="P99" s="199">
        <f>IF(H99="","",$D$5+SUM($O$5:O99))</f>
        <v/>
      </c>
    </row>
    <row r="100">
      <c r="G100" s="11">
        <f>IF(H100="","",ROW()-4)</f>
        <v/>
      </c>
      <c r="H100" s="12">
        <f>IF(OR(I99="",I99&gt;=$D$7),"",I99)</f>
        <v/>
      </c>
      <c r="I100" s="12">
        <f>IF(H100="","",MIN(IF($D$18="LEGAL",DATE(YEAR(H100)+1,1,1),EDATE($D$12,$D$11*(INT((((YEAR(H100)-YEAR($D$12))*12+(MONTH(H100)-MONTH($D$12))-IF(DAY(H100)&lt;DAY($D$12),1,0))/$D$11))+1))),$D$7))</f>
        <v/>
      </c>
      <c r="J100" s="11">
        <f>IF(H100="","",I100-H100)</f>
        <v/>
      </c>
      <c r="K100" s="12">
        <f>IF(H100="","",IF($D$18="LEGAL",H100,EDATE(H100,-$D$13)))</f>
        <v/>
      </c>
      <c r="L100" s="13">
        <f>IF(H100="","",IFERROR(INDEX('Tipos BdE'!$B$7:$M$336,MATCH(DATE(YEAR(K100),MONTH(K100),1),'Tipos BdE'!$A$7:$A$336,1),MATCH($D$9,'Tipos BdE'!$B$6:$M$6,0)),0))</f>
        <v/>
      </c>
      <c r="M100" s="13">
        <f>IF(H100="","",IF($D$18="LEGAL",0,$D$10))</f>
        <v/>
      </c>
      <c r="N100" s="13">
        <f>IF(H100="","",IF(AND($D$14="Sí",(L100+M100)&lt;0),0,L100+M100))</f>
        <v/>
      </c>
      <c r="O100" s="199">
        <f>IF(H100="","",$D$5*N100*J100/36500)</f>
        <v/>
      </c>
      <c r="P100" s="199">
        <f>IF(H100="","",$D$5+SUM($O$5:O100))</f>
        <v/>
      </c>
    </row>
    <row r="101">
      <c r="G101" s="11">
        <f>IF(H101="","",ROW()-4)</f>
        <v/>
      </c>
      <c r="H101" s="12">
        <f>IF(OR(I100="",I100&gt;=$D$7),"",I100)</f>
        <v/>
      </c>
      <c r="I101" s="12">
        <f>IF(H101="","",MIN(IF($D$18="LEGAL",DATE(YEAR(H101)+1,1,1),EDATE($D$12,$D$11*(INT((((YEAR(H101)-YEAR($D$12))*12+(MONTH(H101)-MONTH($D$12))-IF(DAY(H101)&lt;DAY($D$12),1,0))/$D$11))+1))),$D$7))</f>
        <v/>
      </c>
      <c r="J101" s="11">
        <f>IF(H101="","",I101-H101)</f>
        <v/>
      </c>
      <c r="K101" s="12">
        <f>IF(H101="","",IF($D$18="LEGAL",H101,EDATE(H101,-$D$13)))</f>
        <v/>
      </c>
      <c r="L101" s="13">
        <f>IF(H101="","",IFERROR(INDEX('Tipos BdE'!$B$7:$M$336,MATCH(DATE(YEAR(K101),MONTH(K101),1),'Tipos BdE'!$A$7:$A$336,1),MATCH($D$9,'Tipos BdE'!$B$6:$M$6,0)),0))</f>
        <v/>
      </c>
      <c r="M101" s="13">
        <f>IF(H101="","",IF($D$18="LEGAL",0,$D$10))</f>
        <v/>
      </c>
      <c r="N101" s="13">
        <f>IF(H101="","",IF(AND($D$14="Sí",(L101+M101)&lt;0),0,L101+M101))</f>
        <v/>
      </c>
      <c r="O101" s="199">
        <f>IF(H101="","",$D$5*N101*J101/36500)</f>
        <v/>
      </c>
      <c r="P101" s="199">
        <f>IF(H101="","",$D$5+SUM($O$5:O101))</f>
        <v/>
      </c>
    </row>
    <row r="102">
      <c r="G102" s="11">
        <f>IF(H102="","",ROW()-4)</f>
        <v/>
      </c>
      <c r="H102" s="12">
        <f>IF(OR(I101="",I101&gt;=$D$7),"",I101)</f>
        <v/>
      </c>
      <c r="I102" s="12">
        <f>IF(H102="","",MIN(IF($D$18="LEGAL",DATE(YEAR(H102)+1,1,1),EDATE($D$12,$D$11*(INT((((YEAR(H102)-YEAR($D$12))*12+(MONTH(H102)-MONTH($D$12))-IF(DAY(H102)&lt;DAY($D$12),1,0))/$D$11))+1))),$D$7))</f>
        <v/>
      </c>
      <c r="J102" s="11">
        <f>IF(H102="","",I102-H102)</f>
        <v/>
      </c>
      <c r="K102" s="12">
        <f>IF(H102="","",IF($D$18="LEGAL",H102,EDATE(H102,-$D$13)))</f>
        <v/>
      </c>
      <c r="L102" s="13">
        <f>IF(H102="","",IFERROR(INDEX('Tipos BdE'!$B$7:$M$336,MATCH(DATE(YEAR(K102),MONTH(K102),1),'Tipos BdE'!$A$7:$A$336,1),MATCH($D$9,'Tipos BdE'!$B$6:$M$6,0)),0))</f>
        <v/>
      </c>
      <c r="M102" s="13">
        <f>IF(H102="","",IF($D$18="LEGAL",0,$D$10))</f>
        <v/>
      </c>
      <c r="N102" s="13">
        <f>IF(H102="","",IF(AND($D$14="Sí",(L102+M102)&lt;0),0,L102+M102))</f>
        <v/>
      </c>
      <c r="O102" s="199">
        <f>IF(H102="","",$D$5*N102*J102/36500)</f>
        <v/>
      </c>
      <c r="P102" s="199">
        <f>IF(H102="","",$D$5+SUM($O$5:O102))</f>
        <v/>
      </c>
    </row>
    <row r="103">
      <c r="G103" s="11">
        <f>IF(H103="","",ROW()-4)</f>
        <v/>
      </c>
      <c r="H103" s="12">
        <f>IF(OR(I102="",I102&gt;=$D$7),"",I102)</f>
        <v/>
      </c>
      <c r="I103" s="12">
        <f>IF(H103="","",MIN(IF($D$18="LEGAL",DATE(YEAR(H103)+1,1,1),EDATE($D$12,$D$11*(INT((((YEAR(H103)-YEAR($D$12))*12+(MONTH(H103)-MONTH($D$12))-IF(DAY(H103)&lt;DAY($D$12),1,0))/$D$11))+1))),$D$7))</f>
        <v/>
      </c>
      <c r="J103" s="11">
        <f>IF(H103="","",I103-H103)</f>
        <v/>
      </c>
      <c r="K103" s="12">
        <f>IF(H103="","",IF($D$18="LEGAL",H103,EDATE(H103,-$D$13)))</f>
        <v/>
      </c>
      <c r="L103" s="13">
        <f>IF(H103="","",IFERROR(INDEX('Tipos BdE'!$B$7:$M$336,MATCH(DATE(YEAR(K103),MONTH(K103),1),'Tipos BdE'!$A$7:$A$336,1),MATCH($D$9,'Tipos BdE'!$B$6:$M$6,0)),0))</f>
        <v/>
      </c>
      <c r="M103" s="13">
        <f>IF(H103="","",IF($D$18="LEGAL",0,$D$10))</f>
        <v/>
      </c>
      <c r="N103" s="13">
        <f>IF(H103="","",IF(AND($D$14="Sí",(L103+M103)&lt;0),0,L103+M103))</f>
        <v/>
      </c>
      <c r="O103" s="199">
        <f>IF(H103="","",$D$5*N103*J103/36500)</f>
        <v/>
      </c>
      <c r="P103" s="199">
        <f>IF(H103="","",$D$5+SUM($O$5:O103))</f>
        <v/>
      </c>
    </row>
    <row r="104">
      <c r="G104" s="11">
        <f>IF(H104="","",ROW()-4)</f>
        <v/>
      </c>
      <c r="H104" s="12">
        <f>IF(OR(I103="",I103&gt;=$D$7),"",I103)</f>
        <v/>
      </c>
      <c r="I104" s="12">
        <f>IF(H104="","",MIN(IF($D$18="LEGAL",DATE(YEAR(H104)+1,1,1),EDATE($D$12,$D$11*(INT((((YEAR(H104)-YEAR($D$12))*12+(MONTH(H104)-MONTH($D$12))-IF(DAY(H104)&lt;DAY($D$12),1,0))/$D$11))+1))),$D$7))</f>
        <v/>
      </c>
      <c r="J104" s="11">
        <f>IF(H104="","",I104-H104)</f>
        <v/>
      </c>
      <c r="K104" s="12">
        <f>IF(H104="","",IF($D$18="LEGAL",H104,EDATE(H104,-$D$13)))</f>
        <v/>
      </c>
      <c r="L104" s="13">
        <f>IF(H104="","",IFERROR(INDEX('Tipos BdE'!$B$7:$M$336,MATCH(DATE(YEAR(K104),MONTH(K104),1),'Tipos BdE'!$A$7:$A$336,1),MATCH($D$9,'Tipos BdE'!$B$6:$M$6,0)),0))</f>
        <v/>
      </c>
      <c r="M104" s="13">
        <f>IF(H104="","",IF($D$18="LEGAL",0,$D$10))</f>
        <v/>
      </c>
      <c r="N104" s="13">
        <f>IF(H104="","",IF(AND($D$14="Sí",(L104+M104)&lt;0),0,L104+M104))</f>
        <v/>
      </c>
      <c r="O104" s="199">
        <f>IF(H104="","",$D$5*N104*J104/36500)</f>
        <v/>
      </c>
      <c r="P104" s="199">
        <f>IF(H104="","",$D$5+SUM($O$5:O104))</f>
        <v/>
      </c>
    </row>
    <row r="105">
      <c r="G105" s="11">
        <f>IF(H105="","",ROW()-4)</f>
        <v/>
      </c>
      <c r="H105" s="12">
        <f>IF(OR(I104="",I104&gt;=$D$7),"",I104)</f>
        <v/>
      </c>
      <c r="I105" s="12">
        <f>IF(H105="","",MIN(IF($D$18="LEGAL",DATE(YEAR(H105)+1,1,1),EDATE($D$12,$D$11*(INT((((YEAR(H105)-YEAR($D$12))*12+(MONTH(H105)-MONTH($D$12))-IF(DAY(H105)&lt;DAY($D$12),1,0))/$D$11))+1))),$D$7))</f>
        <v/>
      </c>
      <c r="J105" s="11">
        <f>IF(H105="","",I105-H105)</f>
        <v/>
      </c>
      <c r="K105" s="12">
        <f>IF(H105="","",IF($D$18="LEGAL",H105,EDATE(H105,-$D$13)))</f>
        <v/>
      </c>
      <c r="L105" s="13">
        <f>IF(H105="","",IFERROR(INDEX('Tipos BdE'!$B$7:$M$336,MATCH(DATE(YEAR(K105),MONTH(K105),1),'Tipos BdE'!$A$7:$A$336,1),MATCH($D$9,'Tipos BdE'!$B$6:$M$6,0)),0))</f>
        <v/>
      </c>
      <c r="M105" s="13">
        <f>IF(H105="","",IF($D$18="LEGAL",0,$D$10))</f>
        <v/>
      </c>
      <c r="N105" s="13">
        <f>IF(H105="","",IF(AND($D$14="Sí",(L105+M105)&lt;0),0,L105+M105))</f>
        <v/>
      </c>
      <c r="O105" s="199">
        <f>IF(H105="","",$D$5*N105*J105/36500)</f>
        <v/>
      </c>
      <c r="P105" s="199">
        <f>IF(H105="","",$D$5+SUM($O$5:O105))</f>
        <v/>
      </c>
    </row>
    <row r="106">
      <c r="G106" s="11">
        <f>IF(H106="","",ROW()-4)</f>
        <v/>
      </c>
      <c r="H106" s="12">
        <f>IF(OR(I105="",I105&gt;=$D$7),"",I105)</f>
        <v/>
      </c>
      <c r="I106" s="12">
        <f>IF(H106="","",MIN(IF($D$18="LEGAL",DATE(YEAR(H106)+1,1,1),EDATE($D$12,$D$11*(INT((((YEAR(H106)-YEAR($D$12))*12+(MONTH(H106)-MONTH($D$12))-IF(DAY(H106)&lt;DAY($D$12),1,0))/$D$11))+1))),$D$7))</f>
        <v/>
      </c>
      <c r="J106" s="11">
        <f>IF(H106="","",I106-H106)</f>
        <v/>
      </c>
      <c r="K106" s="12">
        <f>IF(H106="","",IF($D$18="LEGAL",H106,EDATE(H106,-$D$13)))</f>
        <v/>
      </c>
      <c r="L106" s="13">
        <f>IF(H106="","",IFERROR(INDEX('Tipos BdE'!$B$7:$M$336,MATCH(DATE(YEAR(K106),MONTH(K106),1),'Tipos BdE'!$A$7:$A$336,1),MATCH($D$9,'Tipos BdE'!$B$6:$M$6,0)),0))</f>
        <v/>
      </c>
      <c r="M106" s="13">
        <f>IF(H106="","",IF($D$18="LEGAL",0,$D$10))</f>
        <v/>
      </c>
      <c r="N106" s="13">
        <f>IF(H106="","",IF(AND($D$14="Sí",(L106+M106)&lt;0),0,L106+M106))</f>
        <v/>
      </c>
      <c r="O106" s="199">
        <f>IF(H106="","",$D$5*N106*J106/36500)</f>
        <v/>
      </c>
      <c r="P106" s="199">
        <f>IF(H106="","",$D$5+SUM($O$5:O106))</f>
        <v/>
      </c>
    </row>
    <row r="107">
      <c r="G107" s="11">
        <f>IF(H107="","",ROW()-4)</f>
        <v/>
      </c>
      <c r="H107" s="12">
        <f>IF(OR(I106="",I106&gt;=$D$7),"",I106)</f>
        <v/>
      </c>
      <c r="I107" s="12">
        <f>IF(H107="","",MIN(IF($D$18="LEGAL",DATE(YEAR(H107)+1,1,1),EDATE($D$12,$D$11*(INT((((YEAR(H107)-YEAR($D$12))*12+(MONTH(H107)-MONTH($D$12))-IF(DAY(H107)&lt;DAY($D$12),1,0))/$D$11))+1))),$D$7))</f>
        <v/>
      </c>
      <c r="J107" s="11">
        <f>IF(H107="","",I107-H107)</f>
        <v/>
      </c>
      <c r="K107" s="12">
        <f>IF(H107="","",IF($D$18="LEGAL",H107,EDATE(H107,-$D$13)))</f>
        <v/>
      </c>
      <c r="L107" s="13">
        <f>IF(H107="","",IFERROR(INDEX('Tipos BdE'!$B$7:$M$336,MATCH(DATE(YEAR(K107),MONTH(K107),1),'Tipos BdE'!$A$7:$A$336,1),MATCH($D$9,'Tipos BdE'!$B$6:$M$6,0)),0))</f>
        <v/>
      </c>
      <c r="M107" s="13">
        <f>IF(H107="","",IF($D$18="LEGAL",0,$D$10))</f>
        <v/>
      </c>
      <c r="N107" s="13">
        <f>IF(H107="","",IF(AND($D$14="Sí",(L107+M107)&lt;0),0,L107+M107))</f>
        <v/>
      </c>
      <c r="O107" s="199">
        <f>IF(H107="","",$D$5*N107*J107/36500)</f>
        <v/>
      </c>
      <c r="P107" s="199">
        <f>IF(H107="","",$D$5+SUM($O$5:O107))</f>
        <v/>
      </c>
    </row>
    <row r="108">
      <c r="G108" s="11">
        <f>IF(H108="","",ROW()-4)</f>
        <v/>
      </c>
      <c r="H108" s="12">
        <f>IF(OR(I107="",I107&gt;=$D$7),"",I107)</f>
        <v/>
      </c>
      <c r="I108" s="12">
        <f>IF(H108="","",MIN(IF($D$18="LEGAL",DATE(YEAR(H108)+1,1,1),EDATE($D$12,$D$11*(INT((((YEAR(H108)-YEAR($D$12))*12+(MONTH(H108)-MONTH($D$12))-IF(DAY(H108)&lt;DAY($D$12),1,0))/$D$11))+1))),$D$7))</f>
        <v/>
      </c>
      <c r="J108" s="11">
        <f>IF(H108="","",I108-H108)</f>
        <v/>
      </c>
      <c r="K108" s="12">
        <f>IF(H108="","",IF($D$18="LEGAL",H108,EDATE(H108,-$D$13)))</f>
        <v/>
      </c>
      <c r="L108" s="13">
        <f>IF(H108="","",IFERROR(INDEX('Tipos BdE'!$B$7:$M$336,MATCH(DATE(YEAR(K108),MONTH(K108),1),'Tipos BdE'!$A$7:$A$336,1),MATCH($D$9,'Tipos BdE'!$B$6:$M$6,0)),0))</f>
        <v/>
      </c>
      <c r="M108" s="13">
        <f>IF(H108="","",IF($D$18="LEGAL",0,$D$10))</f>
        <v/>
      </c>
      <c r="N108" s="13">
        <f>IF(H108="","",IF(AND($D$14="Sí",(L108+M108)&lt;0),0,L108+M108))</f>
        <v/>
      </c>
      <c r="O108" s="199">
        <f>IF(H108="","",$D$5*N108*J108/36500)</f>
        <v/>
      </c>
      <c r="P108" s="199">
        <f>IF(H108="","",$D$5+SUM($O$5:O108))</f>
        <v/>
      </c>
    </row>
    <row r="109">
      <c r="G109" s="11">
        <f>IF(H109="","",ROW()-4)</f>
        <v/>
      </c>
      <c r="H109" s="12">
        <f>IF(OR(I108="",I108&gt;=$D$7),"",I108)</f>
        <v/>
      </c>
      <c r="I109" s="12">
        <f>IF(H109="","",MIN(IF($D$18="LEGAL",DATE(YEAR(H109)+1,1,1),EDATE($D$12,$D$11*(INT((((YEAR(H109)-YEAR($D$12))*12+(MONTH(H109)-MONTH($D$12))-IF(DAY(H109)&lt;DAY($D$12),1,0))/$D$11))+1))),$D$7))</f>
        <v/>
      </c>
      <c r="J109" s="11">
        <f>IF(H109="","",I109-H109)</f>
        <v/>
      </c>
      <c r="K109" s="12">
        <f>IF(H109="","",IF($D$18="LEGAL",H109,EDATE(H109,-$D$13)))</f>
        <v/>
      </c>
      <c r="L109" s="13">
        <f>IF(H109="","",IFERROR(INDEX('Tipos BdE'!$B$7:$M$336,MATCH(DATE(YEAR(K109),MONTH(K109),1),'Tipos BdE'!$A$7:$A$336,1),MATCH($D$9,'Tipos BdE'!$B$6:$M$6,0)),0))</f>
        <v/>
      </c>
      <c r="M109" s="13">
        <f>IF(H109="","",IF($D$18="LEGAL",0,$D$10))</f>
        <v/>
      </c>
      <c r="N109" s="13">
        <f>IF(H109="","",IF(AND($D$14="Sí",(L109+M109)&lt;0),0,L109+M109))</f>
        <v/>
      </c>
      <c r="O109" s="199">
        <f>IF(H109="","",$D$5*N109*J109/36500)</f>
        <v/>
      </c>
      <c r="P109" s="199">
        <f>IF(H109="","",$D$5+SUM($O$5:O109))</f>
        <v/>
      </c>
    </row>
    <row r="110">
      <c r="G110" s="11">
        <f>IF(H110="","",ROW()-4)</f>
        <v/>
      </c>
      <c r="H110" s="12">
        <f>IF(OR(I109="",I109&gt;=$D$7),"",I109)</f>
        <v/>
      </c>
      <c r="I110" s="12">
        <f>IF(H110="","",MIN(IF($D$18="LEGAL",DATE(YEAR(H110)+1,1,1),EDATE($D$12,$D$11*(INT((((YEAR(H110)-YEAR($D$12))*12+(MONTH(H110)-MONTH($D$12))-IF(DAY(H110)&lt;DAY($D$12),1,0))/$D$11))+1))),$D$7))</f>
        <v/>
      </c>
      <c r="J110" s="11">
        <f>IF(H110="","",I110-H110)</f>
        <v/>
      </c>
      <c r="K110" s="12">
        <f>IF(H110="","",IF($D$18="LEGAL",H110,EDATE(H110,-$D$13)))</f>
        <v/>
      </c>
      <c r="L110" s="13">
        <f>IF(H110="","",IFERROR(INDEX('Tipos BdE'!$B$7:$M$336,MATCH(DATE(YEAR(K110),MONTH(K110),1),'Tipos BdE'!$A$7:$A$336,1),MATCH($D$9,'Tipos BdE'!$B$6:$M$6,0)),0))</f>
        <v/>
      </c>
      <c r="M110" s="13">
        <f>IF(H110="","",IF($D$18="LEGAL",0,$D$10))</f>
        <v/>
      </c>
      <c r="N110" s="13">
        <f>IF(H110="","",IF(AND($D$14="Sí",(L110+M110)&lt;0),0,L110+M110))</f>
        <v/>
      </c>
      <c r="O110" s="199">
        <f>IF(H110="","",$D$5*N110*J110/36500)</f>
        <v/>
      </c>
      <c r="P110" s="199">
        <f>IF(H110="","",$D$5+SUM($O$5:O110))</f>
        <v/>
      </c>
    </row>
    <row r="111">
      <c r="G111" s="11">
        <f>IF(H111="","",ROW()-4)</f>
        <v/>
      </c>
      <c r="H111" s="12">
        <f>IF(OR(I110="",I110&gt;=$D$7),"",I110)</f>
        <v/>
      </c>
      <c r="I111" s="12">
        <f>IF(H111="","",MIN(IF($D$18="LEGAL",DATE(YEAR(H111)+1,1,1),EDATE($D$12,$D$11*(INT((((YEAR(H111)-YEAR($D$12))*12+(MONTH(H111)-MONTH($D$12))-IF(DAY(H111)&lt;DAY($D$12),1,0))/$D$11))+1))),$D$7))</f>
        <v/>
      </c>
      <c r="J111" s="11">
        <f>IF(H111="","",I111-H111)</f>
        <v/>
      </c>
      <c r="K111" s="12">
        <f>IF(H111="","",IF($D$18="LEGAL",H111,EDATE(H111,-$D$13)))</f>
        <v/>
      </c>
      <c r="L111" s="13">
        <f>IF(H111="","",IFERROR(INDEX('Tipos BdE'!$B$7:$M$336,MATCH(DATE(YEAR(K111),MONTH(K111),1),'Tipos BdE'!$A$7:$A$336,1),MATCH($D$9,'Tipos BdE'!$B$6:$M$6,0)),0))</f>
        <v/>
      </c>
      <c r="M111" s="13">
        <f>IF(H111="","",IF($D$18="LEGAL",0,$D$10))</f>
        <v/>
      </c>
      <c r="N111" s="13">
        <f>IF(H111="","",IF(AND($D$14="Sí",(L111+M111)&lt;0),0,L111+M111))</f>
        <v/>
      </c>
      <c r="O111" s="199">
        <f>IF(H111="","",$D$5*N111*J111/36500)</f>
        <v/>
      </c>
      <c r="P111" s="199">
        <f>IF(H111="","",$D$5+SUM($O$5:O111))</f>
        <v/>
      </c>
    </row>
    <row r="112">
      <c r="G112" s="11">
        <f>IF(H112="","",ROW()-4)</f>
        <v/>
      </c>
      <c r="H112" s="12">
        <f>IF(OR(I111="",I111&gt;=$D$7),"",I111)</f>
        <v/>
      </c>
      <c r="I112" s="12">
        <f>IF(H112="","",MIN(IF($D$18="LEGAL",DATE(YEAR(H112)+1,1,1),EDATE($D$12,$D$11*(INT((((YEAR(H112)-YEAR($D$12))*12+(MONTH(H112)-MONTH($D$12))-IF(DAY(H112)&lt;DAY($D$12),1,0))/$D$11))+1))),$D$7))</f>
        <v/>
      </c>
      <c r="J112" s="11">
        <f>IF(H112="","",I112-H112)</f>
        <v/>
      </c>
      <c r="K112" s="12">
        <f>IF(H112="","",IF($D$18="LEGAL",H112,EDATE(H112,-$D$13)))</f>
        <v/>
      </c>
      <c r="L112" s="13">
        <f>IF(H112="","",IFERROR(INDEX('Tipos BdE'!$B$7:$M$336,MATCH(DATE(YEAR(K112),MONTH(K112),1),'Tipos BdE'!$A$7:$A$336,1),MATCH($D$9,'Tipos BdE'!$B$6:$M$6,0)),0))</f>
        <v/>
      </c>
      <c r="M112" s="13">
        <f>IF(H112="","",IF($D$18="LEGAL",0,$D$10))</f>
        <v/>
      </c>
      <c r="N112" s="13">
        <f>IF(H112="","",IF(AND($D$14="Sí",(L112+M112)&lt;0),0,L112+M112))</f>
        <v/>
      </c>
      <c r="O112" s="199">
        <f>IF(H112="","",$D$5*N112*J112/36500)</f>
        <v/>
      </c>
      <c r="P112" s="199">
        <f>IF(H112="","",$D$5+SUM($O$5:O112))</f>
        <v/>
      </c>
    </row>
    <row r="113">
      <c r="G113" s="11">
        <f>IF(H113="","",ROW()-4)</f>
        <v/>
      </c>
      <c r="H113" s="12">
        <f>IF(OR(I112="",I112&gt;=$D$7),"",I112)</f>
        <v/>
      </c>
      <c r="I113" s="12">
        <f>IF(H113="","",MIN(IF($D$18="LEGAL",DATE(YEAR(H113)+1,1,1),EDATE($D$12,$D$11*(INT((((YEAR(H113)-YEAR($D$12))*12+(MONTH(H113)-MONTH($D$12))-IF(DAY(H113)&lt;DAY($D$12),1,0))/$D$11))+1))),$D$7))</f>
        <v/>
      </c>
      <c r="J113" s="11">
        <f>IF(H113="","",I113-H113)</f>
        <v/>
      </c>
      <c r="K113" s="12">
        <f>IF(H113="","",IF($D$18="LEGAL",H113,EDATE(H113,-$D$13)))</f>
        <v/>
      </c>
      <c r="L113" s="13">
        <f>IF(H113="","",IFERROR(INDEX('Tipos BdE'!$B$7:$M$336,MATCH(DATE(YEAR(K113),MONTH(K113),1),'Tipos BdE'!$A$7:$A$336,1),MATCH($D$9,'Tipos BdE'!$B$6:$M$6,0)),0))</f>
        <v/>
      </c>
      <c r="M113" s="13">
        <f>IF(H113="","",IF($D$18="LEGAL",0,$D$10))</f>
        <v/>
      </c>
      <c r="N113" s="13">
        <f>IF(H113="","",IF(AND($D$14="Sí",(L113+M113)&lt;0),0,L113+M113))</f>
        <v/>
      </c>
      <c r="O113" s="199">
        <f>IF(H113="","",$D$5*N113*J113/36500)</f>
        <v/>
      </c>
      <c r="P113" s="199">
        <f>IF(H113="","",$D$5+SUM($O$5:O113))</f>
        <v/>
      </c>
    </row>
    <row r="114">
      <c r="G114" s="11">
        <f>IF(H114="","",ROW()-4)</f>
        <v/>
      </c>
      <c r="H114" s="12">
        <f>IF(OR(I113="",I113&gt;=$D$7),"",I113)</f>
        <v/>
      </c>
      <c r="I114" s="12">
        <f>IF(H114="","",MIN(IF($D$18="LEGAL",DATE(YEAR(H114)+1,1,1),EDATE($D$12,$D$11*(INT((((YEAR(H114)-YEAR($D$12))*12+(MONTH(H114)-MONTH($D$12))-IF(DAY(H114)&lt;DAY($D$12),1,0))/$D$11))+1))),$D$7))</f>
        <v/>
      </c>
      <c r="J114" s="11">
        <f>IF(H114="","",I114-H114)</f>
        <v/>
      </c>
      <c r="K114" s="12">
        <f>IF(H114="","",IF($D$18="LEGAL",H114,EDATE(H114,-$D$13)))</f>
        <v/>
      </c>
      <c r="L114" s="13">
        <f>IF(H114="","",IFERROR(INDEX('Tipos BdE'!$B$7:$M$336,MATCH(DATE(YEAR(K114),MONTH(K114),1),'Tipos BdE'!$A$7:$A$336,1),MATCH($D$9,'Tipos BdE'!$B$6:$M$6,0)),0))</f>
        <v/>
      </c>
      <c r="M114" s="13">
        <f>IF(H114="","",IF($D$18="LEGAL",0,$D$10))</f>
        <v/>
      </c>
      <c r="N114" s="13">
        <f>IF(H114="","",IF(AND($D$14="Sí",(L114+M114)&lt;0),0,L114+M114))</f>
        <v/>
      </c>
      <c r="O114" s="199">
        <f>IF(H114="","",$D$5*N114*J114/36500)</f>
        <v/>
      </c>
      <c r="P114" s="199">
        <f>IF(H114="","",$D$5+SUM($O$5:O114))</f>
        <v/>
      </c>
    </row>
    <row r="115">
      <c r="G115" s="11">
        <f>IF(H115="","",ROW()-4)</f>
        <v/>
      </c>
      <c r="H115" s="12">
        <f>IF(OR(I114="",I114&gt;=$D$7),"",I114)</f>
        <v/>
      </c>
      <c r="I115" s="12">
        <f>IF(H115="","",MIN(IF($D$18="LEGAL",DATE(YEAR(H115)+1,1,1),EDATE($D$12,$D$11*(INT((((YEAR(H115)-YEAR($D$12))*12+(MONTH(H115)-MONTH($D$12))-IF(DAY(H115)&lt;DAY($D$12),1,0))/$D$11))+1))),$D$7))</f>
        <v/>
      </c>
      <c r="J115" s="11">
        <f>IF(H115="","",I115-H115)</f>
        <v/>
      </c>
      <c r="K115" s="12">
        <f>IF(H115="","",IF($D$18="LEGAL",H115,EDATE(H115,-$D$13)))</f>
        <v/>
      </c>
      <c r="L115" s="13">
        <f>IF(H115="","",IFERROR(INDEX('Tipos BdE'!$B$7:$M$336,MATCH(DATE(YEAR(K115),MONTH(K115),1),'Tipos BdE'!$A$7:$A$336,1),MATCH($D$9,'Tipos BdE'!$B$6:$M$6,0)),0))</f>
        <v/>
      </c>
      <c r="M115" s="13">
        <f>IF(H115="","",IF($D$18="LEGAL",0,$D$10))</f>
        <v/>
      </c>
      <c r="N115" s="13">
        <f>IF(H115="","",IF(AND($D$14="Sí",(L115+M115)&lt;0),0,L115+M115))</f>
        <v/>
      </c>
      <c r="O115" s="199">
        <f>IF(H115="","",$D$5*N115*J115/36500)</f>
        <v/>
      </c>
      <c r="P115" s="199">
        <f>IF(H115="","",$D$5+SUM($O$5:O115))</f>
        <v/>
      </c>
    </row>
    <row r="116">
      <c r="G116" s="11">
        <f>IF(H116="","",ROW()-4)</f>
        <v/>
      </c>
      <c r="H116" s="12">
        <f>IF(OR(I115="",I115&gt;=$D$7),"",I115)</f>
        <v/>
      </c>
      <c r="I116" s="12">
        <f>IF(H116="","",MIN(IF($D$18="LEGAL",DATE(YEAR(H116)+1,1,1),EDATE($D$12,$D$11*(INT((((YEAR(H116)-YEAR($D$12))*12+(MONTH(H116)-MONTH($D$12))-IF(DAY(H116)&lt;DAY($D$12),1,0))/$D$11))+1))),$D$7))</f>
        <v/>
      </c>
      <c r="J116" s="11">
        <f>IF(H116="","",I116-H116)</f>
        <v/>
      </c>
      <c r="K116" s="12">
        <f>IF(H116="","",IF($D$18="LEGAL",H116,EDATE(H116,-$D$13)))</f>
        <v/>
      </c>
      <c r="L116" s="13">
        <f>IF(H116="","",IFERROR(INDEX('Tipos BdE'!$B$7:$M$336,MATCH(DATE(YEAR(K116),MONTH(K116),1),'Tipos BdE'!$A$7:$A$336,1),MATCH($D$9,'Tipos BdE'!$B$6:$M$6,0)),0))</f>
        <v/>
      </c>
      <c r="M116" s="13">
        <f>IF(H116="","",IF($D$18="LEGAL",0,$D$10))</f>
        <v/>
      </c>
      <c r="N116" s="13">
        <f>IF(H116="","",IF(AND($D$14="Sí",(L116+M116)&lt;0),0,L116+M116))</f>
        <v/>
      </c>
      <c r="O116" s="199">
        <f>IF(H116="","",$D$5*N116*J116/36500)</f>
        <v/>
      </c>
      <c r="P116" s="199">
        <f>IF(H116="","",$D$5+SUM($O$5:O116))</f>
        <v/>
      </c>
    </row>
    <row r="117">
      <c r="G117" s="11">
        <f>IF(H117="","",ROW()-4)</f>
        <v/>
      </c>
      <c r="H117" s="12">
        <f>IF(OR(I116="",I116&gt;=$D$7),"",I116)</f>
        <v/>
      </c>
      <c r="I117" s="12">
        <f>IF(H117="","",MIN(IF($D$18="LEGAL",DATE(YEAR(H117)+1,1,1),EDATE($D$12,$D$11*(INT((((YEAR(H117)-YEAR($D$12))*12+(MONTH(H117)-MONTH($D$12))-IF(DAY(H117)&lt;DAY($D$12),1,0))/$D$11))+1))),$D$7))</f>
        <v/>
      </c>
      <c r="J117" s="11">
        <f>IF(H117="","",I117-H117)</f>
        <v/>
      </c>
      <c r="K117" s="12">
        <f>IF(H117="","",IF($D$18="LEGAL",H117,EDATE(H117,-$D$13)))</f>
        <v/>
      </c>
      <c r="L117" s="13">
        <f>IF(H117="","",IFERROR(INDEX('Tipos BdE'!$B$7:$M$336,MATCH(DATE(YEAR(K117),MONTH(K117),1),'Tipos BdE'!$A$7:$A$336,1),MATCH($D$9,'Tipos BdE'!$B$6:$M$6,0)),0))</f>
        <v/>
      </c>
      <c r="M117" s="13">
        <f>IF(H117="","",IF($D$18="LEGAL",0,$D$10))</f>
        <v/>
      </c>
      <c r="N117" s="13">
        <f>IF(H117="","",IF(AND($D$14="Sí",(L117+M117)&lt;0),0,L117+M117))</f>
        <v/>
      </c>
      <c r="O117" s="199">
        <f>IF(H117="","",$D$5*N117*J117/36500)</f>
        <v/>
      </c>
      <c r="P117" s="199">
        <f>IF(H117="","",$D$5+SUM($O$5:O117))</f>
        <v/>
      </c>
    </row>
    <row r="118">
      <c r="G118" s="11">
        <f>IF(H118="","",ROW()-4)</f>
        <v/>
      </c>
      <c r="H118" s="12">
        <f>IF(OR(I117="",I117&gt;=$D$7),"",I117)</f>
        <v/>
      </c>
      <c r="I118" s="12">
        <f>IF(H118="","",MIN(IF($D$18="LEGAL",DATE(YEAR(H118)+1,1,1),EDATE($D$12,$D$11*(INT((((YEAR(H118)-YEAR($D$12))*12+(MONTH(H118)-MONTH($D$12))-IF(DAY(H118)&lt;DAY($D$12),1,0))/$D$11))+1))),$D$7))</f>
        <v/>
      </c>
      <c r="J118" s="11">
        <f>IF(H118="","",I118-H118)</f>
        <v/>
      </c>
      <c r="K118" s="12">
        <f>IF(H118="","",IF($D$18="LEGAL",H118,EDATE(H118,-$D$13)))</f>
        <v/>
      </c>
      <c r="L118" s="13">
        <f>IF(H118="","",IFERROR(INDEX('Tipos BdE'!$B$7:$M$336,MATCH(DATE(YEAR(K118),MONTH(K118),1),'Tipos BdE'!$A$7:$A$336,1),MATCH($D$9,'Tipos BdE'!$B$6:$M$6,0)),0))</f>
        <v/>
      </c>
      <c r="M118" s="13">
        <f>IF(H118="","",IF($D$18="LEGAL",0,$D$10))</f>
        <v/>
      </c>
      <c r="N118" s="13">
        <f>IF(H118="","",IF(AND($D$14="Sí",(L118+M118)&lt;0),0,L118+M118))</f>
        <v/>
      </c>
      <c r="O118" s="199">
        <f>IF(H118="","",$D$5*N118*J118/36500)</f>
        <v/>
      </c>
      <c r="P118" s="199">
        <f>IF(H118="","",$D$5+SUM($O$5:O118))</f>
        <v/>
      </c>
    </row>
    <row r="119">
      <c r="G119" s="11">
        <f>IF(H119="","",ROW()-4)</f>
        <v/>
      </c>
      <c r="H119" s="12">
        <f>IF(OR(I118="",I118&gt;=$D$7),"",I118)</f>
        <v/>
      </c>
      <c r="I119" s="12">
        <f>IF(H119="","",MIN(IF($D$18="LEGAL",DATE(YEAR(H119)+1,1,1),EDATE($D$12,$D$11*(INT((((YEAR(H119)-YEAR($D$12))*12+(MONTH(H119)-MONTH($D$12))-IF(DAY(H119)&lt;DAY($D$12),1,0))/$D$11))+1))),$D$7))</f>
        <v/>
      </c>
      <c r="J119" s="11">
        <f>IF(H119="","",I119-H119)</f>
        <v/>
      </c>
      <c r="K119" s="12">
        <f>IF(H119="","",IF($D$18="LEGAL",H119,EDATE(H119,-$D$13)))</f>
        <v/>
      </c>
      <c r="L119" s="13">
        <f>IF(H119="","",IFERROR(INDEX('Tipos BdE'!$B$7:$M$336,MATCH(DATE(YEAR(K119),MONTH(K119),1),'Tipos BdE'!$A$7:$A$336,1),MATCH($D$9,'Tipos BdE'!$B$6:$M$6,0)),0))</f>
        <v/>
      </c>
      <c r="M119" s="13">
        <f>IF(H119="","",IF($D$18="LEGAL",0,$D$10))</f>
        <v/>
      </c>
      <c r="N119" s="13">
        <f>IF(H119="","",IF(AND($D$14="Sí",(L119+M119)&lt;0),0,L119+M119))</f>
        <v/>
      </c>
      <c r="O119" s="199">
        <f>IF(H119="","",$D$5*N119*J119/36500)</f>
        <v/>
      </c>
      <c r="P119" s="199">
        <f>IF(H119="","",$D$5+SUM($O$5:O119))</f>
        <v/>
      </c>
    </row>
    <row r="120">
      <c r="G120" s="11">
        <f>IF(H120="","",ROW()-4)</f>
        <v/>
      </c>
      <c r="H120" s="12">
        <f>IF(OR(I119="",I119&gt;=$D$7),"",I119)</f>
        <v/>
      </c>
      <c r="I120" s="12">
        <f>IF(H120="","",MIN(IF($D$18="LEGAL",DATE(YEAR(H120)+1,1,1),EDATE($D$12,$D$11*(INT((((YEAR(H120)-YEAR($D$12))*12+(MONTH(H120)-MONTH($D$12))-IF(DAY(H120)&lt;DAY($D$12),1,0))/$D$11))+1))),$D$7))</f>
        <v/>
      </c>
      <c r="J120" s="11">
        <f>IF(H120="","",I120-H120)</f>
        <v/>
      </c>
      <c r="K120" s="12">
        <f>IF(H120="","",IF($D$18="LEGAL",H120,EDATE(H120,-$D$13)))</f>
        <v/>
      </c>
      <c r="L120" s="13">
        <f>IF(H120="","",IFERROR(INDEX('Tipos BdE'!$B$7:$M$336,MATCH(DATE(YEAR(K120),MONTH(K120),1),'Tipos BdE'!$A$7:$A$336,1),MATCH($D$9,'Tipos BdE'!$B$6:$M$6,0)),0))</f>
        <v/>
      </c>
      <c r="M120" s="13">
        <f>IF(H120="","",IF($D$18="LEGAL",0,$D$10))</f>
        <v/>
      </c>
      <c r="N120" s="13">
        <f>IF(H120="","",IF(AND($D$14="Sí",(L120+M120)&lt;0),0,L120+M120))</f>
        <v/>
      </c>
      <c r="O120" s="199">
        <f>IF(H120="","",$D$5*N120*J120/36500)</f>
        <v/>
      </c>
      <c r="P120" s="199">
        <f>IF(H120="","",$D$5+SUM($O$5:O120))</f>
        <v/>
      </c>
    </row>
    <row r="121">
      <c r="G121" s="11">
        <f>IF(H121="","",ROW()-4)</f>
        <v/>
      </c>
      <c r="H121" s="12">
        <f>IF(OR(I120="",I120&gt;=$D$7),"",I120)</f>
        <v/>
      </c>
      <c r="I121" s="12">
        <f>IF(H121="","",MIN(IF($D$18="LEGAL",DATE(YEAR(H121)+1,1,1),EDATE($D$12,$D$11*(INT((((YEAR(H121)-YEAR($D$12))*12+(MONTH(H121)-MONTH($D$12))-IF(DAY(H121)&lt;DAY($D$12),1,0))/$D$11))+1))),$D$7))</f>
        <v/>
      </c>
      <c r="J121" s="11">
        <f>IF(H121="","",I121-H121)</f>
        <v/>
      </c>
      <c r="K121" s="12">
        <f>IF(H121="","",IF($D$18="LEGAL",H121,EDATE(H121,-$D$13)))</f>
        <v/>
      </c>
      <c r="L121" s="13">
        <f>IF(H121="","",IFERROR(INDEX('Tipos BdE'!$B$7:$M$336,MATCH(DATE(YEAR(K121),MONTH(K121),1),'Tipos BdE'!$A$7:$A$336,1),MATCH($D$9,'Tipos BdE'!$B$6:$M$6,0)),0))</f>
        <v/>
      </c>
      <c r="M121" s="13">
        <f>IF(H121="","",IF($D$18="LEGAL",0,$D$10))</f>
        <v/>
      </c>
      <c r="N121" s="13">
        <f>IF(H121="","",IF(AND($D$14="Sí",(L121+M121)&lt;0),0,L121+M121))</f>
        <v/>
      </c>
      <c r="O121" s="199">
        <f>IF(H121="","",$D$5*N121*J121/36500)</f>
        <v/>
      </c>
      <c r="P121" s="199">
        <f>IF(H121="","",$D$5+SUM($O$5:O121))</f>
        <v/>
      </c>
    </row>
    <row r="122">
      <c r="G122" s="11">
        <f>IF(H122="","",ROW()-4)</f>
        <v/>
      </c>
      <c r="H122" s="12">
        <f>IF(OR(I121="",I121&gt;=$D$7),"",I121)</f>
        <v/>
      </c>
      <c r="I122" s="12">
        <f>IF(H122="","",MIN(IF($D$18="LEGAL",DATE(YEAR(H122)+1,1,1),EDATE($D$12,$D$11*(INT((((YEAR(H122)-YEAR($D$12))*12+(MONTH(H122)-MONTH($D$12))-IF(DAY(H122)&lt;DAY($D$12),1,0))/$D$11))+1))),$D$7))</f>
        <v/>
      </c>
      <c r="J122" s="11">
        <f>IF(H122="","",I122-H122)</f>
        <v/>
      </c>
      <c r="K122" s="12">
        <f>IF(H122="","",IF($D$18="LEGAL",H122,EDATE(H122,-$D$13)))</f>
        <v/>
      </c>
      <c r="L122" s="13">
        <f>IF(H122="","",IFERROR(INDEX('Tipos BdE'!$B$7:$M$336,MATCH(DATE(YEAR(K122),MONTH(K122),1),'Tipos BdE'!$A$7:$A$336,1),MATCH($D$9,'Tipos BdE'!$B$6:$M$6,0)),0))</f>
        <v/>
      </c>
      <c r="M122" s="13">
        <f>IF(H122="","",IF($D$18="LEGAL",0,$D$10))</f>
        <v/>
      </c>
      <c r="N122" s="13">
        <f>IF(H122="","",IF(AND($D$14="Sí",(L122+M122)&lt;0),0,L122+M122))</f>
        <v/>
      </c>
      <c r="O122" s="199">
        <f>IF(H122="","",$D$5*N122*J122/36500)</f>
        <v/>
      </c>
      <c r="P122" s="199">
        <f>IF(H122="","",$D$5+SUM($O$5:O122))</f>
        <v/>
      </c>
    </row>
    <row r="123">
      <c r="G123" s="11">
        <f>IF(H123="","",ROW()-4)</f>
        <v/>
      </c>
      <c r="H123" s="12">
        <f>IF(OR(I122="",I122&gt;=$D$7),"",I122)</f>
        <v/>
      </c>
      <c r="I123" s="12">
        <f>IF(H123="","",MIN(IF($D$18="LEGAL",DATE(YEAR(H123)+1,1,1),EDATE($D$12,$D$11*(INT((((YEAR(H123)-YEAR($D$12))*12+(MONTH(H123)-MONTH($D$12))-IF(DAY(H123)&lt;DAY($D$12),1,0))/$D$11))+1))),$D$7))</f>
        <v/>
      </c>
      <c r="J123" s="11">
        <f>IF(H123="","",I123-H123)</f>
        <v/>
      </c>
      <c r="K123" s="12">
        <f>IF(H123="","",IF($D$18="LEGAL",H123,EDATE(H123,-$D$13)))</f>
        <v/>
      </c>
      <c r="L123" s="13">
        <f>IF(H123="","",IFERROR(INDEX('Tipos BdE'!$B$7:$M$336,MATCH(DATE(YEAR(K123),MONTH(K123),1),'Tipos BdE'!$A$7:$A$336,1),MATCH($D$9,'Tipos BdE'!$B$6:$M$6,0)),0))</f>
        <v/>
      </c>
      <c r="M123" s="13">
        <f>IF(H123="","",IF($D$18="LEGAL",0,$D$10))</f>
        <v/>
      </c>
      <c r="N123" s="13">
        <f>IF(H123="","",IF(AND($D$14="Sí",(L123+M123)&lt;0),0,L123+M123))</f>
        <v/>
      </c>
      <c r="O123" s="199">
        <f>IF(H123="","",$D$5*N123*J123/36500)</f>
        <v/>
      </c>
      <c r="P123" s="199">
        <f>IF(H123="","",$D$5+SUM($O$5:O123))</f>
        <v/>
      </c>
    </row>
    <row r="124">
      <c r="G124" s="11">
        <f>IF(H124="","",ROW()-4)</f>
        <v/>
      </c>
      <c r="H124" s="12">
        <f>IF(OR(I123="",I123&gt;=$D$7),"",I123)</f>
        <v/>
      </c>
      <c r="I124" s="12">
        <f>IF(H124="","",MIN(IF($D$18="LEGAL",DATE(YEAR(H124)+1,1,1),EDATE($D$12,$D$11*(INT((((YEAR(H124)-YEAR($D$12))*12+(MONTH(H124)-MONTH($D$12))-IF(DAY(H124)&lt;DAY($D$12),1,0))/$D$11))+1))),$D$7))</f>
        <v/>
      </c>
      <c r="J124" s="11">
        <f>IF(H124="","",I124-H124)</f>
        <v/>
      </c>
      <c r="K124" s="12">
        <f>IF(H124="","",IF($D$18="LEGAL",H124,EDATE(H124,-$D$13)))</f>
        <v/>
      </c>
      <c r="L124" s="13">
        <f>IF(H124="","",IFERROR(INDEX('Tipos BdE'!$B$7:$M$336,MATCH(DATE(YEAR(K124),MONTH(K124),1),'Tipos BdE'!$A$7:$A$336,1),MATCH($D$9,'Tipos BdE'!$B$6:$M$6,0)),0))</f>
        <v/>
      </c>
      <c r="M124" s="13">
        <f>IF(H124="","",IF($D$18="LEGAL",0,$D$10))</f>
        <v/>
      </c>
      <c r="N124" s="13">
        <f>IF(H124="","",IF(AND($D$14="Sí",(L124+M124)&lt;0),0,L124+M124))</f>
        <v/>
      </c>
      <c r="O124" s="199">
        <f>IF(H124="","",$D$5*N124*J124/36500)</f>
        <v/>
      </c>
      <c r="P124" s="199">
        <f>IF(H124="","",$D$5+SUM($O$5:O124))</f>
        <v/>
      </c>
    </row>
    <row r="125">
      <c r="G125" s="11">
        <f>IF(H125="","",ROW()-4)</f>
        <v/>
      </c>
      <c r="H125" s="12">
        <f>IF(OR(I124="",I124&gt;=$D$7),"",I124)</f>
        <v/>
      </c>
      <c r="I125" s="12">
        <f>IF(H125="","",MIN(IF($D$18="LEGAL",DATE(YEAR(H125)+1,1,1),EDATE($D$12,$D$11*(INT((((YEAR(H125)-YEAR($D$12))*12+(MONTH(H125)-MONTH($D$12))-IF(DAY(H125)&lt;DAY($D$12),1,0))/$D$11))+1))),$D$7))</f>
        <v/>
      </c>
      <c r="J125" s="11">
        <f>IF(H125="","",I125-H125)</f>
        <v/>
      </c>
      <c r="K125" s="12">
        <f>IF(H125="","",IF($D$18="LEGAL",H125,EDATE(H125,-$D$13)))</f>
        <v/>
      </c>
      <c r="L125" s="13">
        <f>IF(H125="","",IFERROR(INDEX('Tipos BdE'!$B$7:$M$336,MATCH(DATE(YEAR(K125),MONTH(K125),1),'Tipos BdE'!$A$7:$A$336,1),MATCH($D$9,'Tipos BdE'!$B$6:$M$6,0)),0))</f>
        <v/>
      </c>
      <c r="M125" s="13">
        <f>IF(H125="","",IF($D$18="LEGAL",0,$D$10))</f>
        <v/>
      </c>
      <c r="N125" s="13">
        <f>IF(H125="","",IF(AND($D$14="Sí",(L125+M125)&lt;0),0,L125+M125))</f>
        <v/>
      </c>
      <c r="O125" s="199">
        <f>IF(H125="","",$D$5*N125*J125/36500)</f>
        <v/>
      </c>
      <c r="P125" s="199">
        <f>IF(H125="","",$D$5+SUM($O$5:O125))</f>
        <v/>
      </c>
    </row>
    <row r="126">
      <c r="G126" s="11">
        <f>IF(H126="","",ROW()-4)</f>
        <v/>
      </c>
      <c r="H126" s="12">
        <f>IF(OR(I125="",I125&gt;=$D$7),"",I125)</f>
        <v/>
      </c>
      <c r="I126" s="12">
        <f>IF(H126="","",MIN(IF($D$18="LEGAL",DATE(YEAR(H126)+1,1,1),EDATE($D$12,$D$11*(INT((((YEAR(H126)-YEAR($D$12))*12+(MONTH(H126)-MONTH($D$12))-IF(DAY(H126)&lt;DAY($D$12),1,0))/$D$11))+1))),$D$7))</f>
        <v/>
      </c>
      <c r="J126" s="11">
        <f>IF(H126="","",I126-H126)</f>
        <v/>
      </c>
      <c r="K126" s="12">
        <f>IF(H126="","",IF($D$18="LEGAL",H126,EDATE(H126,-$D$13)))</f>
        <v/>
      </c>
      <c r="L126" s="13">
        <f>IF(H126="","",IFERROR(INDEX('Tipos BdE'!$B$7:$M$336,MATCH(DATE(YEAR(K126),MONTH(K126),1),'Tipos BdE'!$A$7:$A$336,1),MATCH($D$9,'Tipos BdE'!$B$6:$M$6,0)),0))</f>
        <v/>
      </c>
      <c r="M126" s="13">
        <f>IF(H126="","",IF($D$18="LEGAL",0,$D$10))</f>
        <v/>
      </c>
      <c r="N126" s="13">
        <f>IF(H126="","",IF(AND($D$14="Sí",(L126+M126)&lt;0),0,L126+M126))</f>
        <v/>
      </c>
      <c r="O126" s="199">
        <f>IF(H126="","",$D$5*N126*J126/36500)</f>
        <v/>
      </c>
      <c r="P126" s="199">
        <f>IF(H126="","",$D$5+SUM($O$5:O126))</f>
        <v/>
      </c>
    </row>
    <row r="127">
      <c r="G127" s="11">
        <f>IF(H127="","",ROW()-4)</f>
        <v/>
      </c>
      <c r="H127" s="12">
        <f>IF(OR(I126="",I126&gt;=$D$7),"",I126)</f>
        <v/>
      </c>
      <c r="I127" s="12">
        <f>IF(H127="","",MIN(IF($D$18="LEGAL",DATE(YEAR(H127)+1,1,1),EDATE($D$12,$D$11*(INT((((YEAR(H127)-YEAR($D$12))*12+(MONTH(H127)-MONTH($D$12))-IF(DAY(H127)&lt;DAY($D$12),1,0))/$D$11))+1))),$D$7))</f>
        <v/>
      </c>
      <c r="J127" s="11">
        <f>IF(H127="","",I127-H127)</f>
        <v/>
      </c>
      <c r="K127" s="12">
        <f>IF(H127="","",IF($D$18="LEGAL",H127,EDATE(H127,-$D$13)))</f>
        <v/>
      </c>
      <c r="L127" s="13">
        <f>IF(H127="","",IFERROR(INDEX('Tipos BdE'!$B$7:$M$336,MATCH(DATE(YEAR(K127),MONTH(K127),1),'Tipos BdE'!$A$7:$A$336,1),MATCH($D$9,'Tipos BdE'!$B$6:$M$6,0)),0))</f>
        <v/>
      </c>
      <c r="M127" s="13">
        <f>IF(H127="","",IF($D$18="LEGAL",0,$D$10))</f>
        <v/>
      </c>
      <c r="N127" s="13">
        <f>IF(H127="","",IF(AND($D$14="Sí",(L127+M127)&lt;0),0,L127+M127))</f>
        <v/>
      </c>
      <c r="O127" s="199">
        <f>IF(H127="","",$D$5*N127*J127/36500)</f>
        <v/>
      </c>
      <c r="P127" s="199">
        <f>IF(H127="","",$D$5+SUM($O$5:O127))</f>
        <v/>
      </c>
    </row>
    <row r="128">
      <c r="G128" s="11">
        <f>IF(H128="","",ROW()-4)</f>
        <v/>
      </c>
      <c r="H128" s="12">
        <f>IF(OR(I127="",I127&gt;=$D$7),"",I127)</f>
        <v/>
      </c>
      <c r="I128" s="12">
        <f>IF(H128="","",MIN(IF($D$18="LEGAL",DATE(YEAR(H128)+1,1,1),EDATE($D$12,$D$11*(INT((((YEAR(H128)-YEAR($D$12))*12+(MONTH(H128)-MONTH($D$12))-IF(DAY(H128)&lt;DAY($D$12),1,0))/$D$11))+1))),$D$7))</f>
        <v/>
      </c>
      <c r="J128" s="11">
        <f>IF(H128="","",I128-H128)</f>
        <v/>
      </c>
      <c r="K128" s="12">
        <f>IF(H128="","",IF($D$18="LEGAL",H128,EDATE(H128,-$D$13)))</f>
        <v/>
      </c>
      <c r="L128" s="13">
        <f>IF(H128="","",IFERROR(INDEX('Tipos BdE'!$B$7:$M$336,MATCH(DATE(YEAR(K128),MONTH(K128),1),'Tipos BdE'!$A$7:$A$336,1),MATCH($D$9,'Tipos BdE'!$B$6:$M$6,0)),0))</f>
        <v/>
      </c>
      <c r="M128" s="13">
        <f>IF(H128="","",IF($D$18="LEGAL",0,$D$10))</f>
        <v/>
      </c>
      <c r="N128" s="13">
        <f>IF(H128="","",IF(AND($D$14="Sí",(L128+M128)&lt;0),0,L128+M128))</f>
        <v/>
      </c>
      <c r="O128" s="199">
        <f>IF(H128="","",$D$5*N128*J128/36500)</f>
        <v/>
      </c>
      <c r="P128" s="199">
        <f>IF(H128="","",$D$5+SUM($O$5:O128))</f>
        <v/>
      </c>
    </row>
    <row r="129">
      <c r="G129" s="11">
        <f>IF(H129="","",ROW()-4)</f>
        <v/>
      </c>
      <c r="H129" s="12">
        <f>IF(OR(I128="",I128&gt;=$D$7),"",I128)</f>
        <v/>
      </c>
      <c r="I129" s="12">
        <f>IF(H129="","",MIN(IF($D$18="LEGAL",DATE(YEAR(H129)+1,1,1),EDATE($D$12,$D$11*(INT((((YEAR(H129)-YEAR($D$12))*12+(MONTH(H129)-MONTH($D$12))-IF(DAY(H129)&lt;DAY($D$12),1,0))/$D$11))+1))),$D$7))</f>
        <v/>
      </c>
      <c r="J129" s="11">
        <f>IF(H129="","",I129-H129)</f>
        <v/>
      </c>
      <c r="K129" s="12">
        <f>IF(H129="","",IF($D$18="LEGAL",H129,EDATE(H129,-$D$13)))</f>
        <v/>
      </c>
      <c r="L129" s="13">
        <f>IF(H129="","",IFERROR(INDEX('Tipos BdE'!$B$7:$M$336,MATCH(DATE(YEAR(K129),MONTH(K129),1),'Tipos BdE'!$A$7:$A$336,1),MATCH($D$9,'Tipos BdE'!$B$6:$M$6,0)),0))</f>
        <v/>
      </c>
      <c r="M129" s="13">
        <f>IF(H129="","",IF($D$18="LEGAL",0,$D$10))</f>
        <v/>
      </c>
      <c r="N129" s="13">
        <f>IF(H129="","",IF(AND($D$14="Sí",(L129+M129)&lt;0),0,L129+M129))</f>
        <v/>
      </c>
      <c r="O129" s="199">
        <f>IF(H129="","",$D$5*N129*J129/36500)</f>
        <v/>
      </c>
      <c r="P129" s="199">
        <f>IF(H129="","",$D$5+SUM($O$5:O129))</f>
        <v/>
      </c>
    </row>
    <row r="130">
      <c r="G130" s="11">
        <f>IF(H130="","",ROW()-4)</f>
        <v/>
      </c>
      <c r="H130" s="12">
        <f>IF(OR(I129="",I129&gt;=$D$7),"",I129)</f>
        <v/>
      </c>
      <c r="I130" s="12">
        <f>IF(H130="","",MIN(IF($D$18="LEGAL",DATE(YEAR(H130)+1,1,1),EDATE($D$12,$D$11*(INT((((YEAR(H130)-YEAR($D$12))*12+(MONTH(H130)-MONTH($D$12))-IF(DAY(H130)&lt;DAY($D$12),1,0))/$D$11))+1))),$D$7))</f>
        <v/>
      </c>
      <c r="J130" s="11">
        <f>IF(H130="","",I130-H130)</f>
        <v/>
      </c>
      <c r="K130" s="12">
        <f>IF(H130="","",IF($D$18="LEGAL",H130,EDATE(H130,-$D$13)))</f>
        <v/>
      </c>
      <c r="L130" s="13">
        <f>IF(H130="","",IFERROR(INDEX('Tipos BdE'!$B$7:$M$336,MATCH(DATE(YEAR(K130),MONTH(K130),1),'Tipos BdE'!$A$7:$A$336,1),MATCH($D$9,'Tipos BdE'!$B$6:$M$6,0)),0))</f>
        <v/>
      </c>
      <c r="M130" s="13">
        <f>IF(H130="","",IF($D$18="LEGAL",0,$D$10))</f>
        <v/>
      </c>
      <c r="N130" s="13">
        <f>IF(H130="","",IF(AND($D$14="Sí",(L130+M130)&lt;0),0,L130+M130))</f>
        <v/>
      </c>
      <c r="O130" s="199">
        <f>IF(H130="","",$D$5*N130*J130/36500)</f>
        <v/>
      </c>
      <c r="P130" s="199">
        <f>IF(H130="","",$D$5+SUM($O$5:O130))</f>
        <v/>
      </c>
    </row>
    <row r="131">
      <c r="G131" s="11">
        <f>IF(H131="","",ROW()-4)</f>
        <v/>
      </c>
      <c r="H131" s="12">
        <f>IF(OR(I130="",I130&gt;=$D$7),"",I130)</f>
        <v/>
      </c>
      <c r="I131" s="12">
        <f>IF(H131="","",MIN(IF($D$18="LEGAL",DATE(YEAR(H131)+1,1,1),EDATE($D$12,$D$11*(INT((((YEAR(H131)-YEAR($D$12))*12+(MONTH(H131)-MONTH($D$12))-IF(DAY(H131)&lt;DAY($D$12),1,0))/$D$11))+1))),$D$7))</f>
        <v/>
      </c>
      <c r="J131" s="11">
        <f>IF(H131="","",I131-H131)</f>
        <v/>
      </c>
      <c r="K131" s="12">
        <f>IF(H131="","",IF($D$18="LEGAL",H131,EDATE(H131,-$D$13)))</f>
        <v/>
      </c>
      <c r="L131" s="13">
        <f>IF(H131="","",IFERROR(INDEX('Tipos BdE'!$B$7:$M$336,MATCH(DATE(YEAR(K131),MONTH(K131),1),'Tipos BdE'!$A$7:$A$336,1),MATCH($D$9,'Tipos BdE'!$B$6:$M$6,0)),0))</f>
        <v/>
      </c>
      <c r="M131" s="13">
        <f>IF(H131="","",IF($D$18="LEGAL",0,$D$10))</f>
        <v/>
      </c>
      <c r="N131" s="13">
        <f>IF(H131="","",IF(AND($D$14="Sí",(L131+M131)&lt;0),0,L131+M131))</f>
        <v/>
      </c>
      <c r="O131" s="199">
        <f>IF(H131="","",$D$5*N131*J131/36500)</f>
        <v/>
      </c>
      <c r="P131" s="199">
        <f>IF(H131="","",$D$5+SUM($O$5:O131))</f>
        <v/>
      </c>
    </row>
    <row r="132">
      <c r="G132" s="11">
        <f>IF(H132="","",ROW()-4)</f>
        <v/>
      </c>
      <c r="H132" s="12">
        <f>IF(OR(I131="",I131&gt;=$D$7),"",I131)</f>
        <v/>
      </c>
      <c r="I132" s="12">
        <f>IF(H132="","",MIN(IF($D$18="LEGAL",DATE(YEAR(H132)+1,1,1),EDATE($D$12,$D$11*(INT((((YEAR(H132)-YEAR($D$12))*12+(MONTH(H132)-MONTH($D$12))-IF(DAY(H132)&lt;DAY($D$12),1,0))/$D$11))+1))),$D$7))</f>
        <v/>
      </c>
      <c r="J132" s="11">
        <f>IF(H132="","",I132-H132)</f>
        <v/>
      </c>
      <c r="K132" s="12">
        <f>IF(H132="","",IF($D$18="LEGAL",H132,EDATE(H132,-$D$13)))</f>
        <v/>
      </c>
      <c r="L132" s="13">
        <f>IF(H132="","",IFERROR(INDEX('Tipos BdE'!$B$7:$M$336,MATCH(DATE(YEAR(K132),MONTH(K132),1),'Tipos BdE'!$A$7:$A$336,1),MATCH($D$9,'Tipos BdE'!$B$6:$M$6,0)),0))</f>
        <v/>
      </c>
      <c r="M132" s="13">
        <f>IF(H132="","",IF($D$18="LEGAL",0,$D$10))</f>
        <v/>
      </c>
      <c r="N132" s="13">
        <f>IF(H132="","",IF(AND($D$14="Sí",(L132+M132)&lt;0),0,L132+M132))</f>
        <v/>
      </c>
      <c r="O132" s="199">
        <f>IF(H132="","",$D$5*N132*J132/36500)</f>
        <v/>
      </c>
      <c r="P132" s="199">
        <f>IF(H132="","",$D$5+SUM($O$5:O132))</f>
        <v/>
      </c>
    </row>
    <row r="133">
      <c r="G133" s="11">
        <f>IF(H133="","",ROW()-4)</f>
        <v/>
      </c>
      <c r="H133" s="12">
        <f>IF(OR(I132="",I132&gt;=$D$7),"",I132)</f>
        <v/>
      </c>
      <c r="I133" s="12">
        <f>IF(H133="","",MIN(IF($D$18="LEGAL",DATE(YEAR(H133)+1,1,1),EDATE($D$12,$D$11*(INT((((YEAR(H133)-YEAR($D$12))*12+(MONTH(H133)-MONTH($D$12))-IF(DAY(H133)&lt;DAY($D$12),1,0))/$D$11))+1))),$D$7))</f>
        <v/>
      </c>
      <c r="J133" s="11">
        <f>IF(H133="","",I133-H133)</f>
        <v/>
      </c>
      <c r="K133" s="12">
        <f>IF(H133="","",IF($D$18="LEGAL",H133,EDATE(H133,-$D$13)))</f>
        <v/>
      </c>
      <c r="L133" s="13">
        <f>IF(H133="","",IFERROR(INDEX('Tipos BdE'!$B$7:$M$336,MATCH(DATE(YEAR(K133),MONTH(K133),1),'Tipos BdE'!$A$7:$A$336,1),MATCH($D$9,'Tipos BdE'!$B$6:$M$6,0)),0))</f>
        <v/>
      </c>
      <c r="M133" s="13">
        <f>IF(H133="","",IF($D$18="LEGAL",0,$D$10))</f>
        <v/>
      </c>
      <c r="N133" s="13">
        <f>IF(H133="","",IF(AND($D$14="Sí",(L133+M133)&lt;0),0,L133+M133))</f>
        <v/>
      </c>
      <c r="O133" s="199">
        <f>IF(H133="","",$D$5*N133*J133/36500)</f>
        <v/>
      </c>
      <c r="P133" s="199">
        <f>IF(H133="","",$D$5+SUM($O$5:O133))</f>
        <v/>
      </c>
    </row>
    <row r="134">
      <c r="G134" s="11">
        <f>IF(H134="","",ROW()-4)</f>
        <v/>
      </c>
      <c r="H134" s="12">
        <f>IF(OR(I133="",I133&gt;=$D$7),"",I133)</f>
        <v/>
      </c>
      <c r="I134" s="12">
        <f>IF(H134="","",MIN(IF($D$18="LEGAL",DATE(YEAR(H134)+1,1,1),EDATE($D$12,$D$11*(INT((((YEAR(H134)-YEAR($D$12))*12+(MONTH(H134)-MONTH($D$12))-IF(DAY(H134)&lt;DAY($D$12),1,0))/$D$11))+1))),$D$7))</f>
        <v/>
      </c>
      <c r="J134" s="11">
        <f>IF(H134="","",I134-H134)</f>
        <v/>
      </c>
      <c r="K134" s="12">
        <f>IF(H134="","",IF($D$18="LEGAL",H134,EDATE(H134,-$D$13)))</f>
        <v/>
      </c>
      <c r="L134" s="13">
        <f>IF(H134="","",IFERROR(INDEX('Tipos BdE'!$B$7:$M$336,MATCH(DATE(YEAR(K134),MONTH(K134),1),'Tipos BdE'!$A$7:$A$336,1),MATCH($D$9,'Tipos BdE'!$B$6:$M$6,0)),0))</f>
        <v/>
      </c>
      <c r="M134" s="13">
        <f>IF(H134="","",IF($D$18="LEGAL",0,$D$10))</f>
        <v/>
      </c>
      <c r="N134" s="13">
        <f>IF(H134="","",IF(AND($D$14="Sí",(L134+M134)&lt;0),0,L134+M134))</f>
        <v/>
      </c>
      <c r="O134" s="199">
        <f>IF(H134="","",$D$5*N134*J134/36500)</f>
        <v/>
      </c>
      <c r="P134" s="199">
        <f>IF(H134="","",$D$5+SUM($O$5:O134))</f>
        <v/>
      </c>
    </row>
    <row r="135">
      <c r="G135" s="11">
        <f>IF(H135="","",ROW()-4)</f>
        <v/>
      </c>
      <c r="H135" s="12">
        <f>IF(OR(I134="",I134&gt;=$D$7),"",I134)</f>
        <v/>
      </c>
      <c r="I135" s="12">
        <f>IF(H135="","",MIN(IF($D$18="LEGAL",DATE(YEAR(H135)+1,1,1),EDATE($D$12,$D$11*(INT((((YEAR(H135)-YEAR($D$12))*12+(MONTH(H135)-MONTH($D$12))-IF(DAY(H135)&lt;DAY($D$12),1,0))/$D$11))+1))),$D$7))</f>
        <v/>
      </c>
      <c r="J135" s="11">
        <f>IF(H135="","",I135-H135)</f>
        <v/>
      </c>
      <c r="K135" s="12">
        <f>IF(H135="","",IF($D$18="LEGAL",H135,EDATE(H135,-$D$13)))</f>
        <v/>
      </c>
      <c r="L135" s="13">
        <f>IF(H135="","",IFERROR(INDEX('Tipos BdE'!$B$7:$M$336,MATCH(DATE(YEAR(K135),MONTH(K135),1),'Tipos BdE'!$A$7:$A$336,1),MATCH($D$9,'Tipos BdE'!$B$6:$M$6,0)),0))</f>
        <v/>
      </c>
      <c r="M135" s="13">
        <f>IF(H135="","",IF($D$18="LEGAL",0,$D$10))</f>
        <v/>
      </c>
      <c r="N135" s="13">
        <f>IF(H135="","",IF(AND($D$14="Sí",(L135+M135)&lt;0),0,L135+M135))</f>
        <v/>
      </c>
      <c r="O135" s="199">
        <f>IF(H135="","",$D$5*N135*J135/36500)</f>
        <v/>
      </c>
      <c r="P135" s="199">
        <f>IF(H135="","",$D$5+SUM($O$5:O135))</f>
        <v/>
      </c>
    </row>
    <row r="136">
      <c r="G136" s="11">
        <f>IF(H136="","",ROW()-4)</f>
        <v/>
      </c>
      <c r="H136" s="12">
        <f>IF(OR(I135="",I135&gt;=$D$7),"",I135)</f>
        <v/>
      </c>
      <c r="I136" s="12">
        <f>IF(H136="","",MIN(IF($D$18="LEGAL",DATE(YEAR(H136)+1,1,1),EDATE($D$12,$D$11*(INT((((YEAR(H136)-YEAR($D$12))*12+(MONTH(H136)-MONTH($D$12))-IF(DAY(H136)&lt;DAY($D$12),1,0))/$D$11))+1))),$D$7))</f>
        <v/>
      </c>
      <c r="J136" s="11">
        <f>IF(H136="","",I136-H136)</f>
        <v/>
      </c>
      <c r="K136" s="12">
        <f>IF(H136="","",IF($D$18="LEGAL",H136,EDATE(H136,-$D$13)))</f>
        <v/>
      </c>
      <c r="L136" s="13">
        <f>IF(H136="","",IFERROR(INDEX('Tipos BdE'!$B$7:$M$336,MATCH(DATE(YEAR(K136),MONTH(K136),1),'Tipos BdE'!$A$7:$A$336,1),MATCH($D$9,'Tipos BdE'!$B$6:$M$6,0)),0))</f>
        <v/>
      </c>
      <c r="M136" s="13">
        <f>IF(H136="","",IF($D$18="LEGAL",0,$D$10))</f>
        <v/>
      </c>
      <c r="N136" s="13">
        <f>IF(H136="","",IF(AND($D$14="Sí",(L136+M136)&lt;0),0,L136+M136))</f>
        <v/>
      </c>
      <c r="O136" s="199">
        <f>IF(H136="","",$D$5*N136*J136/36500)</f>
        <v/>
      </c>
      <c r="P136" s="199">
        <f>IF(H136="","",$D$5+SUM($O$5:O136))</f>
        <v/>
      </c>
    </row>
    <row r="137">
      <c r="G137" s="11">
        <f>IF(H137="","",ROW()-4)</f>
        <v/>
      </c>
      <c r="H137" s="12">
        <f>IF(OR(I136="",I136&gt;=$D$7),"",I136)</f>
        <v/>
      </c>
      <c r="I137" s="12">
        <f>IF(H137="","",MIN(IF($D$18="LEGAL",DATE(YEAR(H137)+1,1,1),EDATE($D$12,$D$11*(INT((((YEAR(H137)-YEAR($D$12))*12+(MONTH(H137)-MONTH($D$12))-IF(DAY(H137)&lt;DAY($D$12),1,0))/$D$11))+1))),$D$7))</f>
        <v/>
      </c>
      <c r="J137" s="11">
        <f>IF(H137="","",I137-H137)</f>
        <v/>
      </c>
      <c r="K137" s="12">
        <f>IF(H137="","",IF($D$18="LEGAL",H137,EDATE(H137,-$D$13)))</f>
        <v/>
      </c>
      <c r="L137" s="13">
        <f>IF(H137="","",IFERROR(INDEX('Tipos BdE'!$B$7:$M$336,MATCH(DATE(YEAR(K137),MONTH(K137),1),'Tipos BdE'!$A$7:$A$336,1),MATCH($D$9,'Tipos BdE'!$B$6:$M$6,0)),0))</f>
        <v/>
      </c>
      <c r="M137" s="13">
        <f>IF(H137="","",IF($D$18="LEGAL",0,$D$10))</f>
        <v/>
      </c>
      <c r="N137" s="13">
        <f>IF(H137="","",IF(AND($D$14="Sí",(L137+M137)&lt;0),0,L137+M137))</f>
        <v/>
      </c>
      <c r="O137" s="199">
        <f>IF(H137="","",$D$5*N137*J137/36500)</f>
        <v/>
      </c>
      <c r="P137" s="199">
        <f>IF(H137="","",$D$5+SUM($O$5:O137))</f>
        <v/>
      </c>
    </row>
    <row r="138">
      <c r="G138" s="11">
        <f>IF(H138="","",ROW()-4)</f>
        <v/>
      </c>
      <c r="H138" s="12">
        <f>IF(OR(I137="",I137&gt;=$D$7),"",I137)</f>
        <v/>
      </c>
      <c r="I138" s="12">
        <f>IF(H138="","",MIN(IF($D$18="LEGAL",DATE(YEAR(H138)+1,1,1),EDATE($D$12,$D$11*(INT((((YEAR(H138)-YEAR($D$12))*12+(MONTH(H138)-MONTH($D$12))-IF(DAY(H138)&lt;DAY($D$12),1,0))/$D$11))+1))),$D$7))</f>
        <v/>
      </c>
      <c r="J138" s="11">
        <f>IF(H138="","",I138-H138)</f>
        <v/>
      </c>
      <c r="K138" s="12">
        <f>IF(H138="","",IF($D$18="LEGAL",H138,EDATE(H138,-$D$13)))</f>
        <v/>
      </c>
      <c r="L138" s="13">
        <f>IF(H138="","",IFERROR(INDEX('Tipos BdE'!$B$7:$M$336,MATCH(DATE(YEAR(K138),MONTH(K138),1),'Tipos BdE'!$A$7:$A$336,1),MATCH($D$9,'Tipos BdE'!$B$6:$M$6,0)),0))</f>
        <v/>
      </c>
      <c r="M138" s="13">
        <f>IF(H138="","",IF($D$18="LEGAL",0,$D$10))</f>
        <v/>
      </c>
      <c r="N138" s="13">
        <f>IF(H138="","",IF(AND($D$14="Sí",(L138+M138)&lt;0),0,L138+M138))</f>
        <v/>
      </c>
      <c r="O138" s="199">
        <f>IF(H138="","",$D$5*N138*J138/36500)</f>
        <v/>
      </c>
      <c r="P138" s="199">
        <f>IF(H138="","",$D$5+SUM($O$5:O138))</f>
        <v/>
      </c>
    </row>
    <row r="139">
      <c r="G139" s="11">
        <f>IF(H139="","",ROW()-4)</f>
        <v/>
      </c>
      <c r="H139" s="12">
        <f>IF(OR(I138="",I138&gt;=$D$7),"",I138)</f>
        <v/>
      </c>
      <c r="I139" s="12">
        <f>IF(H139="","",MIN(IF($D$18="LEGAL",DATE(YEAR(H139)+1,1,1),EDATE($D$12,$D$11*(INT((((YEAR(H139)-YEAR($D$12))*12+(MONTH(H139)-MONTH($D$12))-IF(DAY(H139)&lt;DAY($D$12),1,0))/$D$11))+1))),$D$7))</f>
        <v/>
      </c>
      <c r="J139" s="11">
        <f>IF(H139="","",I139-H139)</f>
        <v/>
      </c>
      <c r="K139" s="12">
        <f>IF(H139="","",IF($D$18="LEGAL",H139,EDATE(H139,-$D$13)))</f>
        <v/>
      </c>
      <c r="L139" s="13">
        <f>IF(H139="","",IFERROR(INDEX('Tipos BdE'!$B$7:$M$336,MATCH(DATE(YEAR(K139),MONTH(K139),1),'Tipos BdE'!$A$7:$A$336,1),MATCH($D$9,'Tipos BdE'!$B$6:$M$6,0)),0))</f>
        <v/>
      </c>
      <c r="M139" s="13">
        <f>IF(H139="","",IF($D$18="LEGAL",0,$D$10))</f>
        <v/>
      </c>
      <c r="N139" s="13">
        <f>IF(H139="","",IF(AND($D$14="Sí",(L139+M139)&lt;0),0,L139+M139))</f>
        <v/>
      </c>
      <c r="O139" s="199">
        <f>IF(H139="","",$D$5*N139*J139/36500)</f>
        <v/>
      </c>
      <c r="P139" s="199">
        <f>IF(H139="","",$D$5+SUM($O$5:O139))</f>
        <v/>
      </c>
    </row>
    <row r="140">
      <c r="G140" s="11">
        <f>IF(H140="","",ROW()-4)</f>
        <v/>
      </c>
      <c r="H140" s="12">
        <f>IF(OR(I139="",I139&gt;=$D$7),"",I139)</f>
        <v/>
      </c>
      <c r="I140" s="12">
        <f>IF(H140="","",MIN(IF($D$18="LEGAL",DATE(YEAR(H140)+1,1,1),EDATE($D$12,$D$11*(INT((((YEAR(H140)-YEAR($D$12))*12+(MONTH(H140)-MONTH($D$12))-IF(DAY(H140)&lt;DAY($D$12),1,0))/$D$11))+1))),$D$7))</f>
        <v/>
      </c>
      <c r="J140" s="11">
        <f>IF(H140="","",I140-H140)</f>
        <v/>
      </c>
      <c r="K140" s="12">
        <f>IF(H140="","",IF($D$18="LEGAL",H140,EDATE(H140,-$D$13)))</f>
        <v/>
      </c>
      <c r="L140" s="13">
        <f>IF(H140="","",IFERROR(INDEX('Tipos BdE'!$B$7:$M$336,MATCH(DATE(YEAR(K140),MONTH(K140),1),'Tipos BdE'!$A$7:$A$336,1),MATCH($D$9,'Tipos BdE'!$B$6:$M$6,0)),0))</f>
        <v/>
      </c>
      <c r="M140" s="13">
        <f>IF(H140="","",IF($D$18="LEGAL",0,$D$10))</f>
        <v/>
      </c>
      <c r="N140" s="13">
        <f>IF(H140="","",IF(AND($D$14="Sí",(L140+M140)&lt;0),0,L140+M140))</f>
        <v/>
      </c>
      <c r="O140" s="199">
        <f>IF(H140="","",$D$5*N140*J140/36500)</f>
        <v/>
      </c>
      <c r="P140" s="199">
        <f>IF(H140="","",$D$5+SUM($O$5:O140))</f>
        <v/>
      </c>
    </row>
    <row r="141">
      <c r="G141" s="11">
        <f>IF(H141="","",ROW()-4)</f>
        <v/>
      </c>
      <c r="H141" s="12">
        <f>IF(OR(I140="",I140&gt;=$D$7),"",I140)</f>
        <v/>
      </c>
      <c r="I141" s="12">
        <f>IF(H141="","",MIN(IF($D$18="LEGAL",DATE(YEAR(H141)+1,1,1),EDATE($D$12,$D$11*(INT((((YEAR(H141)-YEAR($D$12))*12+(MONTH(H141)-MONTH($D$12))-IF(DAY(H141)&lt;DAY($D$12),1,0))/$D$11))+1))),$D$7))</f>
        <v/>
      </c>
      <c r="J141" s="11">
        <f>IF(H141="","",I141-H141)</f>
        <v/>
      </c>
      <c r="K141" s="12">
        <f>IF(H141="","",IF($D$18="LEGAL",H141,EDATE(H141,-$D$13)))</f>
        <v/>
      </c>
      <c r="L141" s="13">
        <f>IF(H141="","",IFERROR(INDEX('Tipos BdE'!$B$7:$M$336,MATCH(DATE(YEAR(K141),MONTH(K141),1),'Tipos BdE'!$A$7:$A$336,1),MATCH($D$9,'Tipos BdE'!$B$6:$M$6,0)),0))</f>
        <v/>
      </c>
      <c r="M141" s="13">
        <f>IF(H141="","",IF($D$18="LEGAL",0,$D$10))</f>
        <v/>
      </c>
      <c r="N141" s="13">
        <f>IF(H141="","",IF(AND($D$14="Sí",(L141+M141)&lt;0),0,L141+M141))</f>
        <v/>
      </c>
      <c r="O141" s="199">
        <f>IF(H141="","",$D$5*N141*J141/36500)</f>
        <v/>
      </c>
      <c r="P141" s="199">
        <f>IF(H141="","",$D$5+SUM($O$5:O141))</f>
        <v/>
      </c>
    </row>
    <row r="142">
      <c r="G142" s="11">
        <f>IF(H142="","",ROW()-4)</f>
        <v/>
      </c>
      <c r="H142" s="12">
        <f>IF(OR(I141="",I141&gt;=$D$7),"",I141)</f>
        <v/>
      </c>
      <c r="I142" s="12">
        <f>IF(H142="","",MIN(IF($D$18="LEGAL",DATE(YEAR(H142)+1,1,1),EDATE($D$12,$D$11*(INT((((YEAR(H142)-YEAR($D$12))*12+(MONTH(H142)-MONTH($D$12))-IF(DAY(H142)&lt;DAY($D$12),1,0))/$D$11))+1))),$D$7))</f>
        <v/>
      </c>
      <c r="J142" s="11">
        <f>IF(H142="","",I142-H142)</f>
        <v/>
      </c>
      <c r="K142" s="12">
        <f>IF(H142="","",IF($D$18="LEGAL",H142,EDATE(H142,-$D$13)))</f>
        <v/>
      </c>
      <c r="L142" s="13">
        <f>IF(H142="","",IFERROR(INDEX('Tipos BdE'!$B$7:$M$336,MATCH(DATE(YEAR(K142),MONTH(K142),1),'Tipos BdE'!$A$7:$A$336,1),MATCH($D$9,'Tipos BdE'!$B$6:$M$6,0)),0))</f>
        <v/>
      </c>
      <c r="M142" s="13">
        <f>IF(H142="","",IF($D$18="LEGAL",0,$D$10))</f>
        <v/>
      </c>
      <c r="N142" s="13">
        <f>IF(H142="","",IF(AND($D$14="Sí",(L142+M142)&lt;0),0,L142+M142))</f>
        <v/>
      </c>
      <c r="O142" s="199">
        <f>IF(H142="","",$D$5*N142*J142/36500)</f>
        <v/>
      </c>
      <c r="P142" s="199">
        <f>IF(H142="","",$D$5+SUM($O$5:O142))</f>
        <v/>
      </c>
    </row>
    <row r="143">
      <c r="G143" s="11">
        <f>IF(H143="","",ROW()-4)</f>
        <v/>
      </c>
      <c r="H143" s="12">
        <f>IF(OR(I142="",I142&gt;=$D$7),"",I142)</f>
        <v/>
      </c>
      <c r="I143" s="12">
        <f>IF(H143="","",MIN(IF($D$18="LEGAL",DATE(YEAR(H143)+1,1,1),EDATE($D$12,$D$11*(INT((((YEAR(H143)-YEAR($D$12))*12+(MONTH(H143)-MONTH($D$12))-IF(DAY(H143)&lt;DAY($D$12),1,0))/$D$11))+1))),$D$7))</f>
        <v/>
      </c>
      <c r="J143" s="11">
        <f>IF(H143="","",I143-H143)</f>
        <v/>
      </c>
      <c r="K143" s="12">
        <f>IF(H143="","",IF($D$18="LEGAL",H143,EDATE(H143,-$D$13)))</f>
        <v/>
      </c>
      <c r="L143" s="13">
        <f>IF(H143="","",IFERROR(INDEX('Tipos BdE'!$B$7:$M$336,MATCH(DATE(YEAR(K143),MONTH(K143),1),'Tipos BdE'!$A$7:$A$336,1),MATCH($D$9,'Tipos BdE'!$B$6:$M$6,0)),0))</f>
        <v/>
      </c>
      <c r="M143" s="13">
        <f>IF(H143="","",IF($D$18="LEGAL",0,$D$10))</f>
        <v/>
      </c>
      <c r="N143" s="13">
        <f>IF(H143="","",IF(AND($D$14="Sí",(L143+M143)&lt;0),0,L143+M143))</f>
        <v/>
      </c>
      <c r="O143" s="199">
        <f>IF(H143="","",$D$5*N143*J143/36500)</f>
        <v/>
      </c>
      <c r="P143" s="199">
        <f>IF(H143="","",$D$5+SUM($O$5:O143))</f>
        <v/>
      </c>
    </row>
    <row r="144">
      <c r="G144" s="11">
        <f>IF(H144="","",ROW()-4)</f>
        <v/>
      </c>
      <c r="H144" s="12">
        <f>IF(OR(I143="",I143&gt;=$D$7),"",I143)</f>
        <v/>
      </c>
      <c r="I144" s="12">
        <f>IF(H144="","",MIN(IF($D$18="LEGAL",DATE(YEAR(H144)+1,1,1),EDATE($D$12,$D$11*(INT((((YEAR(H144)-YEAR($D$12))*12+(MONTH(H144)-MONTH($D$12))-IF(DAY(H144)&lt;DAY($D$12),1,0))/$D$11))+1))),$D$7))</f>
        <v/>
      </c>
      <c r="J144" s="11">
        <f>IF(H144="","",I144-H144)</f>
        <v/>
      </c>
      <c r="K144" s="12">
        <f>IF(H144="","",IF($D$18="LEGAL",H144,EDATE(H144,-$D$13)))</f>
        <v/>
      </c>
      <c r="L144" s="13">
        <f>IF(H144="","",IFERROR(INDEX('Tipos BdE'!$B$7:$M$336,MATCH(DATE(YEAR(K144),MONTH(K144),1),'Tipos BdE'!$A$7:$A$336,1),MATCH($D$9,'Tipos BdE'!$B$6:$M$6,0)),0))</f>
        <v/>
      </c>
      <c r="M144" s="13">
        <f>IF(H144="","",IF($D$18="LEGAL",0,$D$10))</f>
        <v/>
      </c>
      <c r="N144" s="13">
        <f>IF(H144="","",IF(AND($D$14="Sí",(L144+M144)&lt;0),0,L144+M144))</f>
        <v/>
      </c>
      <c r="O144" s="199">
        <f>IF(H144="","",$D$5*N144*J144/36500)</f>
        <v/>
      </c>
      <c r="P144" s="199">
        <f>IF(H144="","",$D$5+SUM($O$5:O144))</f>
        <v/>
      </c>
    </row>
    <row r="145">
      <c r="G145" s="11">
        <f>IF(H145="","",ROW()-4)</f>
        <v/>
      </c>
      <c r="H145" s="12">
        <f>IF(OR(I144="",I144&gt;=$D$7),"",I144)</f>
        <v/>
      </c>
      <c r="I145" s="12">
        <f>IF(H145="","",MIN(IF($D$18="LEGAL",DATE(YEAR(H145)+1,1,1),EDATE($D$12,$D$11*(INT((((YEAR(H145)-YEAR($D$12))*12+(MONTH(H145)-MONTH($D$12))-IF(DAY(H145)&lt;DAY($D$12),1,0))/$D$11))+1))),$D$7))</f>
        <v/>
      </c>
      <c r="J145" s="11">
        <f>IF(H145="","",I145-H145)</f>
        <v/>
      </c>
      <c r="K145" s="12">
        <f>IF(H145="","",IF($D$18="LEGAL",H145,EDATE(H145,-$D$13)))</f>
        <v/>
      </c>
      <c r="L145" s="13">
        <f>IF(H145="","",IFERROR(INDEX('Tipos BdE'!$B$7:$M$336,MATCH(DATE(YEAR(K145),MONTH(K145),1),'Tipos BdE'!$A$7:$A$336,1),MATCH($D$9,'Tipos BdE'!$B$6:$M$6,0)),0))</f>
        <v/>
      </c>
      <c r="M145" s="13">
        <f>IF(H145="","",IF($D$18="LEGAL",0,$D$10))</f>
        <v/>
      </c>
      <c r="N145" s="13">
        <f>IF(H145="","",IF(AND($D$14="Sí",(L145+M145)&lt;0),0,L145+M145))</f>
        <v/>
      </c>
      <c r="O145" s="199">
        <f>IF(H145="","",$D$5*N145*J145/36500)</f>
        <v/>
      </c>
      <c r="P145" s="199">
        <f>IF(H145="","",$D$5+SUM($O$5:O145))</f>
        <v/>
      </c>
    </row>
    <row r="146">
      <c r="G146" s="11">
        <f>IF(H146="","",ROW()-4)</f>
        <v/>
      </c>
      <c r="H146" s="12">
        <f>IF(OR(I145="",I145&gt;=$D$7),"",I145)</f>
        <v/>
      </c>
      <c r="I146" s="12">
        <f>IF(H146="","",MIN(IF($D$18="LEGAL",DATE(YEAR(H146)+1,1,1),EDATE($D$12,$D$11*(INT((((YEAR(H146)-YEAR($D$12))*12+(MONTH(H146)-MONTH($D$12))-IF(DAY(H146)&lt;DAY($D$12),1,0))/$D$11))+1))),$D$7))</f>
        <v/>
      </c>
      <c r="J146" s="11">
        <f>IF(H146="","",I146-H146)</f>
        <v/>
      </c>
      <c r="K146" s="12">
        <f>IF(H146="","",IF($D$18="LEGAL",H146,EDATE(H146,-$D$13)))</f>
        <v/>
      </c>
      <c r="L146" s="13">
        <f>IF(H146="","",IFERROR(INDEX('Tipos BdE'!$B$7:$M$336,MATCH(DATE(YEAR(K146),MONTH(K146),1),'Tipos BdE'!$A$7:$A$336,1),MATCH($D$9,'Tipos BdE'!$B$6:$M$6,0)),0))</f>
        <v/>
      </c>
      <c r="M146" s="13">
        <f>IF(H146="","",IF($D$18="LEGAL",0,$D$10))</f>
        <v/>
      </c>
      <c r="N146" s="13">
        <f>IF(H146="","",IF(AND($D$14="Sí",(L146+M146)&lt;0),0,L146+M146))</f>
        <v/>
      </c>
      <c r="O146" s="199">
        <f>IF(H146="","",$D$5*N146*J146/36500)</f>
        <v/>
      </c>
      <c r="P146" s="199">
        <f>IF(H146="","",$D$5+SUM($O$5:O146))</f>
        <v/>
      </c>
    </row>
    <row r="147">
      <c r="G147" s="11">
        <f>IF(H147="","",ROW()-4)</f>
        <v/>
      </c>
      <c r="H147" s="12">
        <f>IF(OR(I146="",I146&gt;=$D$7),"",I146)</f>
        <v/>
      </c>
      <c r="I147" s="12">
        <f>IF(H147="","",MIN(IF($D$18="LEGAL",DATE(YEAR(H147)+1,1,1),EDATE($D$12,$D$11*(INT((((YEAR(H147)-YEAR($D$12))*12+(MONTH(H147)-MONTH($D$12))-IF(DAY(H147)&lt;DAY($D$12),1,0))/$D$11))+1))),$D$7))</f>
        <v/>
      </c>
      <c r="J147" s="11">
        <f>IF(H147="","",I147-H147)</f>
        <v/>
      </c>
      <c r="K147" s="12">
        <f>IF(H147="","",IF($D$18="LEGAL",H147,EDATE(H147,-$D$13)))</f>
        <v/>
      </c>
      <c r="L147" s="13">
        <f>IF(H147="","",IFERROR(INDEX('Tipos BdE'!$B$7:$M$336,MATCH(DATE(YEAR(K147),MONTH(K147),1),'Tipos BdE'!$A$7:$A$336,1),MATCH($D$9,'Tipos BdE'!$B$6:$M$6,0)),0))</f>
        <v/>
      </c>
      <c r="M147" s="13">
        <f>IF(H147="","",IF($D$18="LEGAL",0,$D$10))</f>
        <v/>
      </c>
      <c r="N147" s="13">
        <f>IF(H147="","",IF(AND($D$14="Sí",(L147+M147)&lt;0),0,L147+M147))</f>
        <v/>
      </c>
      <c r="O147" s="199">
        <f>IF(H147="","",$D$5*N147*J147/36500)</f>
        <v/>
      </c>
      <c r="P147" s="199">
        <f>IF(H147="","",$D$5+SUM($O$5:O147))</f>
        <v/>
      </c>
    </row>
    <row r="148">
      <c r="G148" s="11">
        <f>IF(H148="","",ROW()-4)</f>
        <v/>
      </c>
      <c r="H148" s="12">
        <f>IF(OR(I147="",I147&gt;=$D$7),"",I147)</f>
        <v/>
      </c>
      <c r="I148" s="12">
        <f>IF(H148="","",MIN(IF($D$18="LEGAL",DATE(YEAR(H148)+1,1,1),EDATE($D$12,$D$11*(INT((((YEAR(H148)-YEAR($D$12))*12+(MONTH(H148)-MONTH($D$12))-IF(DAY(H148)&lt;DAY($D$12),1,0))/$D$11))+1))),$D$7))</f>
        <v/>
      </c>
      <c r="J148" s="11">
        <f>IF(H148="","",I148-H148)</f>
        <v/>
      </c>
      <c r="K148" s="12">
        <f>IF(H148="","",IF($D$18="LEGAL",H148,EDATE(H148,-$D$13)))</f>
        <v/>
      </c>
      <c r="L148" s="13">
        <f>IF(H148="","",IFERROR(INDEX('Tipos BdE'!$B$7:$M$336,MATCH(DATE(YEAR(K148),MONTH(K148),1),'Tipos BdE'!$A$7:$A$336,1),MATCH($D$9,'Tipos BdE'!$B$6:$M$6,0)),0))</f>
        <v/>
      </c>
      <c r="M148" s="13">
        <f>IF(H148="","",IF($D$18="LEGAL",0,$D$10))</f>
        <v/>
      </c>
      <c r="N148" s="13">
        <f>IF(H148="","",IF(AND($D$14="Sí",(L148+M148)&lt;0),0,L148+M148))</f>
        <v/>
      </c>
      <c r="O148" s="199">
        <f>IF(H148="","",$D$5*N148*J148/36500)</f>
        <v/>
      </c>
      <c r="P148" s="199">
        <f>IF(H148="","",$D$5+SUM($O$5:O148))</f>
        <v/>
      </c>
    </row>
    <row r="149">
      <c r="G149" s="11">
        <f>IF(H149="","",ROW()-4)</f>
        <v/>
      </c>
      <c r="H149" s="12">
        <f>IF(OR(I148="",I148&gt;=$D$7),"",I148)</f>
        <v/>
      </c>
      <c r="I149" s="12">
        <f>IF(H149="","",MIN(IF($D$18="LEGAL",DATE(YEAR(H149)+1,1,1),EDATE($D$12,$D$11*(INT((((YEAR(H149)-YEAR($D$12))*12+(MONTH(H149)-MONTH($D$12))-IF(DAY(H149)&lt;DAY($D$12),1,0))/$D$11))+1))),$D$7))</f>
        <v/>
      </c>
      <c r="J149" s="11">
        <f>IF(H149="","",I149-H149)</f>
        <v/>
      </c>
      <c r="K149" s="12">
        <f>IF(H149="","",IF($D$18="LEGAL",H149,EDATE(H149,-$D$13)))</f>
        <v/>
      </c>
      <c r="L149" s="13">
        <f>IF(H149="","",IFERROR(INDEX('Tipos BdE'!$B$7:$M$336,MATCH(DATE(YEAR(K149),MONTH(K149),1),'Tipos BdE'!$A$7:$A$336,1),MATCH($D$9,'Tipos BdE'!$B$6:$M$6,0)),0))</f>
        <v/>
      </c>
      <c r="M149" s="13">
        <f>IF(H149="","",IF($D$18="LEGAL",0,$D$10))</f>
        <v/>
      </c>
      <c r="N149" s="13">
        <f>IF(H149="","",IF(AND($D$14="Sí",(L149+M149)&lt;0),0,L149+M149))</f>
        <v/>
      </c>
      <c r="O149" s="199">
        <f>IF(H149="","",$D$5*N149*J149/36500)</f>
        <v/>
      </c>
      <c r="P149" s="199">
        <f>IF(H149="","",$D$5+SUM($O$5:O149))</f>
        <v/>
      </c>
    </row>
    <row r="150">
      <c r="G150" s="11">
        <f>IF(H150="","",ROW()-4)</f>
        <v/>
      </c>
      <c r="H150" s="12">
        <f>IF(OR(I149="",I149&gt;=$D$7),"",I149)</f>
        <v/>
      </c>
      <c r="I150" s="12">
        <f>IF(H150="","",MIN(IF($D$18="LEGAL",DATE(YEAR(H150)+1,1,1),EDATE($D$12,$D$11*(INT((((YEAR(H150)-YEAR($D$12))*12+(MONTH(H150)-MONTH($D$12))-IF(DAY(H150)&lt;DAY($D$12),1,0))/$D$11))+1))),$D$7))</f>
        <v/>
      </c>
      <c r="J150" s="11">
        <f>IF(H150="","",I150-H150)</f>
        <v/>
      </c>
      <c r="K150" s="12">
        <f>IF(H150="","",IF($D$18="LEGAL",H150,EDATE(H150,-$D$13)))</f>
        <v/>
      </c>
      <c r="L150" s="13">
        <f>IF(H150="","",IFERROR(INDEX('Tipos BdE'!$B$7:$M$336,MATCH(DATE(YEAR(K150),MONTH(K150),1),'Tipos BdE'!$A$7:$A$336,1),MATCH($D$9,'Tipos BdE'!$B$6:$M$6,0)),0))</f>
        <v/>
      </c>
      <c r="M150" s="13">
        <f>IF(H150="","",IF($D$18="LEGAL",0,$D$10))</f>
        <v/>
      </c>
      <c r="N150" s="13">
        <f>IF(H150="","",IF(AND($D$14="Sí",(L150+M150)&lt;0),0,L150+M150))</f>
        <v/>
      </c>
      <c r="O150" s="199">
        <f>IF(H150="","",$D$5*N150*J150/36500)</f>
        <v/>
      </c>
      <c r="P150" s="199">
        <f>IF(H150="","",$D$5+SUM($O$5:O150))</f>
        <v/>
      </c>
    </row>
    <row r="151">
      <c r="G151" s="11">
        <f>IF(H151="","",ROW()-4)</f>
        <v/>
      </c>
      <c r="H151" s="12">
        <f>IF(OR(I150="",I150&gt;=$D$7),"",I150)</f>
        <v/>
      </c>
      <c r="I151" s="12">
        <f>IF(H151="","",MIN(IF($D$18="LEGAL",DATE(YEAR(H151)+1,1,1),EDATE($D$12,$D$11*(INT((((YEAR(H151)-YEAR($D$12))*12+(MONTH(H151)-MONTH($D$12))-IF(DAY(H151)&lt;DAY($D$12),1,0))/$D$11))+1))),$D$7))</f>
        <v/>
      </c>
      <c r="J151" s="11">
        <f>IF(H151="","",I151-H151)</f>
        <v/>
      </c>
      <c r="K151" s="12">
        <f>IF(H151="","",IF($D$18="LEGAL",H151,EDATE(H151,-$D$13)))</f>
        <v/>
      </c>
      <c r="L151" s="13">
        <f>IF(H151="","",IFERROR(INDEX('Tipos BdE'!$B$7:$M$336,MATCH(DATE(YEAR(K151),MONTH(K151),1),'Tipos BdE'!$A$7:$A$336,1),MATCH($D$9,'Tipos BdE'!$B$6:$M$6,0)),0))</f>
        <v/>
      </c>
      <c r="M151" s="13">
        <f>IF(H151="","",IF($D$18="LEGAL",0,$D$10))</f>
        <v/>
      </c>
      <c r="N151" s="13">
        <f>IF(H151="","",IF(AND($D$14="Sí",(L151+M151)&lt;0),0,L151+M151))</f>
        <v/>
      </c>
      <c r="O151" s="199">
        <f>IF(H151="","",$D$5*N151*J151/36500)</f>
        <v/>
      </c>
      <c r="P151" s="199">
        <f>IF(H151="","",$D$5+SUM($O$5:O151))</f>
        <v/>
      </c>
    </row>
    <row r="152">
      <c r="G152" s="11">
        <f>IF(H152="","",ROW()-4)</f>
        <v/>
      </c>
      <c r="H152" s="12">
        <f>IF(OR(I151="",I151&gt;=$D$7),"",I151)</f>
        <v/>
      </c>
      <c r="I152" s="12">
        <f>IF(H152="","",MIN(IF($D$18="LEGAL",DATE(YEAR(H152)+1,1,1),EDATE($D$12,$D$11*(INT((((YEAR(H152)-YEAR($D$12))*12+(MONTH(H152)-MONTH($D$12))-IF(DAY(H152)&lt;DAY($D$12),1,0))/$D$11))+1))),$D$7))</f>
        <v/>
      </c>
      <c r="J152" s="11">
        <f>IF(H152="","",I152-H152)</f>
        <v/>
      </c>
      <c r="K152" s="12">
        <f>IF(H152="","",IF($D$18="LEGAL",H152,EDATE(H152,-$D$13)))</f>
        <v/>
      </c>
      <c r="L152" s="13">
        <f>IF(H152="","",IFERROR(INDEX('Tipos BdE'!$B$7:$M$336,MATCH(DATE(YEAR(K152),MONTH(K152),1),'Tipos BdE'!$A$7:$A$336,1),MATCH($D$9,'Tipos BdE'!$B$6:$M$6,0)),0))</f>
        <v/>
      </c>
      <c r="M152" s="13">
        <f>IF(H152="","",IF($D$18="LEGAL",0,$D$10))</f>
        <v/>
      </c>
      <c r="N152" s="13">
        <f>IF(H152="","",IF(AND($D$14="Sí",(L152+M152)&lt;0),0,L152+M152))</f>
        <v/>
      </c>
      <c r="O152" s="199">
        <f>IF(H152="","",$D$5*N152*J152/36500)</f>
        <v/>
      </c>
      <c r="P152" s="199">
        <f>IF(H152="","",$D$5+SUM($O$5:O152))</f>
        <v/>
      </c>
    </row>
    <row r="153">
      <c r="G153" s="11">
        <f>IF(H153="","",ROW()-4)</f>
        <v/>
      </c>
      <c r="H153" s="12">
        <f>IF(OR(I152="",I152&gt;=$D$7),"",I152)</f>
        <v/>
      </c>
      <c r="I153" s="12">
        <f>IF(H153="","",MIN(IF($D$18="LEGAL",DATE(YEAR(H153)+1,1,1),EDATE($D$12,$D$11*(INT((((YEAR(H153)-YEAR($D$12))*12+(MONTH(H153)-MONTH($D$12))-IF(DAY(H153)&lt;DAY($D$12),1,0))/$D$11))+1))),$D$7))</f>
        <v/>
      </c>
      <c r="J153" s="11">
        <f>IF(H153="","",I153-H153)</f>
        <v/>
      </c>
      <c r="K153" s="12">
        <f>IF(H153="","",IF($D$18="LEGAL",H153,EDATE(H153,-$D$13)))</f>
        <v/>
      </c>
      <c r="L153" s="13">
        <f>IF(H153="","",IFERROR(INDEX('Tipos BdE'!$B$7:$M$336,MATCH(DATE(YEAR(K153),MONTH(K153),1),'Tipos BdE'!$A$7:$A$336,1),MATCH($D$9,'Tipos BdE'!$B$6:$M$6,0)),0))</f>
        <v/>
      </c>
      <c r="M153" s="13">
        <f>IF(H153="","",IF($D$18="LEGAL",0,$D$10))</f>
        <v/>
      </c>
      <c r="N153" s="13">
        <f>IF(H153="","",IF(AND($D$14="Sí",(L153+M153)&lt;0),0,L153+M153))</f>
        <v/>
      </c>
      <c r="O153" s="199">
        <f>IF(H153="","",$D$5*N153*J153/36500)</f>
        <v/>
      </c>
      <c r="P153" s="199">
        <f>IF(H153="","",$D$5+SUM($O$5:O153))</f>
        <v/>
      </c>
    </row>
    <row r="154">
      <c r="G154" s="11">
        <f>IF(H154="","",ROW()-4)</f>
        <v/>
      </c>
      <c r="H154" s="12">
        <f>IF(OR(I153="",I153&gt;=$D$7),"",I153)</f>
        <v/>
      </c>
      <c r="I154" s="12">
        <f>IF(H154="","",MIN(IF($D$18="LEGAL",DATE(YEAR(H154)+1,1,1),EDATE($D$12,$D$11*(INT((((YEAR(H154)-YEAR($D$12))*12+(MONTH(H154)-MONTH($D$12))-IF(DAY(H154)&lt;DAY($D$12),1,0))/$D$11))+1))),$D$7))</f>
        <v/>
      </c>
      <c r="J154" s="11">
        <f>IF(H154="","",I154-H154)</f>
        <v/>
      </c>
      <c r="K154" s="12">
        <f>IF(H154="","",IF($D$18="LEGAL",H154,EDATE(H154,-$D$13)))</f>
        <v/>
      </c>
      <c r="L154" s="13">
        <f>IF(H154="","",IFERROR(INDEX('Tipos BdE'!$B$7:$M$336,MATCH(DATE(YEAR(K154),MONTH(K154),1),'Tipos BdE'!$A$7:$A$336,1),MATCH($D$9,'Tipos BdE'!$B$6:$M$6,0)),0))</f>
        <v/>
      </c>
      <c r="M154" s="13">
        <f>IF(H154="","",IF($D$18="LEGAL",0,$D$10))</f>
        <v/>
      </c>
      <c r="N154" s="13">
        <f>IF(H154="","",IF(AND($D$14="Sí",(L154+M154)&lt;0),0,L154+M154))</f>
        <v/>
      </c>
      <c r="O154" s="199">
        <f>IF(H154="","",$D$5*N154*J154/36500)</f>
        <v/>
      </c>
      <c r="P154" s="199">
        <f>IF(H154="","",$D$5+SUM($O$5:O154))</f>
        <v/>
      </c>
    </row>
    <row r="155">
      <c r="G155" s="11">
        <f>IF(H155="","",ROW()-4)</f>
        <v/>
      </c>
      <c r="H155" s="12">
        <f>IF(OR(I154="",I154&gt;=$D$7),"",I154)</f>
        <v/>
      </c>
      <c r="I155" s="12">
        <f>IF(H155="","",MIN(IF($D$18="LEGAL",DATE(YEAR(H155)+1,1,1),EDATE($D$12,$D$11*(INT((((YEAR(H155)-YEAR($D$12))*12+(MONTH(H155)-MONTH($D$12))-IF(DAY(H155)&lt;DAY($D$12),1,0))/$D$11))+1))),$D$7))</f>
        <v/>
      </c>
      <c r="J155" s="11">
        <f>IF(H155="","",I155-H155)</f>
        <v/>
      </c>
      <c r="K155" s="12">
        <f>IF(H155="","",IF($D$18="LEGAL",H155,EDATE(H155,-$D$13)))</f>
        <v/>
      </c>
      <c r="L155" s="13">
        <f>IF(H155="","",IFERROR(INDEX('Tipos BdE'!$B$7:$M$336,MATCH(DATE(YEAR(K155),MONTH(K155),1),'Tipos BdE'!$A$7:$A$336,1),MATCH($D$9,'Tipos BdE'!$B$6:$M$6,0)),0))</f>
        <v/>
      </c>
      <c r="M155" s="13">
        <f>IF(H155="","",IF($D$18="LEGAL",0,$D$10))</f>
        <v/>
      </c>
      <c r="N155" s="13">
        <f>IF(H155="","",IF(AND($D$14="Sí",(L155+M155)&lt;0),0,L155+M155))</f>
        <v/>
      </c>
      <c r="O155" s="199">
        <f>IF(H155="","",$D$5*N155*J155/36500)</f>
        <v/>
      </c>
      <c r="P155" s="199">
        <f>IF(H155="","",$D$5+SUM($O$5:O155))</f>
        <v/>
      </c>
    </row>
    <row r="156">
      <c r="G156" s="11">
        <f>IF(H156="","",ROW()-4)</f>
        <v/>
      </c>
      <c r="H156" s="12">
        <f>IF(OR(I155="",I155&gt;=$D$7),"",I155)</f>
        <v/>
      </c>
      <c r="I156" s="12">
        <f>IF(H156="","",MIN(IF($D$18="LEGAL",DATE(YEAR(H156)+1,1,1),EDATE($D$12,$D$11*(INT((((YEAR(H156)-YEAR($D$12))*12+(MONTH(H156)-MONTH($D$12))-IF(DAY(H156)&lt;DAY($D$12),1,0))/$D$11))+1))),$D$7))</f>
        <v/>
      </c>
      <c r="J156" s="11">
        <f>IF(H156="","",I156-H156)</f>
        <v/>
      </c>
      <c r="K156" s="12">
        <f>IF(H156="","",IF($D$18="LEGAL",H156,EDATE(H156,-$D$13)))</f>
        <v/>
      </c>
      <c r="L156" s="13">
        <f>IF(H156="","",IFERROR(INDEX('Tipos BdE'!$B$7:$M$336,MATCH(DATE(YEAR(K156),MONTH(K156),1),'Tipos BdE'!$A$7:$A$336,1),MATCH($D$9,'Tipos BdE'!$B$6:$M$6,0)),0))</f>
        <v/>
      </c>
      <c r="M156" s="13">
        <f>IF(H156="","",IF($D$18="LEGAL",0,$D$10))</f>
        <v/>
      </c>
      <c r="N156" s="13">
        <f>IF(H156="","",IF(AND($D$14="Sí",(L156+M156)&lt;0),0,L156+M156))</f>
        <v/>
      </c>
      <c r="O156" s="199">
        <f>IF(H156="","",$D$5*N156*J156/36500)</f>
        <v/>
      </c>
      <c r="P156" s="199">
        <f>IF(H156="","",$D$5+SUM($O$5:O156))</f>
        <v/>
      </c>
    </row>
    <row r="157">
      <c r="G157" s="11">
        <f>IF(H157="","",ROW()-4)</f>
        <v/>
      </c>
      <c r="H157" s="12">
        <f>IF(OR(I156="",I156&gt;=$D$7),"",I156)</f>
        <v/>
      </c>
      <c r="I157" s="12">
        <f>IF(H157="","",MIN(IF($D$18="LEGAL",DATE(YEAR(H157)+1,1,1),EDATE($D$12,$D$11*(INT((((YEAR(H157)-YEAR($D$12))*12+(MONTH(H157)-MONTH($D$12))-IF(DAY(H157)&lt;DAY($D$12),1,0))/$D$11))+1))),$D$7))</f>
        <v/>
      </c>
      <c r="J157" s="11">
        <f>IF(H157="","",I157-H157)</f>
        <v/>
      </c>
      <c r="K157" s="12">
        <f>IF(H157="","",IF($D$18="LEGAL",H157,EDATE(H157,-$D$13)))</f>
        <v/>
      </c>
      <c r="L157" s="13">
        <f>IF(H157="","",IFERROR(INDEX('Tipos BdE'!$B$7:$M$336,MATCH(DATE(YEAR(K157),MONTH(K157),1),'Tipos BdE'!$A$7:$A$336,1),MATCH($D$9,'Tipos BdE'!$B$6:$M$6,0)),0))</f>
        <v/>
      </c>
      <c r="M157" s="13">
        <f>IF(H157="","",IF($D$18="LEGAL",0,$D$10))</f>
        <v/>
      </c>
      <c r="N157" s="13">
        <f>IF(H157="","",IF(AND($D$14="Sí",(L157+M157)&lt;0),0,L157+M157))</f>
        <v/>
      </c>
      <c r="O157" s="199">
        <f>IF(H157="","",$D$5*N157*J157/36500)</f>
        <v/>
      </c>
      <c r="P157" s="199">
        <f>IF(H157="","",$D$5+SUM($O$5:O157))</f>
        <v/>
      </c>
    </row>
    <row r="158">
      <c r="G158" s="11">
        <f>IF(H158="","",ROW()-4)</f>
        <v/>
      </c>
      <c r="H158" s="12">
        <f>IF(OR(I157="",I157&gt;=$D$7),"",I157)</f>
        <v/>
      </c>
      <c r="I158" s="12">
        <f>IF(H158="","",MIN(IF($D$18="LEGAL",DATE(YEAR(H158)+1,1,1),EDATE($D$12,$D$11*(INT((((YEAR(H158)-YEAR($D$12))*12+(MONTH(H158)-MONTH($D$12))-IF(DAY(H158)&lt;DAY($D$12),1,0))/$D$11))+1))),$D$7))</f>
        <v/>
      </c>
      <c r="J158" s="11">
        <f>IF(H158="","",I158-H158)</f>
        <v/>
      </c>
      <c r="K158" s="12">
        <f>IF(H158="","",IF($D$18="LEGAL",H158,EDATE(H158,-$D$13)))</f>
        <v/>
      </c>
      <c r="L158" s="13">
        <f>IF(H158="","",IFERROR(INDEX('Tipos BdE'!$B$7:$M$336,MATCH(DATE(YEAR(K158),MONTH(K158),1),'Tipos BdE'!$A$7:$A$336,1),MATCH($D$9,'Tipos BdE'!$B$6:$M$6,0)),0))</f>
        <v/>
      </c>
      <c r="M158" s="13">
        <f>IF(H158="","",IF($D$18="LEGAL",0,$D$10))</f>
        <v/>
      </c>
      <c r="N158" s="13">
        <f>IF(H158="","",IF(AND($D$14="Sí",(L158+M158)&lt;0),0,L158+M158))</f>
        <v/>
      </c>
      <c r="O158" s="199">
        <f>IF(H158="","",$D$5*N158*J158/36500)</f>
        <v/>
      </c>
      <c r="P158" s="199">
        <f>IF(H158="","",$D$5+SUM($O$5:O158))</f>
        <v/>
      </c>
    </row>
    <row r="159">
      <c r="G159" s="11">
        <f>IF(H159="","",ROW()-4)</f>
        <v/>
      </c>
      <c r="H159" s="12">
        <f>IF(OR(I158="",I158&gt;=$D$7),"",I158)</f>
        <v/>
      </c>
      <c r="I159" s="12">
        <f>IF(H159="","",MIN(IF($D$18="LEGAL",DATE(YEAR(H159)+1,1,1),EDATE($D$12,$D$11*(INT((((YEAR(H159)-YEAR($D$12))*12+(MONTH(H159)-MONTH($D$12))-IF(DAY(H159)&lt;DAY($D$12),1,0))/$D$11))+1))),$D$7))</f>
        <v/>
      </c>
      <c r="J159" s="11">
        <f>IF(H159="","",I159-H159)</f>
        <v/>
      </c>
      <c r="K159" s="12">
        <f>IF(H159="","",IF($D$18="LEGAL",H159,EDATE(H159,-$D$13)))</f>
        <v/>
      </c>
      <c r="L159" s="13">
        <f>IF(H159="","",IFERROR(INDEX('Tipos BdE'!$B$7:$M$336,MATCH(DATE(YEAR(K159),MONTH(K159),1),'Tipos BdE'!$A$7:$A$336,1),MATCH($D$9,'Tipos BdE'!$B$6:$M$6,0)),0))</f>
        <v/>
      </c>
      <c r="M159" s="13">
        <f>IF(H159="","",IF($D$18="LEGAL",0,$D$10))</f>
        <v/>
      </c>
      <c r="N159" s="13">
        <f>IF(H159="","",IF(AND($D$14="Sí",(L159+M159)&lt;0),0,L159+M159))</f>
        <v/>
      </c>
      <c r="O159" s="199">
        <f>IF(H159="","",$D$5*N159*J159/36500)</f>
        <v/>
      </c>
      <c r="P159" s="199">
        <f>IF(H159="","",$D$5+SUM($O$5:O159))</f>
        <v/>
      </c>
    </row>
    <row r="160">
      <c r="G160" s="11">
        <f>IF(H160="","",ROW()-4)</f>
        <v/>
      </c>
      <c r="H160" s="12">
        <f>IF(OR(I159="",I159&gt;=$D$7),"",I159)</f>
        <v/>
      </c>
      <c r="I160" s="12">
        <f>IF(H160="","",MIN(IF($D$18="LEGAL",DATE(YEAR(H160)+1,1,1),EDATE($D$12,$D$11*(INT((((YEAR(H160)-YEAR($D$12))*12+(MONTH(H160)-MONTH($D$12))-IF(DAY(H160)&lt;DAY($D$12),1,0))/$D$11))+1))),$D$7))</f>
        <v/>
      </c>
      <c r="J160" s="11">
        <f>IF(H160="","",I160-H160)</f>
        <v/>
      </c>
      <c r="K160" s="12">
        <f>IF(H160="","",IF($D$18="LEGAL",H160,EDATE(H160,-$D$13)))</f>
        <v/>
      </c>
      <c r="L160" s="13">
        <f>IF(H160="","",IFERROR(INDEX('Tipos BdE'!$B$7:$M$336,MATCH(DATE(YEAR(K160),MONTH(K160),1),'Tipos BdE'!$A$7:$A$336,1),MATCH($D$9,'Tipos BdE'!$B$6:$M$6,0)),0))</f>
        <v/>
      </c>
      <c r="M160" s="13">
        <f>IF(H160="","",IF($D$18="LEGAL",0,$D$10))</f>
        <v/>
      </c>
      <c r="N160" s="13">
        <f>IF(H160="","",IF(AND($D$14="Sí",(L160+M160)&lt;0),0,L160+M160))</f>
        <v/>
      </c>
      <c r="O160" s="199">
        <f>IF(H160="","",$D$5*N160*J160/36500)</f>
        <v/>
      </c>
      <c r="P160" s="199">
        <f>IF(H160="","",$D$5+SUM($O$5:O160))</f>
        <v/>
      </c>
    </row>
    <row r="161">
      <c r="G161" s="11">
        <f>IF(H161="","",ROW()-4)</f>
        <v/>
      </c>
      <c r="H161" s="12">
        <f>IF(OR(I160="",I160&gt;=$D$7),"",I160)</f>
        <v/>
      </c>
      <c r="I161" s="12">
        <f>IF(H161="","",MIN(IF($D$18="LEGAL",DATE(YEAR(H161)+1,1,1),EDATE($D$12,$D$11*(INT((((YEAR(H161)-YEAR($D$12))*12+(MONTH(H161)-MONTH($D$12))-IF(DAY(H161)&lt;DAY($D$12),1,0))/$D$11))+1))),$D$7))</f>
        <v/>
      </c>
      <c r="J161" s="11">
        <f>IF(H161="","",I161-H161)</f>
        <v/>
      </c>
      <c r="K161" s="12">
        <f>IF(H161="","",IF($D$18="LEGAL",H161,EDATE(H161,-$D$13)))</f>
        <v/>
      </c>
      <c r="L161" s="13">
        <f>IF(H161="","",IFERROR(INDEX('Tipos BdE'!$B$7:$M$336,MATCH(DATE(YEAR(K161),MONTH(K161),1),'Tipos BdE'!$A$7:$A$336,1),MATCH($D$9,'Tipos BdE'!$B$6:$M$6,0)),0))</f>
        <v/>
      </c>
      <c r="M161" s="13">
        <f>IF(H161="","",IF($D$18="LEGAL",0,$D$10))</f>
        <v/>
      </c>
      <c r="N161" s="13">
        <f>IF(H161="","",IF(AND($D$14="Sí",(L161+M161)&lt;0),0,L161+M161))</f>
        <v/>
      </c>
      <c r="O161" s="199">
        <f>IF(H161="","",$D$5*N161*J161/36500)</f>
        <v/>
      </c>
      <c r="P161" s="199">
        <f>IF(H161="","",$D$5+SUM($O$5:O161))</f>
        <v/>
      </c>
    </row>
    <row r="162">
      <c r="G162" s="11">
        <f>IF(H162="","",ROW()-4)</f>
        <v/>
      </c>
      <c r="H162" s="12">
        <f>IF(OR(I161="",I161&gt;=$D$7),"",I161)</f>
        <v/>
      </c>
      <c r="I162" s="12">
        <f>IF(H162="","",MIN(IF($D$18="LEGAL",DATE(YEAR(H162)+1,1,1),EDATE($D$12,$D$11*(INT((((YEAR(H162)-YEAR($D$12))*12+(MONTH(H162)-MONTH($D$12))-IF(DAY(H162)&lt;DAY($D$12),1,0))/$D$11))+1))),$D$7))</f>
        <v/>
      </c>
      <c r="J162" s="11">
        <f>IF(H162="","",I162-H162)</f>
        <v/>
      </c>
      <c r="K162" s="12">
        <f>IF(H162="","",IF($D$18="LEGAL",H162,EDATE(H162,-$D$13)))</f>
        <v/>
      </c>
      <c r="L162" s="13">
        <f>IF(H162="","",IFERROR(INDEX('Tipos BdE'!$B$7:$M$336,MATCH(DATE(YEAR(K162),MONTH(K162),1),'Tipos BdE'!$A$7:$A$336,1),MATCH($D$9,'Tipos BdE'!$B$6:$M$6,0)),0))</f>
        <v/>
      </c>
      <c r="M162" s="13">
        <f>IF(H162="","",IF($D$18="LEGAL",0,$D$10))</f>
        <v/>
      </c>
      <c r="N162" s="13">
        <f>IF(H162="","",IF(AND($D$14="Sí",(L162+M162)&lt;0),0,L162+M162))</f>
        <v/>
      </c>
      <c r="O162" s="199">
        <f>IF(H162="","",$D$5*N162*J162/36500)</f>
        <v/>
      </c>
      <c r="P162" s="199">
        <f>IF(H162="","",$D$5+SUM($O$5:O162))</f>
        <v/>
      </c>
    </row>
    <row r="163">
      <c r="G163" s="11">
        <f>IF(H163="","",ROW()-4)</f>
        <v/>
      </c>
      <c r="H163" s="12">
        <f>IF(OR(I162="",I162&gt;=$D$7),"",I162)</f>
        <v/>
      </c>
      <c r="I163" s="12">
        <f>IF(H163="","",MIN(IF($D$18="LEGAL",DATE(YEAR(H163)+1,1,1),EDATE($D$12,$D$11*(INT((((YEAR(H163)-YEAR($D$12))*12+(MONTH(H163)-MONTH($D$12))-IF(DAY(H163)&lt;DAY($D$12),1,0))/$D$11))+1))),$D$7))</f>
        <v/>
      </c>
      <c r="J163" s="11">
        <f>IF(H163="","",I163-H163)</f>
        <v/>
      </c>
      <c r="K163" s="12">
        <f>IF(H163="","",IF($D$18="LEGAL",H163,EDATE(H163,-$D$13)))</f>
        <v/>
      </c>
      <c r="L163" s="13">
        <f>IF(H163="","",IFERROR(INDEX('Tipos BdE'!$B$7:$M$336,MATCH(DATE(YEAR(K163),MONTH(K163),1),'Tipos BdE'!$A$7:$A$336,1),MATCH($D$9,'Tipos BdE'!$B$6:$M$6,0)),0))</f>
        <v/>
      </c>
      <c r="M163" s="13">
        <f>IF(H163="","",IF($D$18="LEGAL",0,$D$10))</f>
        <v/>
      </c>
      <c r="N163" s="13">
        <f>IF(H163="","",IF(AND($D$14="Sí",(L163+M163)&lt;0),0,L163+M163))</f>
        <v/>
      </c>
      <c r="O163" s="199">
        <f>IF(H163="","",$D$5*N163*J163/36500)</f>
        <v/>
      </c>
      <c r="P163" s="199">
        <f>IF(H163="","",$D$5+SUM($O$5:O163))</f>
        <v/>
      </c>
    </row>
    <row r="164">
      <c r="G164" s="11">
        <f>IF(H164="","",ROW()-4)</f>
        <v/>
      </c>
      <c r="H164" s="12">
        <f>IF(OR(I163="",I163&gt;=$D$7),"",I163)</f>
        <v/>
      </c>
      <c r="I164" s="12">
        <f>IF(H164="","",MIN(IF($D$18="LEGAL",DATE(YEAR(H164)+1,1,1),EDATE($D$12,$D$11*(INT((((YEAR(H164)-YEAR($D$12))*12+(MONTH(H164)-MONTH($D$12))-IF(DAY(H164)&lt;DAY($D$12),1,0))/$D$11))+1))),$D$7))</f>
        <v/>
      </c>
      <c r="J164" s="11">
        <f>IF(H164="","",I164-H164)</f>
        <v/>
      </c>
      <c r="K164" s="12">
        <f>IF(H164="","",IF($D$18="LEGAL",H164,EDATE(H164,-$D$13)))</f>
        <v/>
      </c>
      <c r="L164" s="13">
        <f>IF(H164="","",IFERROR(INDEX('Tipos BdE'!$B$7:$M$336,MATCH(DATE(YEAR(K164),MONTH(K164),1),'Tipos BdE'!$A$7:$A$336,1),MATCH($D$9,'Tipos BdE'!$B$6:$M$6,0)),0))</f>
        <v/>
      </c>
      <c r="M164" s="13">
        <f>IF(H164="","",IF($D$18="LEGAL",0,$D$10))</f>
        <v/>
      </c>
      <c r="N164" s="13">
        <f>IF(H164="","",IF(AND($D$14="Sí",(L164+M164)&lt;0),0,L164+M164))</f>
        <v/>
      </c>
      <c r="O164" s="199">
        <f>IF(H164="","",$D$5*N164*J164/36500)</f>
        <v/>
      </c>
      <c r="P164" s="199">
        <f>IF(H164="","",$D$5+SUM($O$5:O164))</f>
        <v/>
      </c>
    </row>
    <row r="165">
      <c r="G165" s="11">
        <f>IF(H165="","",ROW()-4)</f>
        <v/>
      </c>
      <c r="H165" s="12">
        <f>IF(OR(I164="",I164&gt;=$D$7),"",I164)</f>
        <v/>
      </c>
      <c r="I165" s="12">
        <f>IF(H165="","",MIN(IF($D$18="LEGAL",DATE(YEAR(H165)+1,1,1),EDATE($D$12,$D$11*(INT((((YEAR(H165)-YEAR($D$12))*12+(MONTH(H165)-MONTH($D$12))-IF(DAY(H165)&lt;DAY($D$12),1,0))/$D$11))+1))),$D$7))</f>
        <v/>
      </c>
      <c r="J165" s="11">
        <f>IF(H165="","",I165-H165)</f>
        <v/>
      </c>
      <c r="K165" s="12">
        <f>IF(H165="","",IF($D$18="LEGAL",H165,EDATE(H165,-$D$13)))</f>
        <v/>
      </c>
      <c r="L165" s="13">
        <f>IF(H165="","",IFERROR(INDEX('Tipos BdE'!$B$7:$M$336,MATCH(DATE(YEAR(K165),MONTH(K165),1),'Tipos BdE'!$A$7:$A$336,1),MATCH($D$9,'Tipos BdE'!$B$6:$M$6,0)),0))</f>
        <v/>
      </c>
      <c r="M165" s="13">
        <f>IF(H165="","",IF($D$18="LEGAL",0,$D$10))</f>
        <v/>
      </c>
      <c r="N165" s="13">
        <f>IF(H165="","",IF(AND($D$14="Sí",(L165+M165)&lt;0),0,L165+M165))</f>
        <v/>
      </c>
      <c r="O165" s="199">
        <f>IF(H165="","",$D$5*N165*J165/36500)</f>
        <v/>
      </c>
      <c r="P165" s="199">
        <f>IF(H165="","",$D$5+SUM($O$5:O165))</f>
        <v/>
      </c>
    </row>
    <row r="166">
      <c r="G166" s="11">
        <f>IF(H166="","",ROW()-4)</f>
        <v/>
      </c>
      <c r="H166" s="12">
        <f>IF(OR(I165="",I165&gt;=$D$7),"",I165)</f>
        <v/>
      </c>
      <c r="I166" s="12">
        <f>IF(H166="","",MIN(IF($D$18="LEGAL",DATE(YEAR(H166)+1,1,1),EDATE($D$12,$D$11*(INT((((YEAR(H166)-YEAR($D$12))*12+(MONTH(H166)-MONTH($D$12))-IF(DAY(H166)&lt;DAY($D$12),1,0))/$D$11))+1))),$D$7))</f>
        <v/>
      </c>
      <c r="J166" s="11">
        <f>IF(H166="","",I166-H166)</f>
        <v/>
      </c>
      <c r="K166" s="12">
        <f>IF(H166="","",IF($D$18="LEGAL",H166,EDATE(H166,-$D$13)))</f>
        <v/>
      </c>
      <c r="L166" s="13">
        <f>IF(H166="","",IFERROR(INDEX('Tipos BdE'!$B$7:$M$336,MATCH(DATE(YEAR(K166),MONTH(K166),1),'Tipos BdE'!$A$7:$A$336,1),MATCH($D$9,'Tipos BdE'!$B$6:$M$6,0)),0))</f>
        <v/>
      </c>
      <c r="M166" s="13">
        <f>IF(H166="","",IF($D$18="LEGAL",0,$D$10))</f>
        <v/>
      </c>
      <c r="N166" s="13">
        <f>IF(H166="","",IF(AND($D$14="Sí",(L166+M166)&lt;0),0,L166+M166))</f>
        <v/>
      </c>
      <c r="O166" s="199">
        <f>IF(H166="","",$D$5*N166*J166/36500)</f>
        <v/>
      </c>
      <c r="P166" s="199">
        <f>IF(H166="","",$D$5+SUM($O$5:O166))</f>
        <v/>
      </c>
    </row>
    <row r="167">
      <c r="G167" s="11">
        <f>IF(H167="","",ROW()-4)</f>
        <v/>
      </c>
      <c r="H167" s="12">
        <f>IF(OR(I166="",I166&gt;=$D$7),"",I166)</f>
        <v/>
      </c>
      <c r="I167" s="12">
        <f>IF(H167="","",MIN(IF($D$18="LEGAL",DATE(YEAR(H167)+1,1,1),EDATE($D$12,$D$11*(INT((((YEAR(H167)-YEAR($D$12))*12+(MONTH(H167)-MONTH($D$12))-IF(DAY(H167)&lt;DAY($D$12),1,0))/$D$11))+1))),$D$7))</f>
        <v/>
      </c>
      <c r="J167" s="11">
        <f>IF(H167="","",I167-H167)</f>
        <v/>
      </c>
      <c r="K167" s="12">
        <f>IF(H167="","",IF($D$18="LEGAL",H167,EDATE(H167,-$D$13)))</f>
        <v/>
      </c>
      <c r="L167" s="13">
        <f>IF(H167="","",IFERROR(INDEX('Tipos BdE'!$B$7:$M$336,MATCH(DATE(YEAR(K167),MONTH(K167),1),'Tipos BdE'!$A$7:$A$336,1),MATCH($D$9,'Tipos BdE'!$B$6:$M$6,0)),0))</f>
        <v/>
      </c>
      <c r="M167" s="13">
        <f>IF(H167="","",IF($D$18="LEGAL",0,$D$10))</f>
        <v/>
      </c>
      <c r="N167" s="13">
        <f>IF(H167="","",IF(AND($D$14="Sí",(L167+M167)&lt;0),0,L167+M167))</f>
        <v/>
      </c>
      <c r="O167" s="199">
        <f>IF(H167="","",$D$5*N167*J167/36500)</f>
        <v/>
      </c>
      <c r="P167" s="199">
        <f>IF(H167="","",$D$5+SUM($O$5:O167))</f>
        <v/>
      </c>
    </row>
    <row r="168">
      <c r="G168" s="11">
        <f>IF(H168="","",ROW()-4)</f>
        <v/>
      </c>
      <c r="H168" s="12">
        <f>IF(OR(I167="",I167&gt;=$D$7),"",I167)</f>
        <v/>
      </c>
      <c r="I168" s="12">
        <f>IF(H168="","",MIN(IF($D$18="LEGAL",DATE(YEAR(H168)+1,1,1),EDATE($D$12,$D$11*(INT((((YEAR(H168)-YEAR($D$12))*12+(MONTH(H168)-MONTH($D$12))-IF(DAY(H168)&lt;DAY($D$12),1,0))/$D$11))+1))),$D$7))</f>
        <v/>
      </c>
      <c r="J168" s="11">
        <f>IF(H168="","",I168-H168)</f>
        <v/>
      </c>
      <c r="K168" s="12">
        <f>IF(H168="","",IF($D$18="LEGAL",H168,EDATE(H168,-$D$13)))</f>
        <v/>
      </c>
      <c r="L168" s="13">
        <f>IF(H168="","",IFERROR(INDEX('Tipos BdE'!$B$7:$M$336,MATCH(DATE(YEAR(K168),MONTH(K168),1),'Tipos BdE'!$A$7:$A$336,1),MATCH($D$9,'Tipos BdE'!$B$6:$M$6,0)),0))</f>
        <v/>
      </c>
      <c r="M168" s="13">
        <f>IF(H168="","",IF($D$18="LEGAL",0,$D$10))</f>
        <v/>
      </c>
      <c r="N168" s="13">
        <f>IF(H168="","",IF(AND($D$14="Sí",(L168+M168)&lt;0),0,L168+M168))</f>
        <v/>
      </c>
      <c r="O168" s="199">
        <f>IF(H168="","",$D$5*N168*J168/36500)</f>
        <v/>
      </c>
      <c r="P168" s="199">
        <f>IF(H168="","",$D$5+SUM($O$5:O168))</f>
        <v/>
      </c>
    </row>
    <row r="169">
      <c r="G169" s="11">
        <f>IF(H169="","",ROW()-4)</f>
        <v/>
      </c>
      <c r="H169" s="12">
        <f>IF(OR(I168="",I168&gt;=$D$7),"",I168)</f>
        <v/>
      </c>
      <c r="I169" s="12">
        <f>IF(H169="","",MIN(IF($D$18="LEGAL",DATE(YEAR(H169)+1,1,1),EDATE($D$12,$D$11*(INT((((YEAR(H169)-YEAR($D$12))*12+(MONTH(H169)-MONTH($D$12))-IF(DAY(H169)&lt;DAY($D$12),1,0))/$D$11))+1))),$D$7))</f>
        <v/>
      </c>
      <c r="J169" s="11">
        <f>IF(H169="","",I169-H169)</f>
        <v/>
      </c>
      <c r="K169" s="12">
        <f>IF(H169="","",IF($D$18="LEGAL",H169,EDATE(H169,-$D$13)))</f>
        <v/>
      </c>
      <c r="L169" s="13">
        <f>IF(H169="","",IFERROR(INDEX('Tipos BdE'!$B$7:$M$336,MATCH(DATE(YEAR(K169),MONTH(K169),1),'Tipos BdE'!$A$7:$A$336,1),MATCH($D$9,'Tipos BdE'!$B$6:$M$6,0)),0))</f>
        <v/>
      </c>
      <c r="M169" s="13">
        <f>IF(H169="","",IF($D$18="LEGAL",0,$D$10))</f>
        <v/>
      </c>
      <c r="N169" s="13">
        <f>IF(H169="","",IF(AND($D$14="Sí",(L169+M169)&lt;0),0,L169+M169))</f>
        <v/>
      </c>
      <c r="O169" s="199">
        <f>IF(H169="","",$D$5*N169*J169/36500)</f>
        <v/>
      </c>
      <c r="P169" s="199">
        <f>IF(H169="","",$D$5+SUM($O$5:O169))</f>
        <v/>
      </c>
    </row>
    <row r="170">
      <c r="G170" s="11">
        <f>IF(H170="","",ROW()-4)</f>
        <v/>
      </c>
      <c r="H170" s="12">
        <f>IF(OR(I169="",I169&gt;=$D$7),"",I169)</f>
        <v/>
      </c>
      <c r="I170" s="12">
        <f>IF(H170="","",MIN(IF($D$18="LEGAL",DATE(YEAR(H170)+1,1,1),EDATE($D$12,$D$11*(INT((((YEAR(H170)-YEAR($D$12))*12+(MONTH(H170)-MONTH($D$12))-IF(DAY(H170)&lt;DAY($D$12),1,0))/$D$11))+1))),$D$7))</f>
        <v/>
      </c>
      <c r="J170" s="11">
        <f>IF(H170="","",I170-H170)</f>
        <v/>
      </c>
      <c r="K170" s="12">
        <f>IF(H170="","",IF($D$18="LEGAL",H170,EDATE(H170,-$D$13)))</f>
        <v/>
      </c>
      <c r="L170" s="13">
        <f>IF(H170="","",IFERROR(INDEX('Tipos BdE'!$B$7:$M$336,MATCH(DATE(YEAR(K170),MONTH(K170),1),'Tipos BdE'!$A$7:$A$336,1),MATCH($D$9,'Tipos BdE'!$B$6:$M$6,0)),0))</f>
        <v/>
      </c>
      <c r="M170" s="13">
        <f>IF(H170="","",IF($D$18="LEGAL",0,$D$10))</f>
        <v/>
      </c>
      <c r="N170" s="13">
        <f>IF(H170="","",IF(AND($D$14="Sí",(L170+M170)&lt;0),0,L170+M170))</f>
        <v/>
      </c>
      <c r="O170" s="199">
        <f>IF(H170="","",$D$5*N170*J170/36500)</f>
        <v/>
      </c>
      <c r="P170" s="199">
        <f>IF(H170="","",$D$5+SUM($O$5:O170))</f>
        <v/>
      </c>
    </row>
    <row r="171">
      <c r="G171" s="11">
        <f>IF(H171="","",ROW()-4)</f>
        <v/>
      </c>
      <c r="H171" s="12">
        <f>IF(OR(I170="",I170&gt;=$D$7),"",I170)</f>
        <v/>
      </c>
      <c r="I171" s="12">
        <f>IF(H171="","",MIN(IF($D$18="LEGAL",DATE(YEAR(H171)+1,1,1),EDATE($D$12,$D$11*(INT((((YEAR(H171)-YEAR($D$12))*12+(MONTH(H171)-MONTH($D$12))-IF(DAY(H171)&lt;DAY($D$12),1,0))/$D$11))+1))),$D$7))</f>
        <v/>
      </c>
      <c r="J171" s="11">
        <f>IF(H171="","",I171-H171)</f>
        <v/>
      </c>
      <c r="K171" s="12">
        <f>IF(H171="","",IF($D$18="LEGAL",H171,EDATE(H171,-$D$13)))</f>
        <v/>
      </c>
      <c r="L171" s="13">
        <f>IF(H171="","",IFERROR(INDEX('Tipos BdE'!$B$7:$M$336,MATCH(DATE(YEAR(K171),MONTH(K171),1),'Tipos BdE'!$A$7:$A$336,1),MATCH($D$9,'Tipos BdE'!$B$6:$M$6,0)),0))</f>
        <v/>
      </c>
      <c r="M171" s="13">
        <f>IF(H171="","",IF($D$18="LEGAL",0,$D$10))</f>
        <v/>
      </c>
      <c r="N171" s="13">
        <f>IF(H171="","",IF(AND($D$14="Sí",(L171+M171)&lt;0),0,L171+M171))</f>
        <v/>
      </c>
      <c r="O171" s="199">
        <f>IF(H171="","",$D$5*N171*J171/36500)</f>
        <v/>
      </c>
      <c r="P171" s="199">
        <f>IF(H171="","",$D$5+SUM($O$5:O171))</f>
        <v/>
      </c>
    </row>
    <row r="172">
      <c r="G172" s="11">
        <f>IF(H172="","",ROW()-4)</f>
        <v/>
      </c>
      <c r="H172" s="12">
        <f>IF(OR(I171="",I171&gt;=$D$7),"",I171)</f>
        <v/>
      </c>
      <c r="I172" s="12">
        <f>IF(H172="","",MIN(IF($D$18="LEGAL",DATE(YEAR(H172)+1,1,1),EDATE($D$12,$D$11*(INT((((YEAR(H172)-YEAR($D$12))*12+(MONTH(H172)-MONTH($D$12))-IF(DAY(H172)&lt;DAY($D$12),1,0))/$D$11))+1))),$D$7))</f>
        <v/>
      </c>
      <c r="J172" s="11">
        <f>IF(H172="","",I172-H172)</f>
        <v/>
      </c>
      <c r="K172" s="12">
        <f>IF(H172="","",IF($D$18="LEGAL",H172,EDATE(H172,-$D$13)))</f>
        <v/>
      </c>
      <c r="L172" s="13">
        <f>IF(H172="","",IFERROR(INDEX('Tipos BdE'!$B$7:$M$336,MATCH(DATE(YEAR(K172),MONTH(K172),1),'Tipos BdE'!$A$7:$A$336,1),MATCH($D$9,'Tipos BdE'!$B$6:$M$6,0)),0))</f>
        <v/>
      </c>
      <c r="M172" s="13">
        <f>IF(H172="","",IF($D$18="LEGAL",0,$D$10))</f>
        <v/>
      </c>
      <c r="N172" s="13">
        <f>IF(H172="","",IF(AND($D$14="Sí",(L172+M172)&lt;0),0,L172+M172))</f>
        <v/>
      </c>
      <c r="O172" s="199">
        <f>IF(H172="","",$D$5*N172*J172/36500)</f>
        <v/>
      </c>
      <c r="P172" s="199">
        <f>IF(H172="","",$D$5+SUM($O$5:O172))</f>
        <v/>
      </c>
    </row>
    <row r="173">
      <c r="G173" s="11">
        <f>IF(H173="","",ROW()-4)</f>
        <v/>
      </c>
      <c r="H173" s="12">
        <f>IF(OR(I172="",I172&gt;=$D$7),"",I172)</f>
        <v/>
      </c>
      <c r="I173" s="12">
        <f>IF(H173="","",MIN(IF($D$18="LEGAL",DATE(YEAR(H173)+1,1,1),EDATE($D$12,$D$11*(INT((((YEAR(H173)-YEAR($D$12))*12+(MONTH(H173)-MONTH($D$12))-IF(DAY(H173)&lt;DAY($D$12),1,0))/$D$11))+1))),$D$7))</f>
        <v/>
      </c>
      <c r="J173" s="11">
        <f>IF(H173="","",I173-H173)</f>
        <v/>
      </c>
      <c r="K173" s="12">
        <f>IF(H173="","",IF($D$18="LEGAL",H173,EDATE(H173,-$D$13)))</f>
        <v/>
      </c>
      <c r="L173" s="13">
        <f>IF(H173="","",IFERROR(INDEX('Tipos BdE'!$B$7:$M$336,MATCH(DATE(YEAR(K173),MONTH(K173),1),'Tipos BdE'!$A$7:$A$336,1),MATCH($D$9,'Tipos BdE'!$B$6:$M$6,0)),0))</f>
        <v/>
      </c>
      <c r="M173" s="13">
        <f>IF(H173="","",IF($D$18="LEGAL",0,$D$10))</f>
        <v/>
      </c>
      <c r="N173" s="13">
        <f>IF(H173="","",IF(AND($D$14="Sí",(L173+M173)&lt;0),0,L173+M173))</f>
        <v/>
      </c>
      <c r="O173" s="199">
        <f>IF(H173="","",$D$5*N173*J173/36500)</f>
        <v/>
      </c>
      <c r="P173" s="199">
        <f>IF(H173="","",$D$5+SUM($O$5:O173))</f>
        <v/>
      </c>
    </row>
    <row r="174">
      <c r="G174" s="11">
        <f>IF(H174="","",ROW()-4)</f>
        <v/>
      </c>
      <c r="H174" s="12">
        <f>IF(OR(I173="",I173&gt;=$D$7),"",I173)</f>
        <v/>
      </c>
      <c r="I174" s="12">
        <f>IF(H174="","",MIN(IF($D$18="LEGAL",DATE(YEAR(H174)+1,1,1),EDATE($D$12,$D$11*(INT((((YEAR(H174)-YEAR($D$12))*12+(MONTH(H174)-MONTH($D$12))-IF(DAY(H174)&lt;DAY($D$12),1,0))/$D$11))+1))),$D$7))</f>
        <v/>
      </c>
      <c r="J174" s="11">
        <f>IF(H174="","",I174-H174)</f>
        <v/>
      </c>
      <c r="K174" s="12">
        <f>IF(H174="","",IF($D$18="LEGAL",H174,EDATE(H174,-$D$13)))</f>
        <v/>
      </c>
      <c r="L174" s="13">
        <f>IF(H174="","",IFERROR(INDEX('Tipos BdE'!$B$7:$M$336,MATCH(DATE(YEAR(K174),MONTH(K174),1),'Tipos BdE'!$A$7:$A$336,1),MATCH($D$9,'Tipos BdE'!$B$6:$M$6,0)),0))</f>
        <v/>
      </c>
      <c r="M174" s="13">
        <f>IF(H174="","",IF($D$18="LEGAL",0,$D$10))</f>
        <v/>
      </c>
      <c r="N174" s="13">
        <f>IF(H174="","",IF(AND($D$14="Sí",(L174+M174)&lt;0),0,L174+M174))</f>
        <v/>
      </c>
      <c r="O174" s="199">
        <f>IF(H174="","",$D$5*N174*J174/36500)</f>
        <v/>
      </c>
      <c r="P174" s="199">
        <f>IF(H174="","",$D$5+SUM($O$5:O174))</f>
        <v/>
      </c>
    </row>
    <row r="175">
      <c r="G175" s="11">
        <f>IF(H175="","",ROW()-4)</f>
        <v/>
      </c>
      <c r="H175" s="12">
        <f>IF(OR(I174="",I174&gt;=$D$7),"",I174)</f>
        <v/>
      </c>
      <c r="I175" s="12">
        <f>IF(H175="","",MIN(IF($D$18="LEGAL",DATE(YEAR(H175)+1,1,1),EDATE($D$12,$D$11*(INT((((YEAR(H175)-YEAR($D$12))*12+(MONTH(H175)-MONTH($D$12))-IF(DAY(H175)&lt;DAY($D$12),1,0))/$D$11))+1))),$D$7))</f>
        <v/>
      </c>
      <c r="J175" s="11">
        <f>IF(H175="","",I175-H175)</f>
        <v/>
      </c>
      <c r="K175" s="12">
        <f>IF(H175="","",IF($D$18="LEGAL",H175,EDATE(H175,-$D$13)))</f>
        <v/>
      </c>
      <c r="L175" s="13">
        <f>IF(H175="","",IFERROR(INDEX('Tipos BdE'!$B$7:$M$336,MATCH(DATE(YEAR(K175),MONTH(K175),1),'Tipos BdE'!$A$7:$A$336,1),MATCH($D$9,'Tipos BdE'!$B$6:$M$6,0)),0))</f>
        <v/>
      </c>
      <c r="M175" s="13">
        <f>IF(H175="","",IF($D$18="LEGAL",0,$D$10))</f>
        <v/>
      </c>
      <c r="N175" s="13">
        <f>IF(H175="","",IF(AND($D$14="Sí",(L175+M175)&lt;0),0,L175+M175))</f>
        <v/>
      </c>
      <c r="O175" s="199">
        <f>IF(H175="","",$D$5*N175*J175/36500)</f>
        <v/>
      </c>
      <c r="P175" s="199">
        <f>IF(H175="","",$D$5+SUM($O$5:O175))</f>
        <v/>
      </c>
    </row>
    <row r="176">
      <c r="G176" s="11">
        <f>IF(H176="","",ROW()-4)</f>
        <v/>
      </c>
      <c r="H176" s="12">
        <f>IF(OR(I175="",I175&gt;=$D$7),"",I175)</f>
        <v/>
      </c>
      <c r="I176" s="12">
        <f>IF(H176="","",MIN(IF($D$18="LEGAL",DATE(YEAR(H176)+1,1,1),EDATE($D$12,$D$11*(INT((((YEAR(H176)-YEAR($D$12))*12+(MONTH(H176)-MONTH($D$12))-IF(DAY(H176)&lt;DAY($D$12),1,0))/$D$11))+1))),$D$7))</f>
        <v/>
      </c>
      <c r="J176" s="11">
        <f>IF(H176="","",I176-H176)</f>
        <v/>
      </c>
      <c r="K176" s="12">
        <f>IF(H176="","",IF($D$18="LEGAL",H176,EDATE(H176,-$D$13)))</f>
        <v/>
      </c>
      <c r="L176" s="13">
        <f>IF(H176="","",IFERROR(INDEX('Tipos BdE'!$B$7:$M$336,MATCH(DATE(YEAR(K176),MONTH(K176),1),'Tipos BdE'!$A$7:$A$336,1),MATCH($D$9,'Tipos BdE'!$B$6:$M$6,0)),0))</f>
        <v/>
      </c>
      <c r="M176" s="13">
        <f>IF(H176="","",IF($D$18="LEGAL",0,$D$10))</f>
        <v/>
      </c>
      <c r="N176" s="13">
        <f>IF(H176="","",IF(AND($D$14="Sí",(L176+M176)&lt;0),0,L176+M176))</f>
        <v/>
      </c>
      <c r="O176" s="199">
        <f>IF(H176="","",$D$5*N176*J176/36500)</f>
        <v/>
      </c>
      <c r="P176" s="199">
        <f>IF(H176="","",$D$5+SUM($O$5:O176))</f>
        <v/>
      </c>
    </row>
    <row r="177">
      <c r="G177" s="11">
        <f>IF(H177="","",ROW()-4)</f>
        <v/>
      </c>
      <c r="H177" s="12">
        <f>IF(OR(I176="",I176&gt;=$D$7),"",I176)</f>
        <v/>
      </c>
      <c r="I177" s="12">
        <f>IF(H177="","",MIN(IF($D$18="LEGAL",DATE(YEAR(H177)+1,1,1),EDATE($D$12,$D$11*(INT((((YEAR(H177)-YEAR($D$12))*12+(MONTH(H177)-MONTH($D$12))-IF(DAY(H177)&lt;DAY($D$12),1,0))/$D$11))+1))),$D$7))</f>
        <v/>
      </c>
      <c r="J177" s="11">
        <f>IF(H177="","",I177-H177)</f>
        <v/>
      </c>
      <c r="K177" s="12">
        <f>IF(H177="","",IF($D$18="LEGAL",H177,EDATE(H177,-$D$13)))</f>
        <v/>
      </c>
      <c r="L177" s="13">
        <f>IF(H177="","",IFERROR(INDEX('Tipos BdE'!$B$7:$M$336,MATCH(DATE(YEAR(K177),MONTH(K177),1),'Tipos BdE'!$A$7:$A$336,1),MATCH($D$9,'Tipos BdE'!$B$6:$M$6,0)),0))</f>
        <v/>
      </c>
      <c r="M177" s="13">
        <f>IF(H177="","",IF($D$18="LEGAL",0,$D$10))</f>
        <v/>
      </c>
      <c r="N177" s="13">
        <f>IF(H177="","",IF(AND($D$14="Sí",(L177+M177)&lt;0),0,L177+M177))</f>
        <v/>
      </c>
      <c r="O177" s="199">
        <f>IF(H177="","",$D$5*N177*J177/36500)</f>
        <v/>
      </c>
      <c r="P177" s="199">
        <f>IF(H177="","",$D$5+SUM($O$5:O177))</f>
        <v/>
      </c>
    </row>
    <row r="178">
      <c r="G178" s="11">
        <f>IF(H178="","",ROW()-4)</f>
        <v/>
      </c>
      <c r="H178" s="12">
        <f>IF(OR(I177="",I177&gt;=$D$7),"",I177)</f>
        <v/>
      </c>
      <c r="I178" s="12">
        <f>IF(H178="","",MIN(IF($D$18="LEGAL",DATE(YEAR(H178)+1,1,1),EDATE($D$12,$D$11*(INT((((YEAR(H178)-YEAR($D$12))*12+(MONTH(H178)-MONTH($D$12))-IF(DAY(H178)&lt;DAY($D$12),1,0))/$D$11))+1))),$D$7))</f>
        <v/>
      </c>
      <c r="J178" s="11">
        <f>IF(H178="","",I178-H178)</f>
        <v/>
      </c>
      <c r="K178" s="12">
        <f>IF(H178="","",IF($D$18="LEGAL",H178,EDATE(H178,-$D$13)))</f>
        <v/>
      </c>
      <c r="L178" s="13">
        <f>IF(H178="","",IFERROR(INDEX('Tipos BdE'!$B$7:$M$336,MATCH(DATE(YEAR(K178),MONTH(K178),1),'Tipos BdE'!$A$7:$A$336,1),MATCH($D$9,'Tipos BdE'!$B$6:$M$6,0)),0))</f>
        <v/>
      </c>
      <c r="M178" s="13">
        <f>IF(H178="","",IF($D$18="LEGAL",0,$D$10))</f>
        <v/>
      </c>
      <c r="N178" s="13">
        <f>IF(H178="","",IF(AND($D$14="Sí",(L178+M178)&lt;0),0,L178+M178))</f>
        <v/>
      </c>
      <c r="O178" s="199">
        <f>IF(H178="","",$D$5*N178*J178/36500)</f>
        <v/>
      </c>
      <c r="P178" s="199">
        <f>IF(H178="","",$D$5+SUM($O$5:O178))</f>
        <v/>
      </c>
    </row>
    <row r="179">
      <c r="G179" s="11">
        <f>IF(H179="","",ROW()-4)</f>
        <v/>
      </c>
      <c r="H179" s="12">
        <f>IF(OR(I178="",I178&gt;=$D$7),"",I178)</f>
        <v/>
      </c>
      <c r="I179" s="12">
        <f>IF(H179="","",MIN(IF($D$18="LEGAL",DATE(YEAR(H179)+1,1,1),EDATE($D$12,$D$11*(INT((((YEAR(H179)-YEAR($D$12))*12+(MONTH(H179)-MONTH($D$12))-IF(DAY(H179)&lt;DAY($D$12),1,0))/$D$11))+1))),$D$7))</f>
        <v/>
      </c>
      <c r="J179" s="11">
        <f>IF(H179="","",I179-H179)</f>
        <v/>
      </c>
      <c r="K179" s="12">
        <f>IF(H179="","",IF($D$18="LEGAL",H179,EDATE(H179,-$D$13)))</f>
        <v/>
      </c>
      <c r="L179" s="13">
        <f>IF(H179="","",IFERROR(INDEX('Tipos BdE'!$B$7:$M$336,MATCH(DATE(YEAR(K179),MONTH(K179),1),'Tipos BdE'!$A$7:$A$336,1),MATCH($D$9,'Tipos BdE'!$B$6:$M$6,0)),0))</f>
        <v/>
      </c>
      <c r="M179" s="13">
        <f>IF(H179="","",IF($D$18="LEGAL",0,$D$10))</f>
        <v/>
      </c>
      <c r="N179" s="13">
        <f>IF(H179="","",IF(AND($D$14="Sí",(L179+M179)&lt;0),0,L179+M179))</f>
        <v/>
      </c>
      <c r="O179" s="199">
        <f>IF(H179="","",$D$5*N179*J179/36500)</f>
        <v/>
      </c>
      <c r="P179" s="199">
        <f>IF(H179="","",$D$5+SUM($O$5:O179))</f>
        <v/>
      </c>
    </row>
    <row r="180">
      <c r="G180" s="11">
        <f>IF(H180="","",ROW()-4)</f>
        <v/>
      </c>
      <c r="H180" s="12">
        <f>IF(OR(I179="",I179&gt;=$D$7),"",I179)</f>
        <v/>
      </c>
      <c r="I180" s="12">
        <f>IF(H180="","",MIN(IF($D$18="LEGAL",DATE(YEAR(H180)+1,1,1),EDATE($D$12,$D$11*(INT((((YEAR(H180)-YEAR($D$12))*12+(MONTH(H180)-MONTH($D$12))-IF(DAY(H180)&lt;DAY($D$12),1,0))/$D$11))+1))),$D$7))</f>
        <v/>
      </c>
      <c r="J180" s="11">
        <f>IF(H180="","",I180-H180)</f>
        <v/>
      </c>
      <c r="K180" s="12">
        <f>IF(H180="","",IF($D$18="LEGAL",H180,EDATE(H180,-$D$13)))</f>
        <v/>
      </c>
      <c r="L180" s="13">
        <f>IF(H180="","",IFERROR(INDEX('Tipos BdE'!$B$7:$M$336,MATCH(DATE(YEAR(K180),MONTH(K180),1),'Tipos BdE'!$A$7:$A$336,1),MATCH($D$9,'Tipos BdE'!$B$6:$M$6,0)),0))</f>
        <v/>
      </c>
      <c r="M180" s="13">
        <f>IF(H180="","",IF($D$18="LEGAL",0,$D$10))</f>
        <v/>
      </c>
      <c r="N180" s="13">
        <f>IF(H180="","",IF(AND($D$14="Sí",(L180+M180)&lt;0),0,L180+M180))</f>
        <v/>
      </c>
      <c r="O180" s="199">
        <f>IF(H180="","",$D$5*N180*J180/36500)</f>
        <v/>
      </c>
      <c r="P180" s="199">
        <f>IF(H180="","",$D$5+SUM($O$5:O180))</f>
        <v/>
      </c>
    </row>
    <row r="181">
      <c r="G181" s="11">
        <f>IF(H181="","",ROW()-4)</f>
        <v/>
      </c>
      <c r="H181" s="12">
        <f>IF(OR(I180="",I180&gt;=$D$7),"",I180)</f>
        <v/>
      </c>
      <c r="I181" s="12">
        <f>IF(H181="","",MIN(IF($D$18="LEGAL",DATE(YEAR(H181)+1,1,1),EDATE($D$12,$D$11*(INT((((YEAR(H181)-YEAR($D$12))*12+(MONTH(H181)-MONTH($D$12))-IF(DAY(H181)&lt;DAY($D$12),1,0))/$D$11))+1))),$D$7))</f>
        <v/>
      </c>
      <c r="J181" s="11">
        <f>IF(H181="","",I181-H181)</f>
        <v/>
      </c>
      <c r="K181" s="12">
        <f>IF(H181="","",IF($D$18="LEGAL",H181,EDATE(H181,-$D$13)))</f>
        <v/>
      </c>
      <c r="L181" s="13">
        <f>IF(H181="","",IFERROR(INDEX('Tipos BdE'!$B$7:$M$336,MATCH(DATE(YEAR(K181),MONTH(K181),1),'Tipos BdE'!$A$7:$A$336,1),MATCH($D$9,'Tipos BdE'!$B$6:$M$6,0)),0))</f>
        <v/>
      </c>
      <c r="M181" s="13">
        <f>IF(H181="","",IF($D$18="LEGAL",0,$D$10))</f>
        <v/>
      </c>
      <c r="N181" s="13">
        <f>IF(H181="","",IF(AND($D$14="Sí",(L181+M181)&lt;0),0,L181+M181))</f>
        <v/>
      </c>
      <c r="O181" s="199">
        <f>IF(H181="","",$D$5*N181*J181/36500)</f>
        <v/>
      </c>
      <c r="P181" s="199">
        <f>IF(H181="","",$D$5+SUM($O$5:O181))</f>
        <v/>
      </c>
    </row>
    <row r="182">
      <c r="G182" s="11">
        <f>IF(H182="","",ROW()-4)</f>
        <v/>
      </c>
      <c r="H182" s="12">
        <f>IF(OR(I181="",I181&gt;=$D$7),"",I181)</f>
        <v/>
      </c>
      <c r="I182" s="12">
        <f>IF(H182="","",MIN(IF($D$18="LEGAL",DATE(YEAR(H182)+1,1,1),EDATE($D$12,$D$11*(INT((((YEAR(H182)-YEAR($D$12))*12+(MONTH(H182)-MONTH($D$12))-IF(DAY(H182)&lt;DAY($D$12),1,0))/$D$11))+1))),$D$7))</f>
        <v/>
      </c>
      <c r="J182" s="11">
        <f>IF(H182="","",I182-H182)</f>
        <v/>
      </c>
      <c r="K182" s="12">
        <f>IF(H182="","",IF($D$18="LEGAL",H182,EDATE(H182,-$D$13)))</f>
        <v/>
      </c>
      <c r="L182" s="13">
        <f>IF(H182="","",IFERROR(INDEX('Tipos BdE'!$B$7:$M$336,MATCH(DATE(YEAR(K182),MONTH(K182),1),'Tipos BdE'!$A$7:$A$336,1),MATCH($D$9,'Tipos BdE'!$B$6:$M$6,0)),0))</f>
        <v/>
      </c>
      <c r="M182" s="13">
        <f>IF(H182="","",IF($D$18="LEGAL",0,$D$10))</f>
        <v/>
      </c>
      <c r="N182" s="13">
        <f>IF(H182="","",IF(AND($D$14="Sí",(L182+M182)&lt;0),0,L182+M182))</f>
        <v/>
      </c>
      <c r="O182" s="199">
        <f>IF(H182="","",$D$5*N182*J182/36500)</f>
        <v/>
      </c>
      <c r="P182" s="199">
        <f>IF(H182="","",$D$5+SUM($O$5:O182))</f>
        <v/>
      </c>
    </row>
    <row r="183">
      <c r="G183" s="11">
        <f>IF(H183="","",ROW()-4)</f>
        <v/>
      </c>
      <c r="H183" s="12">
        <f>IF(OR(I182="",I182&gt;=$D$7),"",I182)</f>
        <v/>
      </c>
      <c r="I183" s="12">
        <f>IF(H183="","",MIN(IF($D$18="LEGAL",DATE(YEAR(H183)+1,1,1),EDATE($D$12,$D$11*(INT((((YEAR(H183)-YEAR($D$12))*12+(MONTH(H183)-MONTH($D$12))-IF(DAY(H183)&lt;DAY($D$12),1,0))/$D$11))+1))),$D$7))</f>
        <v/>
      </c>
      <c r="J183" s="11">
        <f>IF(H183="","",I183-H183)</f>
        <v/>
      </c>
      <c r="K183" s="12">
        <f>IF(H183="","",IF($D$18="LEGAL",H183,EDATE(H183,-$D$13)))</f>
        <v/>
      </c>
      <c r="L183" s="13">
        <f>IF(H183="","",IFERROR(INDEX('Tipos BdE'!$B$7:$M$336,MATCH(DATE(YEAR(K183),MONTH(K183),1),'Tipos BdE'!$A$7:$A$336,1),MATCH($D$9,'Tipos BdE'!$B$6:$M$6,0)),0))</f>
        <v/>
      </c>
      <c r="M183" s="13">
        <f>IF(H183="","",IF($D$18="LEGAL",0,$D$10))</f>
        <v/>
      </c>
      <c r="N183" s="13">
        <f>IF(H183="","",IF(AND($D$14="Sí",(L183+M183)&lt;0),0,L183+M183))</f>
        <v/>
      </c>
      <c r="O183" s="199">
        <f>IF(H183="","",$D$5*N183*J183/36500)</f>
        <v/>
      </c>
      <c r="P183" s="199">
        <f>IF(H183="","",$D$5+SUM($O$5:O183))</f>
        <v/>
      </c>
    </row>
    <row r="184">
      <c r="G184" s="11">
        <f>IF(H184="","",ROW()-4)</f>
        <v/>
      </c>
      <c r="H184" s="12">
        <f>IF(OR(I183="",I183&gt;=$D$7),"",I183)</f>
        <v/>
      </c>
      <c r="I184" s="12">
        <f>IF(H184="","",MIN(IF($D$18="LEGAL",DATE(YEAR(H184)+1,1,1),EDATE($D$12,$D$11*(INT((((YEAR(H184)-YEAR($D$12))*12+(MONTH(H184)-MONTH($D$12))-IF(DAY(H184)&lt;DAY($D$12),1,0))/$D$11))+1))),$D$7))</f>
        <v/>
      </c>
      <c r="J184" s="11">
        <f>IF(H184="","",I184-H184)</f>
        <v/>
      </c>
      <c r="K184" s="12">
        <f>IF(H184="","",IF($D$18="LEGAL",H184,EDATE(H184,-$D$13)))</f>
        <v/>
      </c>
      <c r="L184" s="13">
        <f>IF(H184="","",IFERROR(INDEX('Tipos BdE'!$B$7:$M$336,MATCH(DATE(YEAR(K184),MONTH(K184),1),'Tipos BdE'!$A$7:$A$336,1),MATCH($D$9,'Tipos BdE'!$B$6:$M$6,0)),0))</f>
        <v/>
      </c>
      <c r="M184" s="13">
        <f>IF(H184="","",IF($D$18="LEGAL",0,$D$10))</f>
        <v/>
      </c>
      <c r="N184" s="13">
        <f>IF(H184="","",IF(AND($D$14="Sí",(L184+M184)&lt;0),0,L184+M184))</f>
        <v/>
      </c>
      <c r="O184" s="199">
        <f>IF(H184="","",$D$5*N184*J184/36500)</f>
        <v/>
      </c>
      <c r="P184" s="199">
        <f>IF(H184="","",$D$5+SUM($O$5:O184))</f>
        <v/>
      </c>
    </row>
    <row r="185">
      <c r="G185" s="11">
        <f>IF(H185="","",ROW()-4)</f>
        <v/>
      </c>
      <c r="H185" s="12">
        <f>IF(OR(I184="",I184&gt;=$D$7),"",I184)</f>
        <v/>
      </c>
      <c r="I185" s="12">
        <f>IF(H185="","",MIN(IF($D$18="LEGAL",DATE(YEAR(H185)+1,1,1),EDATE($D$12,$D$11*(INT((((YEAR(H185)-YEAR($D$12))*12+(MONTH(H185)-MONTH($D$12))-IF(DAY(H185)&lt;DAY($D$12),1,0))/$D$11))+1))),$D$7))</f>
        <v/>
      </c>
      <c r="J185" s="11">
        <f>IF(H185="","",I185-H185)</f>
        <v/>
      </c>
      <c r="K185" s="12">
        <f>IF(H185="","",IF($D$18="LEGAL",H185,EDATE(H185,-$D$13)))</f>
        <v/>
      </c>
      <c r="L185" s="13">
        <f>IF(H185="","",IFERROR(INDEX('Tipos BdE'!$B$7:$M$336,MATCH(DATE(YEAR(K185),MONTH(K185),1),'Tipos BdE'!$A$7:$A$336,1),MATCH($D$9,'Tipos BdE'!$B$6:$M$6,0)),0))</f>
        <v/>
      </c>
      <c r="M185" s="13">
        <f>IF(H185="","",IF($D$18="LEGAL",0,$D$10))</f>
        <v/>
      </c>
      <c r="N185" s="13">
        <f>IF(H185="","",IF(AND($D$14="Sí",(L185+M185)&lt;0),0,L185+M185))</f>
        <v/>
      </c>
      <c r="O185" s="199">
        <f>IF(H185="","",$D$5*N185*J185/36500)</f>
        <v/>
      </c>
      <c r="P185" s="199">
        <f>IF(H185="","",$D$5+SUM($O$5:O185))</f>
        <v/>
      </c>
    </row>
    <row r="186">
      <c r="G186" s="11">
        <f>IF(H186="","",ROW()-4)</f>
        <v/>
      </c>
      <c r="H186" s="12">
        <f>IF(OR(I185="",I185&gt;=$D$7),"",I185)</f>
        <v/>
      </c>
      <c r="I186" s="12">
        <f>IF(H186="","",MIN(IF($D$18="LEGAL",DATE(YEAR(H186)+1,1,1),EDATE($D$12,$D$11*(INT((((YEAR(H186)-YEAR($D$12))*12+(MONTH(H186)-MONTH($D$12))-IF(DAY(H186)&lt;DAY($D$12),1,0))/$D$11))+1))),$D$7))</f>
        <v/>
      </c>
      <c r="J186" s="11">
        <f>IF(H186="","",I186-H186)</f>
        <v/>
      </c>
      <c r="K186" s="12">
        <f>IF(H186="","",IF($D$18="LEGAL",H186,EDATE(H186,-$D$13)))</f>
        <v/>
      </c>
      <c r="L186" s="13">
        <f>IF(H186="","",IFERROR(INDEX('Tipos BdE'!$B$7:$M$336,MATCH(DATE(YEAR(K186),MONTH(K186),1),'Tipos BdE'!$A$7:$A$336,1),MATCH($D$9,'Tipos BdE'!$B$6:$M$6,0)),0))</f>
        <v/>
      </c>
      <c r="M186" s="13">
        <f>IF(H186="","",IF($D$18="LEGAL",0,$D$10))</f>
        <v/>
      </c>
      <c r="N186" s="13">
        <f>IF(H186="","",IF(AND($D$14="Sí",(L186+M186)&lt;0),0,L186+M186))</f>
        <v/>
      </c>
      <c r="O186" s="199">
        <f>IF(H186="","",$D$5*N186*J186/36500)</f>
        <v/>
      </c>
      <c r="P186" s="199">
        <f>IF(H186="","",$D$5+SUM($O$5:O186))</f>
        <v/>
      </c>
    </row>
    <row r="187">
      <c r="G187" s="11">
        <f>IF(H187="","",ROW()-4)</f>
        <v/>
      </c>
      <c r="H187" s="12">
        <f>IF(OR(I186="",I186&gt;=$D$7),"",I186)</f>
        <v/>
      </c>
      <c r="I187" s="12">
        <f>IF(H187="","",MIN(IF($D$18="LEGAL",DATE(YEAR(H187)+1,1,1),EDATE($D$12,$D$11*(INT((((YEAR(H187)-YEAR($D$12))*12+(MONTH(H187)-MONTH($D$12))-IF(DAY(H187)&lt;DAY($D$12),1,0))/$D$11))+1))),$D$7))</f>
        <v/>
      </c>
      <c r="J187" s="11">
        <f>IF(H187="","",I187-H187)</f>
        <v/>
      </c>
      <c r="K187" s="12">
        <f>IF(H187="","",IF($D$18="LEGAL",H187,EDATE(H187,-$D$13)))</f>
        <v/>
      </c>
      <c r="L187" s="13">
        <f>IF(H187="","",IFERROR(INDEX('Tipos BdE'!$B$7:$M$336,MATCH(DATE(YEAR(K187),MONTH(K187),1),'Tipos BdE'!$A$7:$A$336,1),MATCH($D$9,'Tipos BdE'!$B$6:$M$6,0)),0))</f>
        <v/>
      </c>
      <c r="M187" s="13">
        <f>IF(H187="","",IF($D$18="LEGAL",0,$D$10))</f>
        <v/>
      </c>
      <c r="N187" s="13">
        <f>IF(H187="","",IF(AND($D$14="Sí",(L187+M187)&lt;0),0,L187+M187))</f>
        <v/>
      </c>
      <c r="O187" s="199">
        <f>IF(H187="","",$D$5*N187*J187/36500)</f>
        <v/>
      </c>
      <c r="P187" s="199">
        <f>IF(H187="","",$D$5+SUM($O$5:O187))</f>
        <v/>
      </c>
    </row>
    <row r="188">
      <c r="G188" s="11">
        <f>IF(H188="","",ROW()-4)</f>
        <v/>
      </c>
      <c r="H188" s="12">
        <f>IF(OR(I187="",I187&gt;=$D$7),"",I187)</f>
        <v/>
      </c>
      <c r="I188" s="12">
        <f>IF(H188="","",MIN(IF($D$18="LEGAL",DATE(YEAR(H188)+1,1,1),EDATE($D$12,$D$11*(INT((((YEAR(H188)-YEAR($D$12))*12+(MONTH(H188)-MONTH($D$12))-IF(DAY(H188)&lt;DAY($D$12),1,0))/$D$11))+1))),$D$7))</f>
        <v/>
      </c>
      <c r="J188" s="11">
        <f>IF(H188="","",I188-H188)</f>
        <v/>
      </c>
      <c r="K188" s="12">
        <f>IF(H188="","",IF($D$18="LEGAL",H188,EDATE(H188,-$D$13)))</f>
        <v/>
      </c>
      <c r="L188" s="13">
        <f>IF(H188="","",IFERROR(INDEX('Tipos BdE'!$B$7:$M$336,MATCH(DATE(YEAR(K188),MONTH(K188),1),'Tipos BdE'!$A$7:$A$336,1),MATCH($D$9,'Tipos BdE'!$B$6:$M$6,0)),0))</f>
        <v/>
      </c>
      <c r="M188" s="13">
        <f>IF(H188="","",IF($D$18="LEGAL",0,$D$10))</f>
        <v/>
      </c>
      <c r="N188" s="13">
        <f>IF(H188="","",IF(AND($D$14="Sí",(L188+M188)&lt;0),0,L188+M188))</f>
        <v/>
      </c>
      <c r="O188" s="199">
        <f>IF(H188="","",$D$5*N188*J188/36500)</f>
        <v/>
      </c>
      <c r="P188" s="199">
        <f>IF(H188="","",$D$5+SUM($O$5:O188))</f>
        <v/>
      </c>
    </row>
    <row r="189">
      <c r="G189" s="11">
        <f>IF(H189="","",ROW()-4)</f>
        <v/>
      </c>
      <c r="H189" s="12">
        <f>IF(OR(I188="",I188&gt;=$D$7),"",I188)</f>
        <v/>
      </c>
      <c r="I189" s="12">
        <f>IF(H189="","",MIN(IF($D$18="LEGAL",DATE(YEAR(H189)+1,1,1),EDATE($D$12,$D$11*(INT((((YEAR(H189)-YEAR($D$12))*12+(MONTH(H189)-MONTH($D$12))-IF(DAY(H189)&lt;DAY($D$12),1,0))/$D$11))+1))),$D$7))</f>
        <v/>
      </c>
      <c r="J189" s="11">
        <f>IF(H189="","",I189-H189)</f>
        <v/>
      </c>
      <c r="K189" s="12">
        <f>IF(H189="","",IF($D$18="LEGAL",H189,EDATE(H189,-$D$13)))</f>
        <v/>
      </c>
      <c r="L189" s="13">
        <f>IF(H189="","",IFERROR(INDEX('Tipos BdE'!$B$7:$M$336,MATCH(DATE(YEAR(K189),MONTH(K189),1),'Tipos BdE'!$A$7:$A$336,1),MATCH($D$9,'Tipos BdE'!$B$6:$M$6,0)),0))</f>
        <v/>
      </c>
      <c r="M189" s="13">
        <f>IF(H189="","",IF($D$18="LEGAL",0,$D$10))</f>
        <v/>
      </c>
      <c r="N189" s="13">
        <f>IF(H189="","",IF(AND($D$14="Sí",(L189+M189)&lt;0),0,L189+M189))</f>
        <v/>
      </c>
      <c r="O189" s="199">
        <f>IF(H189="","",$D$5*N189*J189/36500)</f>
        <v/>
      </c>
      <c r="P189" s="199">
        <f>IF(H189="","",$D$5+SUM($O$5:O189))</f>
        <v/>
      </c>
    </row>
    <row r="190">
      <c r="G190" s="11">
        <f>IF(H190="","",ROW()-4)</f>
        <v/>
      </c>
      <c r="H190" s="12">
        <f>IF(OR(I189="",I189&gt;=$D$7),"",I189)</f>
        <v/>
      </c>
      <c r="I190" s="12">
        <f>IF(H190="","",MIN(IF($D$18="LEGAL",DATE(YEAR(H190)+1,1,1),EDATE($D$12,$D$11*(INT((((YEAR(H190)-YEAR($D$12))*12+(MONTH(H190)-MONTH($D$12))-IF(DAY(H190)&lt;DAY($D$12),1,0))/$D$11))+1))),$D$7))</f>
        <v/>
      </c>
      <c r="J190" s="11">
        <f>IF(H190="","",I190-H190)</f>
        <v/>
      </c>
      <c r="K190" s="12">
        <f>IF(H190="","",IF($D$18="LEGAL",H190,EDATE(H190,-$D$13)))</f>
        <v/>
      </c>
      <c r="L190" s="13">
        <f>IF(H190="","",IFERROR(INDEX('Tipos BdE'!$B$7:$M$336,MATCH(DATE(YEAR(K190),MONTH(K190),1),'Tipos BdE'!$A$7:$A$336,1),MATCH($D$9,'Tipos BdE'!$B$6:$M$6,0)),0))</f>
        <v/>
      </c>
      <c r="M190" s="13">
        <f>IF(H190="","",IF($D$18="LEGAL",0,$D$10))</f>
        <v/>
      </c>
      <c r="N190" s="13">
        <f>IF(H190="","",IF(AND($D$14="Sí",(L190+M190)&lt;0),0,L190+M190))</f>
        <v/>
      </c>
      <c r="O190" s="199">
        <f>IF(H190="","",$D$5*N190*J190/36500)</f>
        <v/>
      </c>
      <c r="P190" s="199">
        <f>IF(H190="","",$D$5+SUM($O$5:O190))</f>
        <v/>
      </c>
    </row>
    <row r="191">
      <c r="G191" s="11">
        <f>IF(H191="","",ROW()-4)</f>
        <v/>
      </c>
      <c r="H191" s="12">
        <f>IF(OR(I190="",I190&gt;=$D$7),"",I190)</f>
        <v/>
      </c>
      <c r="I191" s="12">
        <f>IF(H191="","",MIN(IF($D$18="LEGAL",DATE(YEAR(H191)+1,1,1),EDATE($D$12,$D$11*(INT((((YEAR(H191)-YEAR($D$12))*12+(MONTH(H191)-MONTH($D$12))-IF(DAY(H191)&lt;DAY($D$12),1,0))/$D$11))+1))),$D$7))</f>
        <v/>
      </c>
      <c r="J191" s="11">
        <f>IF(H191="","",I191-H191)</f>
        <v/>
      </c>
      <c r="K191" s="12">
        <f>IF(H191="","",IF($D$18="LEGAL",H191,EDATE(H191,-$D$13)))</f>
        <v/>
      </c>
      <c r="L191" s="13">
        <f>IF(H191="","",IFERROR(INDEX('Tipos BdE'!$B$7:$M$336,MATCH(DATE(YEAR(K191),MONTH(K191),1),'Tipos BdE'!$A$7:$A$336,1),MATCH($D$9,'Tipos BdE'!$B$6:$M$6,0)),0))</f>
        <v/>
      </c>
      <c r="M191" s="13">
        <f>IF(H191="","",IF($D$18="LEGAL",0,$D$10))</f>
        <v/>
      </c>
      <c r="N191" s="13">
        <f>IF(H191="","",IF(AND($D$14="Sí",(L191+M191)&lt;0),0,L191+M191))</f>
        <v/>
      </c>
      <c r="O191" s="199">
        <f>IF(H191="","",$D$5*N191*J191/36500)</f>
        <v/>
      </c>
      <c r="P191" s="199">
        <f>IF(H191="","",$D$5+SUM($O$5:O191))</f>
        <v/>
      </c>
    </row>
    <row r="192">
      <c r="G192" s="11">
        <f>IF(H192="","",ROW()-4)</f>
        <v/>
      </c>
      <c r="H192" s="12">
        <f>IF(OR(I191="",I191&gt;=$D$7),"",I191)</f>
        <v/>
      </c>
      <c r="I192" s="12">
        <f>IF(H192="","",MIN(IF($D$18="LEGAL",DATE(YEAR(H192)+1,1,1),EDATE($D$12,$D$11*(INT((((YEAR(H192)-YEAR($D$12))*12+(MONTH(H192)-MONTH($D$12))-IF(DAY(H192)&lt;DAY($D$12),1,0))/$D$11))+1))),$D$7))</f>
        <v/>
      </c>
      <c r="J192" s="11">
        <f>IF(H192="","",I192-H192)</f>
        <v/>
      </c>
      <c r="K192" s="12">
        <f>IF(H192="","",IF($D$18="LEGAL",H192,EDATE(H192,-$D$13)))</f>
        <v/>
      </c>
      <c r="L192" s="13">
        <f>IF(H192="","",IFERROR(INDEX('Tipos BdE'!$B$7:$M$336,MATCH(DATE(YEAR(K192),MONTH(K192),1),'Tipos BdE'!$A$7:$A$336,1),MATCH($D$9,'Tipos BdE'!$B$6:$M$6,0)),0))</f>
        <v/>
      </c>
      <c r="M192" s="13">
        <f>IF(H192="","",IF($D$18="LEGAL",0,$D$10))</f>
        <v/>
      </c>
      <c r="N192" s="13">
        <f>IF(H192="","",IF(AND($D$14="Sí",(L192+M192)&lt;0),0,L192+M192))</f>
        <v/>
      </c>
      <c r="O192" s="199">
        <f>IF(H192="","",$D$5*N192*J192/36500)</f>
        <v/>
      </c>
      <c r="P192" s="199">
        <f>IF(H192="","",$D$5+SUM($O$5:O192))</f>
        <v/>
      </c>
    </row>
    <row r="193">
      <c r="G193" s="11">
        <f>IF(H193="","",ROW()-4)</f>
        <v/>
      </c>
      <c r="H193" s="12">
        <f>IF(OR(I192="",I192&gt;=$D$7),"",I192)</f>
        <v/>
      </c>
      <c r="I193" s="12">
        <f>IF(H193="","",MIN(IF($D$18="LEGAL",DATE(YEAR(H193)+1,1,1),EDATE($D$12,$D$11*(INT((((YEAR(H193)-YEAR($D$12))*12+(MONTH(H193)-MONTH($D$12))-IF(DAY(H193)&lt;DAY($D$12),1,0))/$D$11))+1))),$D$7))</f>
        <v/>
      </c>
      <c r="J193" s="11">
        <f>IF(H193="","",I193-H193)</f>
        <v/>
      </c>
      <c r="K193" s="12">
        <f>IF(H193="","",IF($D$18="LEGAL",H193,EDATE(H193,-$D$13)))</f>
        <v/>
      </c>
      <c r="L193" s="13">
        <f>IF(H193="","",IFERROR(INDEX('Tipos BdE'!$B$7:$M$336,MATCH(DATE(YEAR(K193),MONTH(K193),1),'Tipos BdE'!$A$7:$A$336,1),MATCH($D$9,'Tipos BdE'!$B$6:$M$6,0)),0))</f>
        <v/>
      </c>
      <c r="M193" s="13">
        <f>IF(H193="","",IF($D$18="LEGAL",0,$D$10))</f>
        <v/>
      </c>
      <c r="N193" s="13">
        <f>IF(H193="","",IF(AND($D$14="Sí",(L193+M193)&lt;0),0,L193+M193))</f>
        <v/>
      </c>
      <c r="O193" s="199">
        <f>IF(H193="","",$D$5*N193*J193/36500)</f>
        <v/>
      </c>
      <c r="P193" s="199">
        <f>IF(H193="","",$D$5+SUM($O$5:O193))</f>
        <v/>
      </c>
    </row>
    <row r="194">
      <c r="G194" s="11">
        <f>IF(H194="","",ROW()-4)</f>
        <v/>
      </c>
      <c r="H194" s="12">
        <f>IF(OR(I193="",I193&gt;=$D$7),"",I193)</f>
        <v/>
      </c>
      <c r="I194" s="12">
        <f>IF(H194="","",MIN(IF($D$18="LEGAL",DATE(YEAR(H194)+1,1,1),EDATE($D$12,$D$11*(INT((((YEAR(H194)-YEAR($D$12))*12+(MONTH(H194)-MONTH($D$12))-IF(DAY(H194)&lt;DAY($D$12),1,0))/$D$11))+1))),$D$7))</f>
        <v/>
      </c>
      <c r="J194" s="11">
        <f>IF(H194="","",I194-H194)</f>
        <v/>
      </c>
      <c r="K194" s="12">
        <f>IF(H194="","",IF($D$18="LEGAL",H194,EDATE(H194,-$D$13)))</f>
        <v/>
      </c>
      <c r="L194" s="13">
        <f>IF(H194="","",IFERROR(INDEX('Tipos BdE'!$B$7:$M$336,MATCH(DATE(YEAR(K194),MONTH(K194),1),'Tipos BdE'!$A$7:$A$336,1),MATCH($D$9,'Tipos BdE'!$B$6:$M$6,0)),0))</f>
        <v/>
      </c>
      <c r="M194" s="13">
        <f>IF(H194="","",IF($D$18="LEGAL",0,$D$10))</f>
        <v/>
      </c>
      <c r="N194" s="13">
        <f>IF(H194="","",IF(AND($D$14="Sí",(L194+M194)&lt;0),0,L194+M194))</f>
        <v/>
      </c>
      <c r="O194" s="199">
        <f>IF(H194="","",$D$5*N194*J194/36500)</f>
        <v/>
      </c>
      <c r="P194" s="199">
        <f>IF(H194="","",$D$5+SUM($O$5:O194))</f>
        <v/>
      </c>
    </row>
    <row r="195">
      <c r="G195" s="11">
        <f>IF(H195="","",ROW()-4)</f>
        <v/>
      </c>
      <c r="H195" s="12">
        <f>IF(OR(I194="",I194&gt;=$D$7),"",I194)</f>
        <v/>
      </c>
      <c r="I195" s="12">
        <f>IF(H195="","",MIN(IF($D$18="LEGAL",DATE(YEAR(H195)+1,1,1),EDATE($D$12,$D$11*(INT((((YEAR(H195)-YEAR($D$12))*12+(MONTH(H195)-MONTH($D$12))-IF(DAY(H195)&lt;DAY($D$12),1,0))/$D$11))+1))),$D$7))</f>
        <v/>
      </c>
      <c r="J195" s="11">
        <f>IF(H195="","",I195-H195)</f>
        <v/>
      </c>
      <c r="K195" s="12">
        <f>IF(H195="","",IF($D$18="LEGAL",H195,EDATE(H195,-$D$13)))</f>
        <v/>
      </c>
      <c r="L195" s="13">
        <f>IF(H195="","",IFERROR(INDEX('Tipos BdE'!$B$7:$M$336,MATCH(DATE(YEAR(K195),MONTH(K195),1),'Tipos BdE'!$A$7:$A$336,1),MATCH($D$9,'Tipos BdE'!$B$6:$M$6,0)),0))</f>
        <v/>
      </c>
      <c r="M195" s="13">
        <f>IF(H195="","",IF($D$18="LEGAL",0,$D$10))</f>
        <v/>
      </c>
      <c r="N195" s="13">
        <f>IF(H195="","",IF(AND($D$14="Sí",(L195+M195)&lt;0),0,L195+M195))</f>
        <v/>
      </c>
      <c r="O195" s="199">
        <f>IF(H195="","",$D$5*N195*J195/36500)</f>
        <v/>
      </c>
      <c r="P195" s="199">
        <f>IF(H195="","",$D$5+SUM($O$5:O195))</f>
        <v/>
      </c>
    </row>
    <row r="196">
      <c r="G196" s="11">
        <f>IF(H196="","",ROW()-4)</f>
        <v/>
      </c>
      <c r="H196" s="12">
        <f>IF(OR(I195="",I195&gt;=$D$7),"",I195)</f>
        <v/>
      </c>
      <c r="I196" s="12">
        <f>IF(H196="","",MIN(IF($D$18="LEGAL",DATE(YEAR(H196)+1,1,1),EDATE($D$12,$D$11*(INT((((YEAR(H196)-YEAR($D$12))*12+(MONTH(H196)-MONTH($D$12))-IF(DAY(H196)&lt;DAY($D$12),1,0))/$D$11))+1))),$D$7))</f>
        <v/>
      </c>
      <c r="J196" s="11">
        <f>IF(H196="","",I196-H196)</f>
        <v/>
      </c>
      <c r="K196" s="12">
        <f>IF(H196="","",IF($D$18="LEGAL",H196,EDATE(H196,-$D$13)))</f>
        <v/>
      </c>
      <c r="L196" s="13">
        <f>IF(H196="","",IFERROR(INDEX('Tipos BdE'!$B$7:$M$336,MATCH(DATE(YEAR(K196),MONTH(K196),1),'Tipos BdE'!$A$7:$A$336,1),MATCH($D$9,'Tipos BdE'!$B$6:$M$6,0)),0))</f>
        <v/>
      </c>
      <c r="M196" s="13">
        <f>IF(H196="","",IF($D$18="LEGAL",0,$D$10))</f>
        <v/>
      </c>
      <c r="N196" s="13">
        <f>IF(H196="","",IF(AND($D$14="Sí",(L196+M196)&lt;0),0,L196+M196))</f>
        <v/>
      </c>
      <c r="O196" s="199">
        <f>IF(H196="","",$D$5*N196*J196/36500)</f>
        <v/>
      </c>
      <c r="P196" s="199">
        <f>IF(H196="","",$D$5+SUM($O$5:O196))</f>
        <v/>
      </c>
    </row>
    <row r="197">
      <c r="G197" s="11">
        <f>IF(H197="","",ROW()-4)</f>
        <v/>
      </c>
      <c r="H197" s="12">
        <f>IF(OR(I196="",I196&gt;=$D$7),"",I196)</f>
        <v/>
      </c>
      <c r="I197" s="12">
        <f>IF(H197="","",MIN(IF($D$18="LEGAL",DATE(YEAR(H197)+1,1,1),EDATE($D$12,$D$11*(INT((((YEAR(H197)-YEAR($D$12))*12+(MONTH(H197)-MONTH($D$12))-IF(DAY(H197)&lt;DAY($D$12),1,0))/$D$11))+1))),$D$7))</f>
        <v/>
      </c>
      <c r="J197" s="11">
        <f>IF(H197="","",I197-H197)</f>
        <v/>
      </c>
      <c r="K197" s="12">
        <f>IF(H197="","",IF($D$18="LEGAL",H197,EDATE(H197,-$D$13)))</f>
        <v/>
      </c>
      <c r="L197" s="13">
        <f>IF(H197="","",IFERROR(INDEX('Tipos BdE'!$B$7:$M$336,MATCH(DATE(YEAR(K197),MONTH(K197),1),'Tipos BdE'!$A$7:$A$336,1),MATCH($D$9,'Tipos BdE'!$B$6:$M$6,0)),0))</f>
        <v/>
      </c>
      <c r="M197" s="13">
        <f>IF(H197="","",IF($D$18="LEGAL",0,$D$10))</f>
        <v/>
      </c>
      <c r="N197" s="13">
        <f>IF(H197="","",IF(AND($D$14="Sí",(L197+M197)&lt;0),0,L197+M197))</f>
        <v/>
      </c>
      <c r="O197" s="199">
        <f>IF(H197="","",$D$5*N197*J197/36500)</f>
        <v/>
      </c>
      <c r="P197" s="199">
        <f>IF(H197="","",$D$5+SUM($O$5:O197))</f>
        <v/>
      </c>
    </row>
    <row r="198">
      <c r="G198" s="11">
        <f>IF(H198="","",ROW()-4)</f>
        <v/>
      </c>
      <c r="H198" s="12">
        <f>IF(OR(I197="",I197&gt;=$D$7),"",I197)</f>
        <v/>
      </c>
      <c r="I198" s="12">
        <f>IF(H198="","",MIN(IF($D$18="LEGAL",DATE(YEAR(H198)+1,1,1),EDATE($D$12,$D$11*(INT((((YEAR(H198)-YEAR($D$12))*12+(MONTH(H198)-MONTH($D$12))-IF(DAY(H198)&lt;DAY($D$12),1,0))/$D$11))+1))),$D$7))</f>
        <v/>
      </c>
      <c r="J198" s="11">
        <f>IF(H198="","",I198-H198)</f>
        <v/>
      </c>
      <c r="K198" s="12">
        <f>IF(H198="","",IF($D$18="LEGAL",H198,EDATE(H198,-$D$13)))</f>
        <v/>
      </c>
      <c r="L198" s="13">
        <f>IF(H198="","",IFERROR(INDEX('Tipos BdE'!$B$7:$M$336,MATCH(DATE(YEAR(K198),MONTH(K198),1),'Tipos BdE'!$A$7:$A$336,1),MATCH($D$9,'Tipos BdE'!$B$6:$M$6,0)),0))</f>
        <v/>
      </c>
      <c r="M198" s="13">
        <f>IF(H198="","",IF($D$18="LEGAL",0,$D$10))</f>
        <v/>
      </c>
      <c r="N198" s="13">
        <f>IF(H198="","",IF(AND($D$14="Sí",(L198+M198)&lt;0),0,L198+M198))</f>
        <v/>
      </c>
      <c r="O198" s="199">
        <f>IF(H198="","",$D$5*N198*J198/36500)</f>
        <v/>
      </c>
      <c r="P198" s="199">
        <f>IF(H198="","",$D$5+SUM($O$5:O198))</f>
        <v/>
      </c>
    </row>
    <row r="199">
      <c r="G199" s="11">
        <f>IF(H199="","",ROW()-4)</f>
        <v/>
      </c>
      <c r="H199" s="12">
        <f>IF(OR(I198="",I198&gt;=$D$7),"",I198)</f>
        <v/>
      </c>
      <c r="I199" s="12">
        <f>IF(H199="","",MIN(IF($D$18="LEGAL",DATE(YEAR(H199)+1,1,1),EDATE($D$12,$D$11*(INT((((YEAR(H199)-YEAR($D$12))*12+(MONTH(H199)-MONTH($D$12))-IF(DAY(H199)&lt;DAY($D$12),1,0))/$D$11))+1))),$D$7))</f>
        <v/>
      </c>
      <c r="J199" s="11">
        <f>IF(H199="","",I199-H199)</f>
        <v/>
      </c>
      <c r="K199" s="12">
        <f>IF(H199="","",IF($D$18="LEGAL",H199,EDATE(H199,-$D$13)))</f>
        <v/>
      </c>
      <c r="L199" s="13">
        <f>IF(H199="","",IFERROR(INDEX('Tipos BdE'!$B$7:$M$336,MATCH(DATE(YEAR(K199),MONTH(K199),1),'Tipos BdE'!$A$7:$A$336,1),MATCH($D$9,'Tipos BdE'!$B$6:$M$6,0)),0))</f>
        <v/>
      </c>
      <c r="M199" s="13">
        <f>IF(H199="","",IF($D$18="LEGAL",0,$D$10))</f>
        <v/>
      </c>
      <c r="N199" s="13">
        <f>IF(H199="","",IF(AND($D$14="Sí",(L199+M199)&lt;0),0,L199+M199))</f>
        <v/>
      </c>
      <c r="O199" s="199">
        <f>IF(H199="","",$D$5*N199*J199/36500)</f>
        <v/>
      </c>
      <c r="P199" s="199">
        <f>IF(H199="","",$D$5+SUM($O$5:O199))</f>
        <v/>
      </c>
    </row>
    <row r="200">
      <c r="G200" s="11">
        <f>IF(H200="","",ROW()-4)</f>
        <v/>
      </c>
      <c r="H200" s="12">
        <f>IF(OR(I199="",I199&gt;=$D$7),"",I199)</f>
        <v/>
      </c>
      <c r="I200" s="12">
        <f>IF(H200="","",MIN(IF($D$18="LEGAL",DATE(YEAR(H200)+1,1,1),EDATE($D$12,$D$11*(INT((((YEAR(H200)-YEAR($D$12))*12+(MONTH(H200)-MONTH($D$12))-IF(DAY(H200)&lt;DAY($D$12),1,0))/$D$11))+1))),$D$7))</f>
        <v/>
      </c>
      <c r="J200" s="11">
        <f>IF(H200="","",I200-H200)</f>
        <v/>
      </c>
      <c r="K200" s="12">
        <f>IF(H200="","",IF($D$18="LEGAL",H200,EDATE(H200,-$D$13)))</f>
        <v/>
      </c>
      <c r="L200" s="13">
        <f>IF(H200="","",IFERROR(INDEX('Tipos BdE'!$B$7:$M$336,MATCH(DATE(YEAR(K200),MONTH(K200),1),'Tipos BdE'!$A$7:$A$336,1),MATCH($D$9,'Tipos BdE'!$B$6:$M$6,0)),0))</f>
        <v/>
      </c>
      <c r="M200" s="13">
        <f>IF(H200="","",IF($D$18="LEGAL",0,$D$10))</f>
        <v/>
      </c>
      <c r="N200" s="13">
        <f>IF(H200="","",IF(AND($D$14="Sí",(L200+M200)&lt;0),0,L200+M200))</f>
        <v/>
      </c>
      <c r="O200" s="199">
        <f>IF(H200="","",$D$5*N200*J200/36500)</f>
        <v/>
      </c>
      <c r="P200" s="199">
        <f>IF(H200="","",$D$5+SUM($O$5:O200))</f>
        <v/>
      </c>
    </row>
    <row r="201">
      <c r="G201" s="11">
        <f>IF(H201="","",ROW()-4)</f>
        <v/>
      </c>
      <c r="H201" s="12">
        <f>IF(OR(I200="",I200&gt;=$D$7),"",I200)</f>
        <v/>
      </c>
      <c r="I201" s="12">
        <f>IF(H201="","",MIN(IF($D$18="LEGAL",DATE(YEAR(H201)+1,1,1),EDATE($D$12,$D$11*(INT((((YEAR(H201)-YEAR($D$12))*12+(MONTH(H201)-MONTH($D$12))-IF(DAY(H201)&lt;DAY($D$12),1,0))/$D$11))+1))),$D$7))</f>
        <v/>
      </c>
      <c r="J201" s="11">
        <f>IF(H201="","",I201-H201)</f>
        <v/>
      </c>
      <c r="K201" s="12">
        <f>IF(H201="","",IF($D$18="LEGAL",H201,EDATE(H201,-$D$13)))</f>
        <v/>
      </c>
      <c r="L201" s="13">
        <f>IF(H201="","",IFERROR(INDEX('Tipos BdE'!$B$7:$M$336,MATCH(DATE(YEAR(K201),MONTH(K201),1),'Tipos BdE'!$A$7:$A$336,1),MATCH($D$9,'Tipos BdE'!$B$6:$M$6,0)),0))</f>
        <v/>
      </c>
      <c r="M201" s="13">
        <f>IF(H201="","",IF($D$18="LEGAL",0,$D$10))</f>
        <v/>
      </c>
      <c r="N201" s="13">
        <f>IF(H201="","",IF(AND($D$14="Sí",(L201+M201)&lt;0),0,L201+M201))</f>
        <v/>
      </c>
      <c r="O201" s="199">
        <f>IF(H201="","",$D$5*N201*J201/36500)</f>
        <v/>
      </c>
      <c r="P201" s="199">
        <f>IF(H201="","",$D$5+SUM($O$5:O201))</f>
        <v/>
      </c>
    </row>
    <row r="202">
      <c r="G202" s="11">
        <f>IF(H202="","",ROW()-4)</f>
        <v/>
      </c>
      <c r="H202" s="12">
        <f>IF(OR(I201="",I201&gt;=$D$7),"",I201)</f>
        <v/>
      </c>
      <c r="I202" s="12">
        <f>IF(H202="","",MIN(IF($D$18="LEGAL",DATE(YEAR(H202)+1,1,1),EDATE($D$12,$D$11*(INT((((YEAR(H202)-YEAR($D$12))*12+(MONTH(H202)-MONTH($D$12))-IF(DAY(H202)&lt;DAY($D$12),1,0))/$D$11))+1))),$D$7))</f>
        <v/>
      </c>
      <c r="J202" s="11">
        <f>IF(H202="","",I202-H202)</f>
        <v/>
      </c>
      <c r="K202" s="12">
        <f>IF(H202="","",IF($D$18="LEGAL",H202,EDATE(H202,-$D$13)))</f>
        <v/>
      </c>
      <c r="L202" s="13">
        <f>IF(H202="","",IFERROR(INDEX('Tipos BdE'!$B$7:$M$336,MATCH(DATE(YEAR(K202),MONTH(K202),1),'Tipos BdE'!$A$7:$A$336,1),MATCH($D$9,'Tipos BdE'!$B$6:$M$6,0)),0))</f>
        <v/>
      </c>
      <c r="M202" s="13">
        <f>IF(H202="","",IF($D$18="LEGAL",0,$D$10))</f>
        <v/>
      </c>
      <c r="N202" s="13">
        <f>IF(H202="","",IF(AND($D$14="Sí",(L202+M202)&lt;0),0,L202+M202))</f>
        <v/>
      </c>
      <c r="O202" s="199">
        <f>IF(H202="","",$D$5*N202*J202/36500)</f>
        <v/>
      </c>
      <c r="P202" s="199">
        <f>IF(H202="","",$D$5+SUM($O$5:O202))</f>
        <v/>
      </c>
    </row>
    <row r="203">
      <c r="G203" s="11">
        <f>IF(H203="","",ROW()-4)</f>
        <v/>
      </c>
      <c r="H203" s="12">
        <f>IF(OR(I202="",I202&gt;=$D$7),"",I202)</f>
        <v/>
      </c>
      <c r="I203" s="12">
        <f>IF(H203="","",MIN(IF($D$18="LEGAL",DATE(YEAR(H203)+1,1,1),EDATE($D$12,$D$11*(INT((((YEAR(H203)-YEAR($D$12))*12+(MONTH(H203)-MONTH($D$12))-IF(DAY(H203)&lt;DAY($D$12),1,0))/$D$11))+1))),$D$7))</f>
        <v/>
      </c>
      <c r="J203" s="11">
        <f>IF(H203="","",I203-H203)</f>
        <v/>
      </c>
      <c r="K203" s="12">
        <f>IF(H203="","",IF($D$18="LEGAL",H203,EDATE(H203,-$D$13)))</f>
        <v/>
      </c>
      <c r="L203" s="13">
        <f>IF(H203="","",IFERROR(INDEX('Tipos BdE'!$B$7:$M$336,MATCH(DATE(YEAR(K203),MONTH(K203),1),'Tipos BdE'!$A$7:$A$336,1),MATCH($D$9,'Tipos BdE'!$B$6:$M$6,0)),0))</f>
        <v/>
      </c>
      <c r="M203" s="13">
        <f>IF(H203="","",IF($D$18="LEGAL",0,$D$10))</f>
        <v/>
      </c>
      <c r="N203" s="13">
        <f>IF(H203="","",IF(AND($D$14="Sí",(L203+M203)&lt;0),0,L203+M203))</f>
        <v/>
      </c>
      <c r="O203" s="199">
        <f>IF(H203="","",$D$5*N203*J203/36500)</f>
        <v/>
      </c>
      <c r="P203" s="199">
        <f>IF(H203="","",$D$5+SUM($O$5:O203))</f>
        <v/>
      </c>
    </row>
    <row r="204">
      <c r="G204" s="11">
        <f>IF(H204="","",ROW()-4)</f>
        <v/>
      </c>
      <c r="H204" s="12">
        <f>IF(OR(I203="",I203&gt;=$D$7),"",I203)</f>
        <v/>
      </c>
      <c r="I204" s="12">
        <f>IF(H204="","",MIN(IF($D$18="LEGAL",DATE(YEAR(H204)+1,1,1),EDATE($D$12,$D$11*(INT((((YEAR(H204)-YEAR($D$12))*12+(MONTH(H204)-MONTH($D$12))-IF(DAY(H204)&lt;DAY($D$12),1,0))/$D$11))+1))),$D$7))</f>
        <v/>
      </c>
      <c r="J204" s="11">
        <f>IF(H204="","",I204-H204)</f>
        <v/>
      </c>
      <c r="K204" s="12">
        <f>IF(H204="","",IF($D$18="LEGAL",H204,EDATE(H204,-$D$13)))</f>
        <v/>
      </c>
      <c r="L204" s="13">
        <f>IF(H204="","",IFERROR(INDEX('Tipos BdE'!$B$7:$M$336,MATCH(DATE(YEAR(K204),MONTH(K204),1),'Tipos BdE'!$A$7:$A$336,1),MATCH($D$9,'Tipos BdE'!$B$6:$M$6,0)),0))</f>
        <v/>
      </c>
      <c r="M204" s="13">
        <f>IF(H204="","",IF($D$18="LEGAL",0,$D$10))</f>
        <v/>
      </c>
      <c r="N204" s="13">
        <f>IF(H204="","",IF(AND($D$14="Sí",(L204+M204)&lt;0),0,L204+M204))</f>
        <v/>
      </c>
      <c r="O204" s="199">
        <f>IF(H204="","",$D$5*N204*J204/36500)</f>
        <v/>
      </c>
      <c r="P204" s="199">
        <f>IF(H204="","",$D$5+SUM($O$5:O204))</f>
        <v/>
      </c>
    </row>
    <row r="205">
      <c r="G205" s="11">
        <f>IF(H205="","",ROW()-4)</f>
        <v/>
      </c>
      <c r="H205" s="12">
        <f>IF(OR(I204="",I204&gt;=$D$7),"",I204)</f>
        <v/>
      </c>
      <c r="I205" s="12">
        <f>IF(H205="","",MIN(IF($D$18="LEGAL",DATE(YEAR(H205)+1,1,1),EDATE($D$12,$D$11*(INT((((YEAR(H205)-YEAR($D$12))*12+(MONTH(H205)-MONTH($D$12))-IF(DAY(H205)&lt;DAY($D$12),1,0))/$D$11))+1))),$D$7))</f>
        <v/>
      </c>
      <c r="J205" s="11">
        <f>IF(H205="","",I205-H205)</f>
        <v/>
      </c>
      <c r="K205" s="12">
        <f>IF(H205="","",IF($D$18="LEGAL",H205,EDATE(H205,-$D$13)))</f>
        <v/>
      </c>
      <c r="L205" s="13">
        <f>IF(H205="","",IFERROR(INDEX('Tipos BdE'!$B$7:$M$336,MATCH(DATE(YEAR(K205),MONTH(K205),1),'Tipos BdE'!$A$7:$A$336,1),MATCH($D$9,'Tipos BdE'!$B$6:$M$6,0)),0))</f>
        <v/>
      </c>
      <c r="M205" s="13">
        <f>IF(H205="","",IF($D$18="LEGAL",0,$D$10))</f>
        <v/>
      </c>
      <c r="N205" s="13">
        <f>IF(H205="","",IF(AND($D$14="Sí",(L205+M205)&lt;0),0,L205+M205))</f>
        <v/>
      </c>
      <c r="O205" s="199">
        <f>IF(H205="","",$D$5*N205*J205/36500)</f>
        <v/>
      </c>
      <c r="P205" s="199">
        <f>IF(H205="","",$D$5+SUM($O$5:O205))</f>
        <v/>
      </c>
    </row>
    <row r="206">
      <c r="G206" s="11">
        <f>IF(H206="","",ROW()-4)</f>
        <v/>
      </c>
      <c r="H206" s="12">
        <f>IF(OR(I205="",I205&gt;=$D$7),"",I205)</f>
        <v/>
      </c>
      <c r="I206" s="12">
        <f>IF(H206="","",MIN(IF($D$18="LEGAL",DATE(YEAR(H206)+1,1,1),EDATE($D$12,$D$11*(INT((((YEAR(H206)-YEAR($D$12))*12+(MONTH(H206)-MONTH($D$12))-IF(DAY(H206)&lt;DAY($D$12),1,0))/$D$11))+1))),$D$7))</f>
        <v/>
      </c>
      <c r="J206" s="11">
        <f>IF(H206="","",I206-H206)</f>
        <v/>
      </c>
      <c r="K206" s="12">
        <f>IF(H206="","",IF($D$18="LEGAL",H206,EDATE(H206,-$D$13)))</f>
        <v/>
      </c>
      <c r="L206" s="13">
        <f>IF(H206="","",IFERROR(INDEX('Tipos BdE'!$B$7:$M$336,MATCH(DATE(YEAR(K206),MONTH(K206),1),'Tipos BdE'!$A$7:$A$336,1),MATCH($D$9,'Tipos BdE'!$B$6:$M$6,0)),0))</f>
        <v/>
      </c>
      <c r="M206" s="13">
        <f>IF(H206="","",IF($D$18="LEGAL",0,$D$10))</f>
        <v/>
      </c>
      <c r="N206" s="13">
        <f>IF(H206="","",IF(AND($D$14="Sí",(L206+M206)&lt;0),0,L206+M206))</f>
        <v/>
      </c>
      <c r="O206" s="199">
        <f>IF(H206="","",$D$5*N206*J206/36500)</f>
        <v/>
      </c>
      <c r="P206" s="199">
        <f>IF(H206="","",$D$5+SUM($O$5:O206))</f>
        <v/>
      </c>
    </row>
    <row r="207">
      <c r="G207" s="11">
        <f>IF(H207="","",ROW()-4)</f>
        <v/>
      </c>
      <c r="H207" s="12">
        <f>IF(OR(I206="",I206&gt;=$D$7),"",I206)</f>
        <v/>
      </c>
      <c r="I207" s="12">
        <f>IF(H207="","",MIN(IF($D$18="LEGAL",DATE(YEAR(H207)+1,1,1),EDATE($D$12,$D$11*(INT((((YEAR(H207)-YEAR($D$12))*12+(MONTH(H207)-MONTH($D$12))-IF(DAY(H207)&lt;DAY($D$12),1,0))/$D$11))+1))),$D$7))</f>
        <v/>
      </c>
      <c r="J207" s="11">
        <f>IF(H207="","",I207-H207)</f>
        <v/>
      </c>
      <c r="K207" s="12">
        <f>IF(H207="","",IF($D$18="LEGAL",H207,EDATE(H207,-$D$13)))</f>
        <v/>
      </c>
      <c r="L207" s="13">
        <f>IF(H207="","",IFERROR(INDEX('Tipos BdE'!$B$7:$M$336,MATCH(DATE(YEAR(K207),MONTH(K207),1),'Tipos BdE'!$A$7:$A$336,1),MATCH($D$9,'Tipos BdE'!$B$6:$M$6,0)),0))</f>
        <v/>
      </c>
      <c r="M207" s="13">
        <f>IF(H207="","",IF($D$18="LEGAL",0,$D$10))</f>
        <v/>
      </c>
      <c r="N207" s="13">
        <f>IF(H207="","",IF(AND($D$14="Sí",(L207+M207)&lt;0),0,L207+M207))</f>
        <v/>
      </c>
      <c r="O207" s="199">
        <f>IF(H207="","",$D$5*N207*J207/36500)</f>
        <v/>
      </c>
      <c r="P207" s="199">
        <f>IF(H207="","",$D$5+SUM($O$5:O207))</f>
        <v/>
      </c>
    </row>
    <row r="208">
      <c r="G208" s="11">
        <f>IF(H208="","",ROW()-4)</f>
        <v/>
      </c>
      <c r="H208" s="12">
        <f>IF(OR(I207="",I207&gt;=$D$7),"",I207)</f>
        <v/>
      </c>
      <c r="I208" s="12">
        <f>IF(H208="","",MIN(IF($D$18="LEGAL",DATE(YEAR(H208)+1,1,1),EDATE($D$12,$D$11*(INT((((YEAR(H208)-YEAR($D$12))*12+(MONTH(H208)-MONTH($D$12))-IF(DAY(H208)&lt;DAY($D$12),1,0))/$D$11))+1))),$D$7))</f>
        <v/>
      </c>
      <c r="J208" s="11">
        <f>IF(H208="","",I208-H208)</f>
        <v/>
      </c>
      <c r="K208" s="12">
        <f>IF(H208="","",IF($D$18="LEGAL",H208,EDATE(H208,-$D$13)))</f>
        <v/>
      </c>
      <c r="L208" s="13">
        <f>IF(H208="","",IFERROR(INDEX('Tipos BdE'!$B$7:$M$336,MATCH(DATE(YEAR(K208),MONTH(K208),1),'Tipos BdE'!$A$7:$A$336,1),MATCH($D$9,'Tipos BdE'!$B$6:$M$6,0)),0))</f>
        <v/>
      </c>
      <c r="M208" s="13">
        <f>IF(H208="","",IF($D$18="LEGAL",0,$D$10))</f>
        <v/>
      </c>
      <c r="N208" s="13">
        <f>IF(H208="","",IF(AND($D$14="Sí",(L208+M208)&lt;0),0,L208+M208))</f>
        <v/>
      </c>
      <c r="O208" s="199">
        <f>IF(H208="","",$D$5*N208*J208/36500)</f>
        <v/>
      </c>
      <c r="P208" s="199">
        <f>IF(H208="","",$D$5+SUM($O$5:O208))</f>
        <v/>
      </c>
    </row>
    <row r="209">
      <c r="G209" s="11">
        <f>IF(H209="","",ROW()-4)</f>
        <v/>
      </c>
      <c r="H209" s="12">
        <f>IF(OR(I208="",I208&gt;=$D$7),"",I208)</f>
        <v/>
      </c>
      <c r="I209" s="12">
        <f>IF(H209="","",MIN(IF($D$18="LEGAL",DATE(YEAR(H209)+1,1,1),EDATE($D$12,$D$11*(INT((((YEAR(H209)-YEAR($D$12))*12+(MONTH(H209)-MONTH($D$12))-IF(DAY(H209)&lt;DAY($D$12),1,0))/$D$11))+1))),$D$7))</f>
        <v/>
      </c>
      <c r="J209" s="11">
        <f>IF(H209="","",I209-H209)</f>
        <v/>
      </c>
      <c r="K209" s="12">
        <f>IF(H209="","",IF($D$18="LEGAL",H209,EDATE(H209,-$D$13)))</f>
        <v/>
      </c>
      <c r="L209" s="13">
        <f>IF(H209="","",IFERROR(INDEX('Tipos BdE'!$B$7:$M$336,MATCH(DATE(YEAR(K209),MONTH(K209),1),'Tipos BdE'!$A$7:$A$336,1),MATCH($D$9,'Tipos BdE'!$B$6:$M$6,0)),0))</f>
        <v/>
      </c>
      <c r="M209" s="13">
        <f>IF(H209="","",IF($D$18="LEGAL",0,$D$10))</f>
        <v/>
      </c>
      <c r="N209" s="13">
        <f>IF(H209="","",IF(AND($D$14="Sí",(L209+M209)&lt;0),0,L209+M209))</f>
        <v/>
      </c>
      <c r="O209" s="199">
        <f>IF(H209="","",$D$5*N209*J209/36500)</f>
        <v/>
      </c>
      <c r="P209" s="199">
        <f>IF(H209="","",$D$5+SUM($O$5:O209))</f>
        <v/>
      </c>
    </row>
    <row r="210">
      <c r="G210" s="11">
        <f>IF(H210="","",ROW()-4)</f>
        <v/>
      </c>
      <c r="H210" s="12">
        <f>IF(OR(I209="",I209&gt;=$D$7),"",I209)</f>
        <v/>
      </c>
      <c r="I210" s="12">
        <f>IF(H210="","",MIN(IF($D$18="LEGAL",DATE(YEAR(H210)+1,1,1),EDATE($D$12,$D$11*(INT((((YEAR(H210)-YEAR($D$12))*12+(MONTH(H210)-MONTH($D$12))-IF(DAY(H210)&lt;DAY($D$12),1,0))/$D$11))+1))),$D$7))</f>
        <v/>
      </c>
      <c r="J210" s="11">
        <f>IF(H210="","",I210-H210)</f>
        <v/>
      </c>
      <c r="K210" s="12">
        <f>IF(H210="","",IF($D$18="LEGAL",H210,EDATE(H210,-$D$13)))</f>
        <v/>
      </c>
      <c r="L210" s="13">
        <f>IF(H210="","",IFERROR(INDEX('Tipos BdE'!$B$7:$M$336,MATCH(DATE(YEAR(K210),MONTH(K210),1),'Tipos BdE'!$A$7:$A$336,1),MATCH($D$9,'Tipos BdE'!$B$6:$M$6,0)),0))</f>
        <v/>
      </c>
      <c r="M210" s="13">
        <f>IF(H210="","",IF($D$18="LEGAL",0,$D$10))</f>
        <v/>
      </c>
      <c r="N210" s="13">
        <f>IF(H210="","",IF(AND($D$14="Sí",(L210+M210)&lt;0),0,L210+M210))</f>
        <v/>
      </c>
      <c r="O210" s="199">
        <f>IF(H210="","",$D$5*N210*J210/36500)</f>
        <v/>
      </c>
      <c r="P210" s="199">
        <f>IF(H210="","",$D$5+SUM($O$5:O210))</f>
        <v/>
      </c>
    </row>
    <row r="211">
      <c r="G211" s="11">
        <f>IF(H211="","",ROW()-4)</f>
        <v/>
      </c>
      <c r="H211" s="12">
        <f>IF(OR(I210="",I210&gt;=$D$7),"",I210)</f>
        <v/>
      </c>
      <c r="I211" s="12">
        <f>IF(H211="","",MIN(IF($D$18="LEGAL",DATE(YEAR(H211)+1,1,1),EDATE($D$12,$D$11*(INT((((YEAR(H211)-YEAR($D$12))*12+(MONTH(H211)-MONTH($D$12))-IF(DAY(H211)&lt;DAY($D$12),1,0))/$D$11))+1))),$D$7))</f>
        <v/>
      </c>
      <c r="J211" s="11">
        <f>IF(H211="","",I211-H211)</f>
        <v/>
      </c>
      <c r="K211" s="12">
        <f>IF(H211="","",IF($D$18="LEGAL",H211,EDATE(H211,-$D$13)))</f>
        <v/>
      </c>
      <c r="L211" s="13">
        <f>IF(H211="","",IFERROR(INDEX('Tipos BdE'!$B$7:$M$336,MATCH(DATE(YEAR(K211),MONTH(K211),1),'Tipos BdE'!$A$7:$A$336,1),MATCH($D$9,'Tipos BdE'!$B$6:$M$6,0)),0))</f>
        <v/>
      </c>
      <c r="M211" s="13">
        <f>IF(H211="","",IF($D$18="LEGAL",0,$D$10))</f>
        <v/>
      </c>
      <c r="N211" s="13">
        <f>IF(H211="","",IF(AND($D$14="Sí",(L211+M211)&lt;0),0,L211+M211))</f>
        <v/>
      </c>
      <c r="O211" s="199">
        <f>IF(H211="","",$D$5*N211*J211/36500)</f>
        <v/>
      </c>
      <c r="P211" s="199">
        <f>IF(H211="","",$D$5+SUM($O$5:O211))</f>
        <v/>
      </c>
    </row>
    <row r="212">
      <c r="G212" s="11">
        <f>IF(H212="","",ROW()-4)</f>
        <v/>
      </c>
      <c r="H212" s="12">
        <f>IF(OR(I211="",I211&gt;=$D$7),"",I211)</f>
        <v/>
      </c>
      <c r="I212" s="12">
        <f>IF(H212="","",MIN(IF($D$18="LEGAL",DATE(YEAR(H212)+1,1,1),EDATE($D$12,$D$11*(INT((((YEAR(H212)-YEAR($D$12))*12+(MONTH(H212)-MONTH($D$12))-IF(DAY(H212)&lt;DAY($D$12),1,0))/$D$11))+1))),$D$7))</f>
        <v/>
      </c>
      <c r="J212" s="11">
        <f>IF(H212="","",I212-H212)</f>
        <v/>
      </c>
      <c r="K212" s="12">
        <f>IF(H212="","",IF($D$18="LEGAL",H212,EDATE(H212,-$D$13)))</f>
        <v/>
      </c>
      <c r="L212" s="13">
        <f>IF(H212="","",IFERROR(INDEX('Tipos BdE'!$B$7:$M$336,MATCH(DATE(YEAR(K212),MONTH(K212),1),'Tipos BdE'!$A$7:$A$336,1),MATCH($D$9,'Tipos BdE'!$B$6:$M$6,0)),0))</f>
        <v/>
      </c>
      <c r="M212" s="13">
        <f>IF(H212="","",IF($D$18="LEGAL",0,$D$10))</f>
        <v/>
      </c>
      <c r="N212" s="13">
        <f>IF(H212="","",IF(AND($D$14="Sí",(L212+M212)&lt;0),0,L212+M212))</f>
        <v/>
      </c>
      <c r="O212" s="199">
        <f>IF(H212="","",$D$5*N212*J212/36500)</f>
        <v/>
      </c>
      <c r="P212" s="199">
        <f>IF(H212="","",$D$5+SUM($O$5:O212))</f>
        <v/>
      </c>
    </row>
    <row r="213">
      <c r="G213" s="11">
        <f>IF(H213="","",ROW()-4)</f>
        <v/>
      </c>
      <c r="H213" s="12">
        <f>IF(OR(I212="",I212&gt;=$D$7),"",I212)</f>
        <v/>
      </c>
      <c r="I213" s="12">
        <f>IF(H213="","",MIN(IF($D$18="LEGAL",DATE(YEAR(H213)+1,1,1),EDATE($D$12,$D$11*(INT((((YEAR(H213)-YEAR($D$12))*12+(MONTH(H213)-MONTH($D$12))-IF(DAY(H213)&lt;DAY($D$12),1,0))/$D$11))+1))),$D$7))</f>
        <v/>
      </c>
      <c r="J213" s="11">
        <f>IF(H213="","",I213-H213)</f>
        <v/>
      </c>
      <c r="K213" s="12">
        <f>IF(H213="","",IF($D$18="LEGAL",H213,EDATE(H213,-$D$13)))</f>
        <v/>
      </c>
      <c r="L213" s="13">
        <f>IF(H213="","",IFERROR(INDEX('Tipos BdE'!$B$7:$M$336,MATCH(DATE(YEAR(K213),MONTH(K213),1),'Tipos BdE'!$A$7:$A$336,1),MATCH($D$9,'Tipos BdE'!$B$6:$M$6,0)),0))</f>
        <v/>
      </c>
      <c r="M213" s="13">
        <f>IF(H213="","",IF($D$18="LEGAL",0,$D$10))</f>
        <v/>
      </c>
      <c r="N213" s="13">
        <f>IF(H213="","",IF(AND($D$14="Sí",(L213+M213)&lt;0),0,L213+M213))</f>
        <v/>
      </c>
      <c r="O213" s="199">
        <f>IF(H213="","",$D$5*N213*J213/36500)</f>
        <v/>
      </c>
      <c r="P213" s="199">
        <f>IF(H213="","",$D$5+SUM($O$5:O213))</f>
        <v/>
      </c>
    </row>
    <row r="214">
      <c r="G214" s="11">
        <f>IF(H214="","",ROW()-4)</f>
        <v/>
      </c>
      <c r="H214" s="12">
        <f>IF(OR(I213="",I213&gt;=$D$7),"",I213)</f>
        <v/>
      </c>
      <c r="I214" s="12">
        <f>IF(H214="","",MIN(IF($D$18="LEGAL",DATE(YEAR(H214)+1,1,1),EDATE($D$12,$D$11*(INT((((YEAR(H214)-YEAR($D$12))*12+(MONTH(H214)-MONTH($D$12))-IF(DAY(H214)&lt;DAY($D$12),1,0))/$D$11))+1))),$D$7))</f>
        <v/>
      </c>
      <c r="J214" s="11">
        <f>IF(H214="","",I214-H214)</f>
        <v/>
      </c>
      <c r="K214" s="12">
        <f>IF(H214="","",IF($D$18="LEGAL",H214,EDATE(H214,-$D$13)))</f>
        <v/>
      </c>
      <c r="L214" s="13">
        <f>IF(H214="","",IFERROR(INDEX('Tipos BdE'!$B$7:$M$336,MATCH(DATE(YEAR(K214),MONTH(K214),1),'Tipos BdE'!$A$7:$A$336,1),MATCH($D$9,'Tipos BdE'!$B$6:$M$6,0)),0))</f>
        <v/>
      </c>
      <c r="M214" s="13">
        <f>IF(H214="","",IF($D$18="LEGAL",0,$D$10))</f>
        <v/>
      </c>
      <c r="N214" s="13">
        <f>IF(H214="","",IF(AND($D$14="Sí",(L214+M214)&lt;0),0,L214+M214))</f>
        <v/>
      </c>
      <c r="O214" s="199">
        <f>IF(H214="","",$D$5*N214*J214/36500)</f>
        <v/>
      </c>
      <c r="P214" s="199">
        <f>IF(H214="","",$D$5+SUM($O$5:O214))</f>
        <v/>
      </c>
    </row>
    <row r="215">
      <c r="G215" s="11">
        <f>IF(H215="","",ROW()-4)</f>
        <v/>
      </c>
      <c r="H215" s="12">
        <f>IF(OR(I214="",I214&gt;=$D$7),"",I214)</f>
        <v/>
      </c>
      <c r="I215" s="12">
        <f>IF(H215="","",MIN(IF($D$18="LEGAL",DATE(YEAR(H215)+1,1,1),EDATE($D$12,$D$11*(INT((((YEAR(H215)-YEAR($D$12))*12+(MONTH(H215)-MONTH($D$12))-IF(DAY(H215)&lt;DAY($D$12),1,0))/$D$11))+1))),$D$7))</f>
        <v/>
      </c>
      <c r="J215" s="11">
        <f>IF(H215="","",I215-H215)</f>
        <v/>
      </c>
      <c r="K215" s="12">
        <f>IF(H215="","",IF($D$18="LEGAL",H215,EDATE(H215,-$D$13)))</f>
        <v/>
      </c>
      <c r="L215" s="13">
        <f>IF(H215="","",IFERROR(INDEX('Tipos BdE'!$B$7:$M$336,MATCH(DATE(YEAR(K215),MONTH(K215),1),'Tipos BdE'!$A$7:$A$336,1),MATCH($D$9,'Tipos BdE'!$B$6:$M$6,0)),0))</f>
        <v/>
      </c>
      <c r="M215" s="13">
        <f>IF(H215="","",IF($D$18="LEGAL",0,$D$10))</f>
        <v/>
      </c>
      <c r="N215" s="13">
        <f>IF(H215="","",IF(AND($D$14="Sí",(L215+M215)&lt;0),0,L215+M215))</f>
        <v/>
      </c>
      <c r="O215" s="199">
        <f>IF(H215="","",$D$5*N215*J215/36500)</f>
        <v/>
      </c>
      <c r="P215" s="199">
        <f>IF(H215="","",$D$5+SUM($O$5:O215))</f>
        <v/>
      </c>
    </row>
    <row r="216">
      <c r="G216" s="11">
        <f>IF(H216="","",ROW()-4)</f>
        <v/>
      </c>
      <c r="H216" s="12">
        <f>IF(OR(I215="",I215&gt;=$D$7),"",I215)</f>
        <v/>
      </c>
      <c r="I216" s="12">
        <f>IF(H216="","",MIN(IF($D$18="LEGAL",DATE(YEAR(H216)+1,1,1),EDATE($D$12,$D$11*(INT((((YEAR(H216)-YEAR($D$12))*12+(MONTH(H216)-MONTH($D$12))-IF(DAY(H216)&lt;DAY($D$12),1,0))/$D$11))+1))),$D$7))</f>
        <v/>
      </c>
      <c r="J216" s="11">
        <f>IF(H216="","",I216-H216)</f>
        <v/>
      </c>
      <c r="K216" s="12">
        <f>IF(H216="","",IF($D$18="LEGAL",H216,EDATE(H216,-$D$13)))</f>
        <v/>
      </c>
      <c r="L216" s="13">
        <f>IF(H216="","",IFERROR(INDEX('Tipos BdE'!$B$7:$M$336,MATCH(DATE(YEAR(K216),MONTH(K216),1),'Tipos BdE'!$A$7:$A$336,1),MATCH($D$9,'Tipos BdE'!$B$6:$M$6,0)),0))</f>
        <v/>
      </c>
      <c r="M216" s="13">
        <f>IF(H216="","",IF($D$18="LEGAL",0,$D$10))</f>
        <v/>
      </c>
      <c r="N216" s="13">
        <f>IF(H216="","",IF(AND($D$14="Sí",(L216+M216)&lt;0),0,L216+M216))</f>
        <v/>
      </c>
      <c r="O216" s="199">
        <f>IF(H216="","",$D$5*N216*J216/36500)</f>
        <v/>
      </c>
      <c r="P216" s="199">
        <f>IF(H216="","",$D$5+SUM($O$5:O216))</f>
        <v/>
      </c>
    </row>
    <row r="217">
      <c r="G217" s="11">
        <f>IF(H217="","",ROW()-4)</f>
        <v/>
      </c>
      <c r="H217" s="12">
        <f>IF(OR(I216="",I216&gt;=$D$7),"",I216)</f>
        <v/>
      </c>
      <c r="I217" s="12">
        <f>IF(H217="","",MIN(IF($D$18="LEGAL",DATE(YEAR(H217)+1,1,1),EDATE($D$12,$D$11*(INT((((YEAR(H217)-YEAR($D$12))*12+(MONTH(H217)-MONTH($D$12))-IF(DAY(H217)&lt;DAY($D$12),1,0))/$D$11))+1))),$D$7))</f>
        <v/>
      </c>
      <c r="J217" s="11">
        <f>IF(H217="","",I217-H217)</f>
        <v/>
      </c>
      <c r="K217" s="12">
        <f>IF(H217="","",IF($D$18="LEGAL",H217,EDATE(H217,-$D$13)))</f>
        <v/>
      </c>
      <c r="L217" s="13">
        <f>IF(H217="","",IFERROR(INDEX('Tipos BdE'!$B$7:$M$336,MATCH(DATE(YEAR(K217),MONTH(K217),1),'Tipos BdE'!$A$7:$A$336,1),MATCH($D$9,'Tipos BdE'!$B$6:$M$6,0)),0))</f>
        <v/>
      </c>
      <c r="M217" s="13">
        <f>IF(H217="","",IF($D$18="LEGAL",0,$D$10))</f>
        <v/>
      </c>
      <c r="N217" s="13">
        <f>IF(H217="","",IF(AND($D$14="Sí",(L217+M217)&lt;0),0,L217+M217))</f>
        <v/>
      </c>
      <c r="O217" s="199">
        <f>IF(H217="","",$D$5*N217*J217/36500)</f>
        <v/>
      </c>
      <c r="P217" s="199">
        <f>IF(H217="","",$D$5+SUM($O$5:O217))</f>
        <v/>
      </c>
    </row>
    <row r="218">
      <c r="G218" s="11">
        <f>IF(H218="","",ROW()-4)</f>
        <v/>
      </c>
      <c r="H218" s="12">
        <f>IF(OR(I217="",I217&gt;=$D$7),"",I217)</f>
        <v/>
      </c>
      <c r="I218" s="12">
        <f>IF(H218="","",MIN(IF($D$18="LEGAL",DATE(YEAR(H218)+1,1,1),EDATE($D$12,$D$11*(INT((((YEAR(H218)-YEAR($D$12))*12+(MONTH(H218)-MONTH($D$12))-IF(DAY(H218)&lt;DAY($D$12),1,0))/$D$11))+1))),$D$7))</f>
        <v/>
      </c>
      <c r="J218" s="11">
        <f>IF(H218="","",I218-H218)</f>
        <v/>
      </c>
      <c r="K218" s="12">
        <f>IF(H218="","",IF($D$18="LEGAL",H218,EDATE(H218,-$D$13)))</f>
        <v/>
      </c>
      <c r="L218" s="13">
        <f>IF(H218="","",IFERROR(INDEX('Tipos BdE'!$B$7:$M$336,MATCH(DATE(YEAR(K218),MONTH(K218),1),'Tipos BdE'!$A$7:$A$336,1),MATCH($D$9,'Tipos BdE'!$B$6:$M$6,0)),0))</f>
        <v/>
      </c>
      <c r="M218" s="13">
        <f>IF(H218="","",IF($D$18="LEGAL",0,$D$10))</f>
        <v/>
      </c>
      <c r="N218" s="13">
        <f>IF(H218="","",IF(AND($D$14="Sí",(L218+M218)&lt;0),0,L218+M218))</f>
        <v/>
      </c>
      <c r="O218" s="199">
        <f>IF(H218="","",$D$5*N218*J218/36500)</f>
        <v/>
      </c>
      <c r="P218" s="199">
        <f>IF(H218="","",$D$5+SUM($O$5:O218))</f>
        <v/>
      </c>
    </row>
    <row r="219">
      <c r="G219" s="11">
        <f>IF(H219="","",ROW()-4)</f>
        <v/>
      </c>
      <c r="H219" s="12">
        <f>IF(OR(I218="",I218&gt;=$D$7),"",I218)</f>
        <v/>
      </c>
      <c r="I219" s="12">
        <f>IF(H219="","",MIN(IF($D$18="LEGAL",DATE(YEAR(H219)+1,1,1),EDATE($D$12,$D$11*(INT((((YEAR(H219)-YEAR($D$12))*12+(MONTH(H219)-MONTH($D$12))-IF(DAY(H219)&lt;DAY($D$12),1,0))/$D$11))+1))),$D$7))</f>
        <v/>
      </c>
      <c r="J219" s="11">
        <f>IF(H219="","",I219-H219)</f>
        <v/>
      </c>
      <c r="K219" s="12">
        <f>IF(H219="","",IF($D$18="LEGAL",H219,EDATE(H219,-$D$13)))</f>
        <v/>
      </c>
      <c r="L219" s="13">
        <f>IF(H219="","",IFERROR(INDEX('Tipos BdE'!$B$7:$M$336,MATCH(DATE(YEAR(K219),MONTH(K219),1),'Tipos BdE'!$A$7:$A$336,1),MATCH($D$9,'Tipos BdE'!$B$6:$M$6,0)),0))</f>
        <v/>
      </c>
      <c r="M219" s="13">
        <f>IF(H219="","",IF($D$18="LEGAL",0,$D$10))</f>
        <v/>
      </c>
      <c r="N219" s="13">
        <f>IF(H219="","",IF(AND($D$14="Sí",(L219+M219)&lt;0),0,L219+M219))</f>
        <v/>
      </c>
      <c r="O219" s="199">
        <f>IF(H219="","",$D$5*N219*J219/36500)</f>
        <v/>
      </c>
      <c r="P219" s="199">
        <f>IF(H219="","",$D$5+SUM($O$5:O219))</f>
        <v/>
      </c>
    </row>
    <row r="220">
      <c r="G220" s="11">
        <f>IF(H220="","",ROW()-4)</f>
        <v/>
      </c>
      <c r="H220" s="12">
        <f>IF(OR(I219="",I219&gt;=$D$7),"",I219)</f>
        <v/>
      </c>
      <c r="I220" s="12">
        <f>IF(H220="","",MIN(IF($D$18="LEGAL",DATE(YEAR(H220)+1,1,1),EDATE($D$12,$D$11*(INT((((YEAR(H220)-YEAR($D$12))*12+(MONTH(H220)-MONTH($D$12))-IF(DAY(H220)&lt;DAY($D$12),1,0))/$D$11))+1))),$D$7))</f>
        <v/>
      </c>
      <c r="J220" s="11">
        <f>IF(H220="","",I220-H220)</f>
        <v/>
      </c>
      <c r="K220" s="12">
        <f>IF(H220="","",IF($D$18="LEGAL",H220,EDATE(H220,-$D$13)))</f>
        <v/>
      </c>
      <c r="L220" s="13">
        <f>IF(H220="","",IFERROR(INDEX('Tipos BdE'!$B$7:$M$336,MATCH(DATE(YEAR(K220),MONTH(K220),1),'Tipos BdE'!$A$7:$A$336,1),MATCH($D$9,'Tipos BdE'!$B$6:$M$6,0)),0))</f>
        <v/>
      </c>
      <c r="M220" s="13">
        <f>IF(H220="","",IF($D$18="LEGAL",0,$D$10))</f>
        <v/>
      </c>
      <c r="N220" s="13">
        <f>IF(H220="","",IF(AND($D$14="Sí",(L220+M220)&lt;0),0,L220+M220))</f>
        <v/>
      </c>
      <c r="O220" s="199">
        <f>IF(H220="","",$D$5*N220*J220/36500)</f>
        <v/>
      </c>
      <c r="P220" s="199">
        <f>IF(H220="","",$D$5+SUM($O$5:O220))</f>
        <v/>
      </c>
    </row>
    <row r="221">
      <c r="G221" s="11">
        <f>IF(H221="","",ROW()-4)</f>
        <v/>
      </c>
      <c r="H221" s="12">
        <f>IF(OR(I220="",I220&gt;=$D$7),"",I220)</f>
        <v/>
      </c>
      <c r="I221" s="12">
        <f>IF(H221="","",MIN(IF($D$18="LEGAL",DATE(YEAR(H221)+1,1,1),EDATE($D$12,$D$11*(INT((((YEAR(H221)-YEAR($D$12))*12+(MONTH(H221)-MONTH($D$12))-IF(DAY(H221)&lt;DAY($D$12),1,0))/$D$11))+1))),$D$7))</f>
        <v/>
      </c>
      <c r="J221" s="11">
        <f>IF(H221="","",I221-H221)</f>
        <v/>
      </c>
      <c r="K221" s="12">
        <f>IF(H221="","",IF($D$18="LEGAL",H221,EDATE(H221,-$D$13)))</f>
        <v/>
      </c>
      <c r="L221" s="13">
        <f>IF(H221="","",IFERROR(INDEX('Tipos BdE'!$B$7:$M$336,MATCH(DATE(YEAR(K221),MONTH(K221),1),'Tipos BdE'!$A$7:$A$336,1),MATCH($D$9,'Tipos BdE'!$B$6:$M$6,0)),0))</f>
        <v/>
      </c>
      <c r="M221" s="13">
        <f>IF(H221="","",IF($D$18="LEGAL",0,$D$10))</f>
        <v/>
      </c>
      <c r="N221" s="13">
        <f>IF(H221="","",IF(AND($D$14="Sí",(L221+M221)&lt;0),0,L221+M221))</f>
        <v/>
      </c>
      <c r="O221" s="199">
        <f>IF(H221="","",$D$5*N221*J221/36500)</f>
        <v/>
      </c>
      <c r="P221" s="199">
        <f>IF(H221="","",$D$5+SUM($O$5:O221))</f>
        <v/>
      </c>
    </row>
    <row r="222">
      <c r="G222" s="11">
        <f>IF(H222="","",ROW()-4)</f>
        <v/>
      </c>
      <c r="H222" s="12">
        <f>IF(OR(I221="",I221&gt;=$D$7),"",I221)</f>
        <v/>
      </c>
      <c r="I222" s="12">
        <f>IF(H222="","",MIN(IF($D$18="LEGAL",DATE(YEAR(H222)+1,1,1),EDATE($D$12,$D$11*(INT((((YEAR(H222)-YEAR($D$12))*12+(MONTH(H222)-MONTH($D$12))-IF(DAY(H222)&lt;DAY($D$12),1,0))/$D$11))+1))),$D$7))</f>
        <v/>
      </c>
      <c r="J222" s="11">
        <f>IF(H222="","",I222-H222)</f>
        <v/>
      </c>
      <c r="K222" s="12">
        <f>IF(H222="","",IF($D$18="LEGAL",H222,EDATE(H222,-$D$13)))</f>
        <v/>
      </c>
      <c r="L222" s="13">
        <f>IF(H222="","",IFERROR(INDEX('Tipos BdE'!$B$7:$M$336,MATCH(DATE(YEAR(K222),MONTH(K222),1),'Tipos BdE'!$A$7:$A$336,1),MATCH($D$9,'Tipos BdE'!$B$6:$M$6,0)),0))</f>
        <v/>
      </c>
      <c r="M222" s="13">
        <f>IF(H222="","",IF($D$18="LEGAL",0,$D$10))</f>
        <v/>
      </c>
      <c r="N222" s="13">
        <f>IF(H222="","",IF(AND($D$14="Sí",(L222+M222)&lt;0),0,L222+M222))</f>
        <v/>
      </c>
      <c r="O222" s="199">
        <f>IF(H222="","",$D$5*N222*J222/36500)</f>
        <v/>
      </c>
      <c r="P222" s="199">
        <f>IF(H222="","",$D$5+SUM($O$5:O222))</f>
        <v/>
      </c>
    </row>
    <row r="223">
      <c r="G223" s="11">
        <f>IF(H223="","",ROW()-4)</f>
        <v/>
      </c>
      <c r="H223" s="12">
        <f>IF(OR(I222="",I222&gt;=$D$7),"",I222)</f>
        <v/>
      </c>
      <c r="I223" s="12">
        <f>IF(H223="","",MIN(IF($D$18="LEGAL",DATE(YEAR(H223)+1,1,1),EDATE($D$12,$D$11*(INT((((YEAR(H223)-YEAR($D$12))*12+(MONTH(H223)-MONTH($D$12))-IF(DAY(H223)&lt;DAY($D$12),1,0))/$D$11))+1))),$D$7))</f>
        <v/>
      </c>
      <c r="J223" s="11">
        <f>IF(H223="","",I223-H223)</f>
        <v/>
      </c>
      <c r="K223" s="12">
        <f>IF(H223="","",IF($D$18="LEGAL",H223,EDATE(H223,-$D$13)))</f>
        <v/>
      </c>
      <c r="L223" s="13">
        <f>IF(H223="","",IFERROR(INDEX('Tipos BdE'!$B$7:$M$336,MATCH(DATE(YEAR(K223),MONTH(K223),1),'Tipos BdE'!$A$7:$A$336,1),MATCH($D$9,'Tipos BdE'!$B$6:$M$6,0)),0))</f>
        <v/>
      </c>
      <c r="M223" s="13">
        <f>IF(H223="","",IF($D$18="LEGAL",0,$D$10))</f>
        <v/>
      </c>
      <c r="N223" s="13">
        <f>IF(H223="","",IF(AND($D$14="Sí",(L223+M223)&lt;0),0,L223+M223))</f>
        <v/>
      </c>
      <c r="O223" s="199">
        <f>IF(H223="","",$D$5*N223*J223/36500)</f>
        <v/>
      </c>
      <c r="P223" s="199">
        <f>IF(H223="","",$D$5+SUM($O$5:O223))</f>
        <v/>
      </c>
    </row>
    <row r="224">
      <c r="G224" s="11">
        <f>IF(H224="","",ROW()-4)</f>
        <v/>
      </c>
      <c r="H224" s="12">
        <f>IF(OR(I223="",I223&gt;=$D$7),"",I223)</f>
        <v/>
      </c>
      <c r="I224" s="12">
        <f>IF(H224="","",MIN(IF($D$18="LEGAL",DATE(YEAR(H224)+1,1,1),EDATE($D$12,$D$11*(INT((((YEAR(H224)-YEAR($D$12))*12+(MONTH(H224)-MONTH($D$12))-IF(DAY(H224)&lt;DAY($D$12),1,0))/$D$11))+1))),$D$7))</f>
        <v/>
      </c>
      <c r="J224" s="11">
        <f>IF(H224="","",I224-H224)</f>
        <v/>
      </c>
      <c r="K224" s="12">
        <f>IF(H224="","",IF($D$18="LEGAL",H224,EDATE(H224,-$D$13)))</f>
        <v/>
      </c>
      <c r="L224" s="13">
        <f>IF(H224="","",IFERROR(INDEX('Tipos BdE'!$B$7:$M$336,MATCH(DATE(YEAR(K224),MONTH(K224),1),'Tipos BdE'!$A$7:$A$336,1),MATCH($D$9,'Tipos BdE'!$B$6:$M$6,0)),0))</f>
        <v/>
      </c>
      <c r="M224" s="13">
        <f>IF(H224="","",IF($D$18="LEGAL",0,$D$10))</f>
        <v/>
      </c>
      <c r="N224" s="13">
        <f>IF(H224="","",IF(AND($D$14="Sí",(L224+M224)&lt;0),0,L224+M224))</f>
        <v/>
      </c>
      <c r="O224" s="199">
        <f>IF(H224="","",$D$5*N224*J224/36500)</f>
        <v/>
      </c>
      <c r="P224" s="199">
        <f>IF(H224="","",$D$5+SUM($O$5:O224))</f>
        <v/>
      </c>
    </row>
    <row r="225">
      <c r="G225" s="11">
        <f>IF(H225="","",ROW()-4)</f>
        <v/>
      </c>
      <c r="H225" s="12">
        <f>IF(OR(I224="",I224&gt;=$D$7),"",I224)</f>
        <v/>
      </c>
      <c r="I225" s="12">
        <f>IF(H225="","",MIN(IF($D$18="LEGAL",DATE(YEAR(H225)+1,1,1),EDATE($D$12,$D$11*(INT((((YEAR(H225)-YEAR($D$12))*12+(MONTH(H225)-MONTH($D$12))-IF(DAY(H225)&lt;DAY($D$12),1,0))/$D$11))+1))),$D$7))</f>
        <v/>
      </c>
      <c r="J225" s="11">
        <f>IF(H225="","",I225-H225)</f>
        <v/>
      </c>
      <c r="K225" s="12">
        <f>IF(H225="","",IF($D$18="LEGAL",H225,EDATE(H225,-$D$13)))</f>
        <v/>
      </c>
      <c r="L225" s="13">
        <f>IF(H225="","",IFERROR(INDEX('Tipos BdE'!$B$7:$M$336,MATCH(DATE(YEAR(K225),MONTH(K225),1),'Tipos BdE'!$A$7:$A$336,1),MATCH($D$9,'Tipos BdE'!$B$6:$M$6,0)),0))</f>
        <v/>
      </c>
      <c r="M225" s="13">
        <f>IF(H225="","",IF($D$18="LEGAL",0,$D$10))</f>
        <v/>
      </c>
      <c r="N225" s="13">
        <f>IF(H225="","",IF(AND($D$14="Sí",(L225+M225)&lt;0),0,L225+M225))</f>
        <v/>
      </c>
      <c r="O225" s="199">
        <f>IF(H225="","",$D$5*N225*J225/36500)</f>
        <v/>
      </c>
      <c r="P225" s="199">
        <f>IF(H225="","",$D$5+SUM($O$5:O225))</f>
        <v/>
      </c>
    </row>
    <row r="226">
      <c r="G226" s="11">
        <f>IF(H226="","",ROW()-4)</f>
        <v/>
      </c>
      <c r="H226" s="12">
        <f>IF(OR(I225="",I225&gt;=$D$7),"",I225)</f>
        <v/>
      </c>
      <c r="I226" s="12">
        <f>IF(H226="","",MIN(IF($D$18="LEGAL",DATE(YEAR(H226)+1,1,1),EDATE($D$12,$D$11*(INT((((YEAR(H226)-YEAR($D$12))*12+(MONTH(H226)-MONTH($D$12))-IF(DAY(H226)&lt;DAY($D$12),1,0))/$D$11))+1))),$D$7))</f>
        <v/>
      </c>
      <c r="J226" s="11">
        <f>IF(H226="","",I226-H226)</f>
        <v/>
      </c>
      <c r="K226" s="12">
        <f>IF(H226="","",IF($D$18="LEGAL",H226,EDATE(H226,-$D$13)))</f>
        <v/>
      </c>
      <c r="L226" s="13">
        <f>IF(H226="","",IFERROR(INDEX('Tipos BdE'!$B$7:$M$336,MATCH(DATE(YEAR(K226),MONTH(K226),1),'Tipos BdE'!$A$7:$A$336,1),MATCH($D$9,'Tipos BdE'!$B$6:$M$6,0)),0))</f>
        <v/>
      </c>
      <c r="M226" s="13">
        <f>IF(H226="","",IF($D$18="LEGAL",0,$D$10))</f>
        <v/>
      </c>
      <c r="N226" s="13">
        <f>IF(H226="","",IF(AND($D$14="Sí",(L226+M226)&lt;0),0,L226+M226))</f>
        <v/>
      </c>
      <c r="O226" s="199">
        <f>IF(H226="","",$D$5*N226*J226/36500)</f>
        <v/>
      </c>
      <c r="P226" s="199">
        <f>IF(H226="","",$D$5+SUM($O$5:O226))</f>
        <v/>
      </c>
    </row>
    <row r="227">
      <c r="G227" s="11">
        <f>IF(H227="","",ROW()-4)</f>
        <v/>
      </c>
      <c r="H227" s="12">
        <f>IF(OR(I226="",I226&gt;=$D$7),"",I226)</f>
        <v/>
      </c>
      <c r="I227" s="12">
        <f>IF(H227="","",MIN(IF($D$18="LEGAL",DATE(YEAR(H227)+1,1,1),EDATE($D$12,$D$11*(INT((((YEAR(H227)-YEAR($D$12))*12+(MONTH(H227)-MONTH($D$12))-IF(DAY(H227)&lt;DAY($D$12),1,0))/$D$11))+1))),$D$7))</f>
        <v/>
      </c>
      <c r="J227" s="11">
        <f>IF(H227="","",I227-H227)</f>
        <v/>
      </c>
      <c r="K227" s="12">
        <f>IF(H227="","",IF($D$18="LEGAL",H227,EDATE(H227,-$D$13)))</f>
        <v/>
      </c>
      <c r="L227" s="13">
        <f>IF(H227="","",IFERROR(INDEX('Tipos BdE'!$B$7:$M$336,MATCH(DATE(YEAR(K227),MONTH(K227),1),'Tipos BdE'!$A$7:$A$336,1),MATCH($D$9,'Tipos BdE'!$B$6:$M$6,0)),0))</f>
        <v/>
      </c>
      <c r="M227" s="13">
        <f>IF(H227="","",IF($D$18="LEGAL",0,$D$10))</f>
        <v/>
      </c>
      <c r="N227" s="13">
        <f>IF(H227="","",IF(AND($D$14="Sí",(L227+M227)&lt;0),0,L227+M227))</f>
        <v/>
      </c>
      <c r="O227" s="199">
        <f>IF(H227="","",$D$5*N227*J227/36500)</f>
        <v/>
      </c>
      <c r="P227" s="199">
        <f>IF(H227="","",$D$5+SUM($O$5:O227))</f>
        <v/>
      </c>
    </row>
    <row r="228">
      <c r="G228" s="11">
        <f>IF(H228="","",ROW()-4)</f>
        <v/>
      </c>
      <c r="H228" s="12">
        <f>IF(OR(I227="",I227&gt;=$D$7),"",I227)</f>
        <v/>
      </c>
      <c r="I228" s="12">
        <f>IF(H228="","",MIN(IF($D$18="LEGAL",DATE(YEAR(H228)+1,1,1),EDATE($D$12,$D$11*(INT((((YEAR(H228)-YEAR($D$12))*12+(MONTH(H228)-MONTH($D$12))-IF(DAY(H228)&lt;DAY($D$12),1,0))/$D$11))+1))),$D$7))</f>
        <v/>
      </c>
      <c r="J228" s="11">
        <f>IF(H228="","",I228-H228)</f>
        <v/>
      </c>
      <c r="K228" s="12">
        <f>IF(H228="","",IF($D$18="LEGAL",H228,EDATE(H228,-$D$13)))</f>
        <v/>
      </c>
      <c r="L228" s="13">
        <f>IF(H228="","",IFERROR(INDEX('Tipos BdE'!$B$7:$M$336,MATCH(DATE(YEAR(K228),MONTH(K228),1),'Tipos BdE'!$A$7:$A$336,1),MATCH($D$9,'Tipos BdE'!$B$6:$M$6,0)),0))</f>
        <v/>
      </c>
      <c r="M228" s="13">
        <f>IF(H228="","",IF($D$18="LEGAL",0,$D$10))</f>
        <v/>
      </c>
      <c r="N228" s="13">
        <f>IF(H228="","",IF(AND($D$14="Sí",(L228+M228)&lt;0),0,L228+M228))</f>
        <v/>
      </c>
      <c r="O228" s="199">
        <f>IF(H228="","",$D$5*N228*J228/36500)</f>
        <v/>
      </c>
      <c r="P228" s="199">
        <f>IF(H228="","",$D$5+SUM($O$5:O228))</f>
        <v/>
      </c>
    </row>
    <row r="229">
      <c r="G229" s="11">
        <f>IF(H229="","",ROW()-4)</f>
        <v/>
      </c>
      <c r="H229" s="12">
        <f>IF(OR(I228="",I228&gt;=$D$7),"",I228)</f>
        <v/>
      </c>
      <c r="I229" s="12">
        <f>IF(H229="","",MIN(IF($D$18="LEGAL",DATE(YEAR(H229)+1,1,1),EDATE($D$12,$D$11*(INT((((YEAR(H229)-YEAR($D$12))*12+(MONTH(H229)-MONTH($D$12))-IF(DAY(H229)&lt;DAY($D$12),1,0))/$D$11))+1))),$D$7))</f>
        <v/>
      </c>
      <c r="J229" s="11">
        <f>IF(H229="","",I229-H229)</f>
        <v/>
      </c>
      <c r="K229" s="12">
        <f>IF(H229="","",IF($D$18="LEGAL",H229,EDATE(H229,-$D$13)))</f>
        <v/>
      </c>
      <c r="L229" s="13">
        <f>IF(H229="","",IFERROR(INDEX('Tipos BdE'!$B$7:$M$336,MATCH(DATE(YEAR(K229),MONTH(K229),1),'Tipos BdE'!$A$7:$A$336,1),MATCH($D$9,'Tipos BdE'!$B$6:$M$6,0)),0))</f>
        <v/>
      </c>
      <c r="M229" s="13">
        <f>IF(H229="","",IF($D$18="LEGAL",0,$D$10))</f>
        <v/>
      </c>
      <c r="N229" s="13">
        <f>IF(H229="","",IF(AND($D$14="Sí",(L229+M229)&lt;0),0,L229+M229))</f>
        <v/>
      </c>
      <c r="O229" s="199">
        <f>IF(H229="","",$D$5*N229*J229/36500)</f>
        <v/>
      </c>
      <c r="P229" s="199">
        <f>IF(H229="","",$D$5+SUM($O$5:O229))</f>
        <v/>
      </c>
    </row>
    <row r="230">
      <c r="G230" s="11">
        <f>IF(H230="","",ROW()-4)</f>
        <v/>
      </c>
      <c r="H230" s="12">
        <f>IF(OR(I229="",I229&gt;=$D$7),"",I229)</f>
        <v/>
      </c>
      <c r="I230" s="12">
        <f>IF(H230="","",MIN(IF($D$18="LEGAL",DATE(YEAR(H230)+1,1,1),EDATE($D$12,$D$11*(INT((((YEAR(H230)-YEAR($D$12))*12+(MONTH(H230)-MONTH($D$12))-IF(DAY(H230)&lt;DAY($D$12),1,0))/$D$11))+1))),$D$7))</f>
        <v/>
      </c>
      <c r="J230" s="11">
        <f>IF(H230="","",I230-H230)</f>
        <v/>
      </c>
      <c r="K230" s="12">
        <f>IF(H230="","",IF($D$18="LEGAL",H230,EDATE(H230,-$D$13)))</f>
        <v/>
      </c>
      <c r="L230" s="13">
        <f>IF(H230="","",IFERROR(INDEX('Tipos BdE'!$B$7:$M$336,MATCH(DATE(YEAR(K230),MONTH(K230),1),'Tipos BdE'!$A$7:$A$336,1),MATCH($D$9,'Tipos BdE'!$B$6:$M$6,0)),0))</f>
        <v/>
      </c>
      <c r="M230" s="13">
        <f>IF(H230="","",IF($D$18="LEGAL",0,$D$10))</f>
        <v/>
      </c>
      <c r="N230" s="13">
        <f>IF(H230="","",IF(AND($D$14="Sí",(L230+M230)&lt;0),0,L230+M230))</f>
        <v/>
      </c>
      <c r="O230" s="199">
        <f>IF(H230="","",$D$5*N230*J230/36500)</f>
        <v/>
      </c>
      <c r="P230" s="199">
        <f>IF(H230="","",$D$5+SUM($O$5:O230))</f>
        <v/>
      </c>
    </row>
    <row r="231">
      <c r="G231" s="11">
        <f>IF(H231="","",ROW()-4)</f>
        <v/>
      </c>
      <c r="H231" s="12">
        <f>IF(OR(I230="",I230&gt;=$D$7),"",I230)</f>
        <v/>
      </c>
      <c r="I231" s="12">
        <f>IF(H231="","",MIN(IF($D$18="LEGAL",DATE(YEAR(H231)+1,1,1),EDATE($D$12,$D$11*(INT((((YEAR(H231)-YEAR($D$12))*12+(MONTH(H231)-MONTH($D$12))-IF(DAY(H231)&lt;DAY($D$12),1,0))/$D$11))+1))),$D$7))</f>
        <v/>
      </c>
      <c r="J231" s="11">
        <f>IF(H231="","",I231-H231)</f>
        <v/>
      </c>
      <c r="K231" s="12">
        <f>IF(H231="","",IF($D$18="LEGAL",H231,EDATE(H231,-$D$13)))</f>
        <v/>
      </c>
      <c r="L231" s="13">
        <f>IF(H231="","",IFERROR(INDEX('Tipos BdE'!$B$7:$M$336,MATCH(DATE(YEAR(K231),MONTH(K231),1),'Tipos BdE'!$A$7:$A$336,1),MATCH($D$9,'Tipos BdE'!$B$6:$M$6,0)),0))</f>
        <v/>
      </c>
      <c r="M231" s="13">
        <f>IF(H231="","",IF($D$18="LEGAL",0,$D$10))</f>
        <v/>
      </c>
      <c r="N231" s="13">
        <f>IF(H231="","",IF(AND($D$14="Sí",(L231+M231)&lt;0),0,L231+M231))</f>
        <v/>
      </c>
      <c r="O231" s="199">
        <f>IF(H231="","",$D$5*N231*J231/36500)</f>
        <v/>
      </c>
      <c r="P231" s="199">
        <f>IF(H231="","",$D$5+SUM($O$5:O231))</f>
        <v/>
      </c>
    </row>
    <row r="232">
      <c r="G232" s="11">
        <f>IF(H232="","",ROW()-4)</f>
        <v/>
      </c>
      <c r="H232" s="12">
        <f>IF(OR(I231="",I231&gt;=$D$7),"",I231)</f>
        <v/>
      </c>
      <c r="I232" s="12">
        <f>IF(H232="","",MIN(IF($D$18="LEGAL",DATE(YEAR(H232)+1,1,1),EDATE($D$12,$D$11*(INT((((YEAR(H232)-YEAR($D$12))*12+(MONTH(H232)-MONTH($D$12))-IF(DAY(H232)&lt;DAY($D$12),1,0))/$D$11))+1))),$D$7))</f>
        <v/>
      </c>
      <c r="J232" s="11">
        <f>IF(H232="","",I232-H232)</f>
        <v/>
      </c>
      <c r="K232" s="12">
        <f>IF(H232="","",IF($D$18="LEGAL",H232,EDATE(H232,-$D$13)))</f>
        <v/>
      </c>
      <c r="L232" s="13">
        <f>IF(H232="","",IFERROR(INDEX('Tipos BdE'!$B$7:$M$336,MATCH(DATE(YEAR(K232),MONTH(K232),1),'Tipos BdE'!$A$7:$A$336,1),MATCH($D$9,'Tipos BdE'!$B$6:$M$6,0)),0))</f>
        <v/>
      </c>
      <c r="M232" s="13">
        <f>IF(H232="","",IF($D$18="LEGAL",0,$D$10))</f>
        <v/>
      </c>
      <c r="N232" s="13">
        <f>IF(H232="","",IF(AND($D$14="Sí",(L232+M232)&lt;0),0,L232+M232))</f>
        <v/>
      </c>
      <c r="O232" s="199">
        <f>IF(H232="","",$D$5*N232*J232/36500)</f>
        <v/>
      </c>
      <c r="P232" s="199">
        <f>IF(H232="","",$D$5+SUM($O$5:O232))</f>
        <v/>
      </c>
    </row>
    <row r="233">
      <c r="G233" s="11">
        <f>IF(H233="","",ROW()-4)</f>
        <v/>
      </c>
      <c r="H233" s="12">
        <f>IF(OR(I232="",I232&gt;=$D$7),"",I232)</f>
        <v/>
      </c>
      <c r="I233" s="12">
        <f>IF(H233="","",MIN(IF($D$18="LEGAL",DATE(YEAR(H233)+1,1,1),EDATE($D$12,$D$11*(INT((((YEAR(H233)-YEAR($D$12))*12+(MONTH(H233)-MONTH($D$12))-IF(DAY(H233)&lt;DAY($D$12),1,0))/$D$11))+1))),$D$7))</f>
        <v/>
      </c>
      <c r="J233" s="11">
        <f>IF(H233="","",I233-H233)</f>
        <v/>
      </c>
      <c r="K233" s="12">
        <f>IF(H233="","",IF($D$18="LEGAL",H233,EDATE(H233,-$D$13)))</f>
        <v/>
      </c>
      <c r="L233" s="13">
        <f>IF(H233="","",IFERROR(INDEX('Tipos BdE'!$B$7:$M$336,MATCH(DATE(YEAR(K233),MONTH(K233),1),'Tipos BdE'!$A$7:$A$336,1),MATCH($D$9,'Tipos BdE'!$B$6:$M$6,0)),0))</f>
        <v/>
      </c>
      <c r="M233" s="13">
        <f>IF(H233="","",IF($D$18="LEGAL",0,$D$10))</f>
        <v/>
      </c>
      <c r="N233" s="13">
        <f>IF(H233="","",IF(AND($D$14="Sí",(L233+M233)&lt;0),0,L233+M233))</f>
        <v/>
      </c>
      <c r="O233" s="199">
        <f>IF(H233="","",$D$5*N233*J233/36500)</f>
        <v/>
      </c>
      <c r="P233" s="199">
        <f>IF(H233="","",$D$5+SUM($O$5:O233))</f>
        <v/>
      </c>
    </row>
    <row r="234">
      <c r="G234" s="11">
        <f>IF(H234="","",ROW()-4)</f>
        <v/>
      </c>
      <c r="H234" s="12">
        <f>IF(OR(I233="",I233&gt;=$D$7),"",I233)</f>
        <v/>
      </c>
      <c r="I234" s="12">
        <f>IF(H234="","",MIN(IF($D$18="LEGAL",DATE(YEAR(H234)+1,1,1),EDATE($D$12,$D$11*(INT((((YEAR(H234)-YEAR($D$12))*12+(MONTH(H234)-MONTH($D$12))-IF(DAY(H234)&lt;DAY($D$12),1,0))/$D$11))+1))),$D$7))</f>
        <v/>
      </c>
      <c r="J234" s="11">
        <f>IF(H234="","",I234-H234)</f>
        <v/>
      </c>
      <c r="K234" s="12">
        <f>IF(H234="","",IF($D$18="LEGAL",H234,EDATE(H234,-$D$13)))</f>
        <v/>
      </c>
      <c r="L234" s="13">
        <f>IF(H234="","",IFERROR(INDEX('Tipos BdE'!$B$7:$M$336,MATCH(DATE(YEAR(K234),MONTH(K234),1),'Tipos BdE'!$A$7:$A$336,1),MATCH($D$9,'Tipos BdE'!$B$6:$M$6,0)),0))</f>
        <v/>
      </c>
      <c r="M234" s="13">
        <f>IF(H234="","",IF($D$18="LEGAL",0,$D$10))</f>
        <v/>
      </c>
      <c r="N234" s="13">
        <f>IF(H234="","",IF(AND($D$14="Sí",(L234+M234)&lt;0),0,L234+M234))</f>
        <v/>
      </c>
      <c r="O234" s="199">
        <f>IF(H234="","",$D$5*N234*J234/36500)</f>
        <v/>
      </c>
      <c r="P234" s="199">
        <f>IF(H234="","",$D$5+SUM($O$5:O234))</f>
        <v/>
      </c>
    </row>
    <row r="235">
      <c r="G235" s="11">
        <f>IF(H235="","",ROW()-4)</f>
        <v/>
      </c>
      <c r="H235" s="12">
        <f>IF(OR(I234="",I234&gt;=$D$7),"",I234)</f>
        <v/>
      </c>
      <c r="I235" s="12">
        <f>IF(H235="","",MIN(IF($D$18="LEGAL",DATE(YEAR(H235)+1,1,1),EDATE($D$12,$D$11*(INT((((YEAR(H235)-YEAR($D$12))*12+(MONTH(H235)-MONTH($D$12))-IF(DAY(H235)&lt;DAY($D$12),1,0))/$D$11))+1))),$D$7))</f>
        <v/>
      </c>
      <c r="J235" s="11">
        <f>IF(H235="","",I235-H235)</f>
        <v/>
      </c>
      <c r="K235" s="12">
        <f>IF(H235="","",IF($D$18="LEGAL",H235,EDATE(H235,-$D$13)))</f>
        <v/>
      </c>
      <c r="L235" s="13">
        <f>IF(H235="","",IFERROR(INDEX('Tipos BdE'!$B$7:$M$336,MATCH(DATE(YEAR(K235),MONTH(K235),1),'Tipos BdE'!$A$7:$A$336,1),MATCH($D$9,'Tipos BdE'!$B$6:$M$6,0)),0))</f>
        <v/>
      </c>
      <c r="M235" s="13">
        <f>IF(H235="","",IF($D$18="LEGAL",0,$D$10))</f>
        <v/>
      </c>
      <c r="N235" s="13">
        <f>IF(H235="","",IF(AND($D$14="Sí",(L235+M235)&lt;0),0,L235+M235))</f>
        <v/>
      </c>
      <c r="O235" s="199">
        <f>IF(H235="","",$D$5*N235*J235/36500)</f>
        <v/>
      </c>
      <c r="P235" s="199">
        <f>IF(H235="","",$D$5+SUM($O$5:O235))</f>
        <v/>
      </c>
    </row>
    <row r="236">
      <c r="G236" s="11">
        <f>IF(H236="","",ROW()-4)</f>
        <v/>
      </c>
      <c r="H236" s="12">
        <f>IF(OR(I235="",I235&gt;=$D$7),"",I235)</f>
        <v/>
      </c>
      <c r="I236" s="12">
        <f>IF(H236="","",MIN(IF($D$18="LEGAL",DATE(YEAR(H236)+1,1,1),EDATE($D$12,$D$11*(INT((((YEAR(H236)-YEAR($D$12))*12+(MONTH(H236)-MONTH($D$12))-IF(DAY(H236)&lt;DAY($D$12),1,0))/$D$11))+1))),$D$7))</f>
        <v/>
      </c>
      <c r="J236" s="11">
        <f>IF(H236="","",I236-H236)</f>
        <v/>
      </c>
      <c r="K236" s="12">
        <f>IF(H236="","",IF($D$18="LEGAL",H236,EDATE(H236,-$D$13)))</f>
        <v/>
      </c>
      <c r="L236" s="13">
        <f>IF(H236="","",IFERROR(INDEX('Tipos BdE'!$B$7:$M$336,MATCH(DATE(YEAR(K236),MONTH(K236),1),'Tipos BdE'!$A$7:$A$336,1),MATCH($D$9,'Tipos BdE'!$B$6:$M$6,0)),0))</f>
        <v/>
      </c>
      <c r="M236" s="13">
        <f>IF(H236="","",IF($D$18="LEGAL",0,$D$10))</f>
        <v/>
      </c>
      <c r="N236" s="13">
        <f>IF(H236="","",IF(AND($D$14="Sí",(L236+M236)&lt;0),0,L236+M236))</f>
        <v/>
      </c>
      <c r="O236" s="199">
        <f>IF(H236="","",$D$5*N236*J236/36500)</f>
        <v/>
      </c>
      <c r="P236" s="199">
        <f>IF(H236="","",$D$5+SUM($O$5:O236))</f>
        <v/>
      </c>
    </row>
    <row r="237">
      <c r="G237" s="11">
        <f>IF(H237="","",ROW()-4)</f>
        <v/>
      </c>
      <c r="H237" s="12">
        <f>IF(OR(I236="",I236&gt;=$D$7),"",I236)</f>
        <v/>
      </c>
      <c r="I237" s="12">
        <f>IF(H237="","",MIN(IF($D$18="LEGAL",DATE(YEAR(H237)+1,1,1),EDATE($D$12,$D$11*(INT((((YEAR(H237)-YEAR($D$12))*12+(MONTH(H237)-MONTH($D$12))-IF(DAY(H237)&lt;DAY($D$12),1,0))/$D$11))+1))),$D$7))</f>
        <v/>
      </c>
      <c r="J237" s="11">
        <f>IF(H237="","",I237-H237)</f>
        <v/>
      </c>
      <c r="K237" s="12">
        <f>IF(H237="","",IF($D$18="LEGAL",H237,EDATE(H237,-$D$13)))</f>
        <v/>
      </c>
      <c r="L237" s="13">
        <f>IF(H237="","",IFERROR(INDEX('Tipos BdE'!$B$7:$M$336,MATCH(DATE(YEAR(K237),MONTH(K237),1),'Tipos BdE'!$A$7:$A$336,1),MATCH($D$9,'Tipos BdE'!$B$6:$M$6,0)),0))</f>
        <v/>
      </c>
      <c r="M237" s="13">
        <f>IF(H237="","",IF($D$18="LEGAL",0,$D$10))</f>
        <v/>
      </c>
      <c r="N237" s="13">
        <f>IF(H237="","",IF(AND($D$14="Sí",(L237+M237)&lt;0),0,L237+M237))</f>
        <v/>
      </c>
      <c r="O237" s="199">
        <f>IF(H237="","",$D$5*N237*J237/36500)</f>
        <v/>
      </c>
      <c r="P237" s="199">
        <f>IF(H237="","",$D$5+SUM($O$5:O237))</f>
        <v/>
      </c>
    </row>
    <row r="238">
      <c r="G238" s="11">
        <f>IF(H238="","",ROW()-4)</f>
        <v/>
      </c>
      <c r="H238" s="12">
        <f>IF(OR(I237="",I237&gt;=$D$7),"",I237)</f>
        <v/>
      </c>
      <c r="I238" s="12">
        <f>IF(H238="","",MIN(IF($D$18="LEGAL",DATE(YEAR(H238)+1,1,1),EDATE($D$12,$D$11*(INT((((YEAR(H238)-YEAR($D$12))*12+(MONTH(H238)-MONTH($D$12))-IF(DAY(H238)&lt;DAY($D$12),1,0))/$D$11))+1))),$D$7))</f>
        <v/>
      </c>
      <c r="J238" s="11">
        <f>IF(H238="","",I238-H238)</f>
        <v/>
      </c>
      <c r="K238" s="12">
        <f>IF(H238="","",IF($D$18="LEGAL",H238,EDATE(H238,-$D$13)))</f>
        <v/>
      </c>
      <c r="L238" s="13">
        <f>IF(H238="","",IFERROR(INDEX('Tipos BdE'!$B$7:$M$336,MATCH(DATE(YEAR(K238),MONTH(K238),1),'Tipos BdE'!$A$7:$A$336,1),MATCH($D$9,'Tipos BdE'!$B$6:$M$6,0)),0))</f>
        <v/>
      </c>
      <c r="M238" s="13">
        <f>IF(H238="","",IF($D$18="LEGAL",0,$D$10))</f>
        <v/>
      </c>
      <c r="N238" s="13">
        <f>IF(H238="","",IF(AND($D$14="Sí",(L238+M238)&lt;0),0,L238+M238))</f>
        <v/>
      </c>
      <c r="O238" s="199">
        <f>IF(H238="","",$D$5*N238*J238/36500)</f>
        <v/>
      </c>
      <c r="P238" s="199">
        <f>IF(H238="","",$D$5+SUM($O$5:O238))</f>
        <v/>
      </c>
    </row>
    <row r="239">
      <c r="G239" s="11">
        <f>IF(H239="","",ROW()-4)</f>
        <v/>
      </c>
      <c r="H239" s="12">
        <f>IF(OR(I238="",I238&gt;=$D$7),"",I238)</f>
        <v/>
      </c>
      <c r="I239" s="12">
        <f>IF(H239="","",MIN(IF($D$18="LEGAL",DATE(YEAR(H239)+1,1,1),EDATE($D$12,$D$11*(INT((((YEAR(H239)-YEAR($D$12))*12+(MONTH(H239)-MONTH($D$12))-IF(DAY(H239)&lt;DAY($D$12),1,0))/$D$11))+1))),$D$7))</f>
        <v/>
      </c>
      <c r="J239" s="11">
        <f>IF(H239="","",I239-H239)</f>
        <v/>
      </c>
      <c r="K239" s="12">
        <f>IF(H239="","",IF($D$18="LEGAL",H239,EDATE(H239,-$D$13)))</f>
        <v/>
      </c>
      <c r="L239" s="13">
        <f>IF(H239="","",IFERROR(INDEX('Tipos BdE'!$B$7:$M$336,MATCH(DATE(YEAR(K239),MONTH(K239),1),'Tipos BdE'!$A$7:$A$336,1),MATCH($D$9,'Tipos BdE'!$B$6:$M$6,0)),0))</f>
        <v/>
      </c>
      <c r="M239" s="13">
        <f>IF(H239="","",IF($D$18="LEGAL",0,$D$10))</f>
        <v/>
      </c>
      <c r="N239" s="13">
        <f>IF(H239="","",IF(AND($D$14="Sí",(L239+M239)&lt;0),0,L239+M239))</f>
        <v/>
      </c>
      <c r="O239" s="199">
        <f>IF(H239="","",$D$5*N239*J239/36500)</f>
        <v/>
      </c>
      <c r="P239" s="199">
        <f>IF(H239="","",$D$5+SUM($O$5:O239))</f>
        <v/>
      </c>
    </row>
    <row r="240">
      <c r="G240" s="11">
        <f>IF(H240="","",ROW()-4)</f>
        <v/>
      </c>
      <c r="H240" s="12">
        <f>IF(OR(I239="",I239&gt;=$D$7),"",I239)</f>
        <v/>
      </c>
      <c r="I240" s="12">
        <f>IF(H240="","",MIN(IF($D$18="LEGAL",DATE(YEAR(H240)+1,1,1),EDATE($D$12,$D$11*(INT((((YEAR(H240)-YEAR($D$12))*12+(MONTH(H240)-MONTH($D$12))-IF(DAY(H240)&lt;DAY($D$12),1,0))/$D$11))+1))),$D$7))</f>
        <v/>
      </c>
      <c r="J240" s="11">
        <f>IF(H240="","",I240-H240)</f>
        <v/>
      </c>
      <c r="K240" s="12">
        <f>IF(H240="","",IF($D$18="LEGAL",H240,EDATE(H240,-$D$13)))</f>
        <v/>
      </c>
      <c r="L240" s="13">
        <f>IF(H240="","",IFERROR(INDEX('Tipos BdE'!$B$7:$M$336,MATCH(DATE(YEAR(K240),MONTH(K240),1),'Tipos BdE'!$A$7:$A$336,1),MATCH($D$9,'Tipos BdE'!$B$6:$M$6,0)),0))</f>
        <v/>
      </c>
      <c r="M240" s="13">
        <f>IF(H240="","",IF($D$18="LEGAL",0,$D$10))</f>
        <v/>
      </c>
      <c r="N240" s="13">
        <f>IF(H240="","",IF(AND($D$14="Sí",(L240+M240)&lt;0),0,L240+M240))</f>
        <v/>
      </c>
      <c r="O240" s="199">
        <f>IF(H240="","",$D$5*N240*J240/36500)</f>
        <v/>
      </c>
      <c r="P240" s="199">
        <f>IF(H240="","",$D$5+SUM($O$5:O240))</f>
        <v/>
      </c>
    </row>
    <row r="241">
      <c r="G241" s="11">
        <f>IF(H241="","",ROW()-4)</f>
        <v/>
      </c>
      <c r="H241" s="12">
        <f>IF(OR(I240="",I240&gt;=$D$7),"",I240)</f>
        <v/>
      </c>
      <c r="I241" s="12">
        <f>IF(H241="","",MIN(IF($D$18="LEGAL",DATE(YEAR(H241)+1,1,1),EDATE($D$12,$D$11*(INT((((YEAR(H241)-YEAR($D$12))*12+(MONTH(H241)-MONTH($D$12))-IF(DAY(H241)&lt;DAY($D$12),1,0))/$D$11))+1))),$D$7))</f>
        <v/>
      </c>
      <c r="J241" s="11">
        <f>IF(H241="","",I241-H241)</f>
        <v/>
      </c>
      <c r="K241" s="12">
        <f>IF(H241="","",IF($D$18="LEGAL",H241,EDATE(H241,-$D$13)))</f>
        <v/>
      </c>
      <c r="L241" s="13">
        <f>IF(H241="","",IFERROR(INDEX('Tipos BdE'!$B$7:$M$336,MATCH(DATE(YEAR(K241),MONTH(K241),1),'Tipos BdE'!$A$7:$A$336,1),MATCH($D$9,'Tipos BdE'!$B$6:$M$6,0)),0))</f>
        <v/>
      </c>
      <c r="M241" s="13">
        <f>IF(H241="","",IF($D$18="LEGAL",0,$D$10))</f>
        <v/>
      </c>
      <c r="N241" s="13">
        <f>IF(H241="","",IF(AND($D$14="Sí",(L241+M241)&lt;0),0,L241+M241))</f>
        <v/>
      </c>
      <c r="O241" s="199">
        <f>IF(H241="","",$D$5*N241*J241/36500)</f>
        <v/>
      </c>
      <c r="P241" s="199">
        <f>IF(H241="","",$D$5+SUM($O$5:O241))</f>
        <v/>
      </c>
    </row>
    <row r="242">
      <c r="G242" s="11">
        <f>IF(H242="","",ROW()-4)</f>
        <v/>
      </c>
      <c r="H242" s="12">
        <f>IF(OR(I241="",I241&gt;=$D$7),"",I241)</f>
        <v/>
      </c>
      <c r="I242" s="12">
        <f>IF(H242="","",MIN(IF($D$18="LEGAL",DATE(YEAR(H242)+1,1,1),EDATE($D$12,$D$11*(INT((((YEAR(H242)-YEAR($D$12))*12+(MONTH(H242)-MONTH($D$12))-IF(DAY(H242)&lt;DAY($D$12),1,0))/$D$11))+1))),$D$7))</f>
        <v/>
      </c>
      <c r="J242" s="11">
        <f>IF(H242="","",I242-H242)</f>
        <v/>
      </c>
      <c r="K242" s="12">
        <f>IF(H242="","",IF($D$18="LEGAL",H242,EDATE(H242,-$D$13)))</f>
        <v/>
      </c>
      <c r="L242" s="13">
        <f>IF(H242="","",IFERROR(INDEX('Tipos BdE'!$B$7:$M$336,MATCH(DATE(YEAR(K242),MONTH(K242),1),'Tipos BdE'!$A$7:$A$336,1),MATCH($D$9,'Tipos BdE'!$B$6:$M$6,0)),0))</f>
        <v/>
      </c>
      <c r="M242" s="13">
        <f>IF(H242="","",IF($D$18="LEGAL",0,$D$10))</f>
        <v/>
      </c>
      <c r="N242" s="13">
        <f>IF(H242="","",IF(AND($D$14="Sí",(L242+M242)&lt;0),0,L242+M242))</f>
        <v/>
      </c>
      <c r="O242" s="199">
        <f>IF(H242="","",$D$5*N242*J242/36500)</f>
        <v/>
      </c>
      <c r="P242" s="199">
        <f>IF(H242="","",$D$5+SUM($O$5:O242))</f>
        <v/>
      </c>
    </row>
    <row r="243">
      <c r="G243" s="11">
        <f>IF(H243="","",ROW()-4)</f>
        <v/>
      </c>
      <c r="H243" s="12">
        <f>IF(OR(I242="",I242&gt;=$D$7),"",I242)</f>
        <v/>
      </c>
      <c r="I243" s="12">
        <f>IF(H243="","",MIN(IF($D$18="LEGAL",DATE(YEAR(H243)+1,1,1),EDATE($D$12,$D$11*(INT((((YEAR(H243)-YEAR($D$12))*12+(MONTH(H243)-MONTH($D$12))-IF(DAY(H243)&lt;DAY($D$12),1,0))/$D$11))+1))),$D$7))</f>
        <v/>
      </c>
      <c r="J243" s="11">
        <f>IF(H243="","",I243-H243)</f>
        <v/>
      </c>
      <c r="K243" s="12">
        <f>IF(H243="","",IF($D$18="LEGAL",H243,EDATE(H243,-$D$13)))</f>
        <v/>
      </c>
      <c r="L243" s="13">
        <f>IF(H243="","",IFERROR(INDEX('Tipos BdE'!$B$7:$M$336,MATCH(DATE(YEAR(K243),MONTH(K243),1),'Tipos BdE'!$A$7:$A$336,1),MATCH($D$9,'Tipos BdE'!$B$6:$M$6,0)),0))</f>
        <v/>
      </c>
      <c r="M243" s="13">
        <f>IF(H243="","",IF($D$18="LEGAL",0,$D$10))</f>
        <v/>
      </c>
      <c r="N243" s="13">
        <f>IF(H243="","",IF(AND($D$14="Sí",(L243+M243)&lt;0),0,L243+M243))</f>
        <v/>
      </c>
      <c r="O243" s="199">
        <f>IF(H243="","",$D$5*N243*J243/36500)</f>
        <v/>
      </c>
      <c r="P243" s="199">
        <f>IF(H243="","",$D$5+SUM($O$5:O243))</f>
        <v/>
      </c>
    </row>
    <row r="244">
      <c r="G244" s="11">
        <f>IF(H244="","",ROW()-4)</f>
        <v/>
      </c>
      <c r="H244" s="12">
        <f>IF(OR(I243="",I243&gt;=$D$7),"",I243)</f>
        <v/>
      </c>
      <c r="I244" s="12">
        <f>IF(H244="","",MIN(IF($D$18="LEGAL",DATE(YEAR(H244)+1,1,1),EDATE($D$12,$D$11*(INT((((YEAR(H244)-YEAR($D$12))*12+(MONTH(H244)-MONTH($D$12))-IF(DAY(H244)&lt;DAY($D$12),1,0))/$D$11))+1))),$D$7))</f>
        <v/>
      </c>
      <c r="J244" s="11">
        <f>IF(H244="","",I244-H244)</f>
        <v/>
      </c>
      <c r="K244" s="12">
        <f>IF(H244="","",IF($D$18="LEGAL",H244,EDATE(H244,-$D$13)))</f>
        <v/>
      </c>
      <c r="L244" s="13">
        <f>IF(H244="","",IFERROR(INDEX('Tipos BdE'!$B$7:$M$336,MATCH(DATE(YEAR(K244),MONTH(K244),1),'Tipos BdE'!$A$7:$A$336,1),MATCH($D$9,'Tipos BdE'!$B$6:$M$6,0)),0))</f>
        <v/>
      </c>
      <c r="M244" s="13">
        <f>IF(H244="","",IF($D$18="LEGAL",0,$D$10))</f>
        <v/>
      </c>
      <c r="N244" s="13">
        <f>IF(H244="","",IF(AND($D$14="Sí",(L244+M244)&lt;0),0,L244+M244))</f>
        <v/>
      </c>
      <c r="O244" s="199">
        <f>IF(H244="","",$D$5*N244*J244/36500)</f>
        <v/>
      </c>
      <c r="P244" s="199">
        <f>IF(H244="","",$D$5+SUM($O$5:O244))</f>
        <v/>
      </c>
    </row>
    <row r="245">
      <c r="G245" s="11">
        <f>IF(H245="","",ROW()-4)</f>
        <v/>
      </c>
      <c r="H245" s="12">
        <f>IF(OR(I244="",I244&gt;=$D$7),"",I244)</f>
        <v/>
      </c>
      <c r="I245" s="12">
        <f>IF(H245="","",MIN(IF($D$18="LEGAL",DATE(YEAR(H245)+1,1,1),EDATE($D$12,$D$11*(INT((((YEAR(H245)-YEAR($D$12))*12+(MONTH(H245)-MONTH($D$12))-IF(DAY(H245)&lt;DAY($D$12),1,0))/$D$11))+1))),$D$7))</f>
        <v/>
      </c>
      <c r="J245" s="11">
        <f>IF(H245="","",I245-H245)</f>
        <v/>
      </c>
      <c r="K245" s="12">
        <f>IF(H245="","",IF($D$18="LEGAL",H245,EDATE(H245,-$D$13)))</f>
        <v/>
      </c>
      <c r="L245" s="13">
        <f>IF(H245="","",IFERROR(INDEX('Tipos BdE'!$B$7:$M$336,MATCH(DATE(YEAR(K245),MONTH(K245),1),'Tipos BdE'!$A$7:$A$336,1),MATCH($D$9,'Tipos BdE'!$B$6:$M$6,0)),0))</f>
        <v/>
      </c>
      <c r="M245" s="13">
        <f>IF(H245="","",IF($D$18="LEGAL",0,$D$10))</f>
        <v/>
      </c>
      <c r="N245" s="13">
        <f>IF(H245="","",IF(AND($D$14="Sí",(L245+M245)&lt;0),0,L245+M245))</f>
        <v/>
      </c>
      <c r="O245" s="199">
        <f>IF(H245="","",$D$5*N245*J245/36500)</f>
        <v/>
      </c>
      <c r="P245" s="199">
        <f>IF(H245="","",$D$5+SUM($O$5:O245))</f>
        <v/>
      </c>
    </row>
    <row r="246">
      <c r="G246" s="11">
        <f>IF(H246="","",ROW()-4)</f>
        <v/>
      </c>
      <c r="H246" s="12">
        <f>IF(OR(I245="",I245&gt;=$D$7),"",I245)</f>
        <v/>
      </c>
      <c r="I246" s="12">
        <f>IF(H246="","",MIN(IF($D$18="LEGAL",DATE(YEAR(H246)+1,1,1),EDATE($D$12,$D$11*(INT((((YEAR(H246)-YEAR($D$12))*12+(MONTH(H246)-MONTH($D$12))-IF(DAY(H246)&lt;DAY($D$12),1,0))/$D$11))+1))),$D$7))</f>
        <v/>
      </c>
      <c r="J246" s="11">
        <f>IF(H246="","",I246-H246)</f>
        <v/>
      </c>
      <c r="K246" s="12">
        <f>IF(H246="","",IF($D$18="LEGAL",H246,EDATE(H246,-$D$13)))</f>
        <v/>
      </c>
      <c r="L246" s="13">
        <f>IF(H246="","",IFERROR(INDEX('Tipos BdE'!$B$7:$M$336,MATCH(DATE(YEAR(K246),MONTH(K246),1),'Tipos BdE'!$A$7:$A$336,1),MATCH($D$9,'Tipos BdE'!$B$6:$M$6,0)),0))</f>
        <v/>
      </c>
      <c r="M246" s="13">
        <f>IF(H246="","",IF($D$18="LEGAL",0,$D$10))</f>
        <v/>
      </c>
      <c r="N246" s="13">
        <f>IF(H246="","",IF(AND($D$14="Sí",(L246+M246)&lt;0),0,L246+M246))</f>
        <v/>
      </c>
      <c r="O246" s="199">
        <f>IF(H246="","",$D$5*N246*J246/36500)</f>
        <v/>
      </c>
      <c r="P246" s="199">
        <f>IF(H246="","",$D$5+SUM($O$5:O246))</f>
        <v/>
      </c>
    </row>
    <row r="247">
      <c r="G247" s="11">
        <f>IF(H247="","",ROW()-4)</f>
        <v/>
      </c>
      <c r="H247" s="12">
        <f>IF(OR(I246="",I246&gt;=$D$7),"",I246)</f>
        <v/>
      </c>
      <c r="I247" s="12">
        <f>IF(H247="","",MIN(IF($D$18="LEGAL",DATE(YEAR(H247)+1,1,1),EDATE($D$12,$D$11*(INT((((YEAR(H247)-YEAR($D$12))*12+(MONTH(H247)-MONTH($D$12))-IF(DAY(H247)&lt;DAY($D$12),1,0))/$D$11))+1))),$D$7))</f>
        <v/>
      </c>
      <c r="J247" s="11">
        <f>IF(H247="","",I247-H247)</f>
        <v/>
      </c>
      <c r="K247" s="12">
        <f>IF(H247="","",IF($D$18="LEGAL",H247,EDATE(H247,-$D$13)))</f>
        <v/>
      </c>
      <c r="L247" s="13">
        <f>IF(H247="","",IFERROR(INDEX('Tipos BdE'!$B$7:$M$336,MATCH(DATE(YEAR(K247),MONTH(K247),1),'Tipos BdE'!$A$7:$A$336,1),MATCH($D$9,'Tipos BdE'!$B$6:$M$6,0)),0))</f>
        <v/>
      </c>
      <c r="M247" s="13">
        <f>IF(H247="","",IF($D$18="LEGAL",0,$D$10))</f>
        <v/>
      </c>
      <c r="N247" s="13">
        <f>IF(H247="","",IF(AND($D$14="Sí",(L247+M247)&lt;0),0,L247+M247))</f>
        <v/>
      </c>
      <c r="O247" s="199">
        <f>IF(H247="","",$D$5*N247*J247/36500)</f>
        <v/>
      </c>
      <c r="P247" s="199">
        <f>IF(H247="","",$D$5+SUM($O$5:O247))</f>
        <v/>
      </c>
    </row>
    <row r="248">
      <c r="G248" s="11">
        <f>IF(H248="","",ROW()-4)</f>
        <v/>
      </c>
      <c r="H248" s="12">
        <f>IF(OR(I247="",I247&gt;=$D$7),"",I247)</f>
        <v/>
      </c>
      <c r="I248" s="12">
        <f>IF(H248="","",MIN(IF($D$18="LEGAL",DATE(YEAR(H248)+1,1,1),EDATE($D$12,$D$11*(INT((((YEAR(H248)-YEAR($D$12))*12+(MONTH(H248)-MONTH($D$12))-IF(DAY(H248)&lt;DAY($D$12),1,0))/$D$11))+1))),$D$7))</f>
        <v/>
      </c>
      <c r="J248" s="11">
        <f>IF(H248="","",I248-H248)</f>
        <v/>
      </c>
      <c r="K248" s="12">
        <f>IF(H248="","",IF($D$18="LEGAL",H248,EDATE(H248,-$D$13)))</f>
        <v/>
      </c>
      <c r="L248" s="13">
        <f>IF(H248="","",IFERROR(INDEX('Tipos BdE'!$B$7:$M$336,MATCH(DATE(YEAR(K248),MONTH(K248),1),'Tipos BdE'!$A$7:$A$336,1),MATCH($D$9,'Tipos BdE'!$B$6:$M$6,0)),0))</f>
        <v/>
      </c>
      <c r="M248" s="13">
        <f>IF(H248="","",IF($D$18="LEGAL",0,$D$10))</f>
        <v/>
      </c>
      <c r="N248" s="13">
        <f>IF(H248="","",IF(AND($D$14="Sí",(L248+M248)&lt;0),0,L248+M248))</f>
        <v/>
      </c>
      <c r="O248" s="199">
        <f>IF(H248="","",$D$5*N248*J248/36500)</f>
        <v/>
      </c>
      <c r="P248" s="199">
        <f>IF(H248="","",$D$5+SUM($O$5:O248))</f>
        <v/>
      </c>
    </row>
    <row r="249">
      <c r="G249" s="11">
        <f>IF(H249="","",ROW()-4)</f>
        <v/>
      </c>
      <c r="H249" s="12">
        <f>IF(OR(I248="",I248&gt;=$D$7),"",I248)</f>
        <v/>
      </c>
      <c r="I249" s="12">
        <f>IF(H249="","",MIN(IF($D$18="LEGAL",DATE(YEAR(H249)+1,1,1),EDATE($D$12,$D$11*(INT((((YEAR(H249)-YEAR($D$12))*12+(MONTH(H249)-MONTH($D$12))-IF(DAY(H249)&lt;DAY($D$12),1,0))/$D$11))+1))),$D$7))</f>
        <v/>
      </c>
      <c r="J249" s="11">
        <f>IF(H249="","",I249-H249)</f>
        <v/>
      </c>
      <c r="K249" s="12">
        <f>IF(H249="","",IF($D$18="LEGAL",H249,EDATE(H249,-$D$13)))</f>
        <v/>
      </c>
      <c r="L249" s="13">
        <f>IF(H249="","",IFERROR(INDEX('Tipos BdE'!$B$7:$M$336,MATCH(DATE(YEAR(K249),MONTH(K249),1),'Tipos BdE'!$A$7:$A$336,1),MATCH($D$9,'Tipos BdE'!$B$6:$M$6,0)),0))</f>
        <v/>
      </c>
      <c r="M249" s="13">
        <f>IF(H249="","",IF($D$18="LEGAL",0,$D$10))</f>
        <v/>
      </c>
      <c r="N249" s="13">
        <f>IF(H249="","",IF(AND($D$14="Sí",(L249+M249)&lt;0),0,L249+M249))</f>
        <v/>
      </c>
      <c r="O249" s="199">
        <f>IF(H249="","",$D$5*N249*J249/36500)</f>
        <v/>
      </c>
      <c r="P249" s="199">
        <f>IF(H249="","",$D$5+SUM($O$5:O249))</f>
        <v/>
      </c>
    </row>
    <row r="250">
      <c r="G250" s="11">
        <f>IF(H250="","",ROW()-4)</f>
        <v/>
      </c>
      <c r="H250" s="12">
        <f>IF(OR(I249="",I249&gt;=$D$7),"",I249)</f>
        <v/>
      </c>
      <c r="I250" s="12">
        <f>IF(H250="","",MIN(IF($D$18="LEGAL",DATE(YEAR(H250)+1,1,1),EDATE($D$12,$D$11*(INT((((YEAR(H250)-YEAR($D$12))*12+(MONTH(H250)-MONTH($D$12))-IF(DAY(H250)&lt;DAY($D$12),1,0))/$D$11))+1))),$D$7))</f>
        <v/>
      </c>
      <c r="J250" s="11">
        <f>IF(H250="","",I250-H250)</f>
        <v/>
      </c>
      <c r="K250" s="12">
        <f>IF(H250="","",IF($D$18="LEGAL",H250,EDATE(H250,-$D$13)))</f>
        <v/>
      </c>
      <c r="L250" s="13">
        <f>IF(H250="","",IFERROR(INDEX('Tipos BdE'!$B$7:$M$336,MATCH(DATE(YEAR(K250),MONTH(K250),1),'Tipos BdE'!$A$7:$A$336,1),MATCH($D$9,'Tipos BdE'!$B$6:$M$6,0)),0))</f>
        <v/>
      </c>
      <c r="M250" s="13">
        <f>IF(H250="","",IF($D$18="LEGAL",0,$D$10))</f>
        <v/>
      </c>
      <c r="N250" s="13">
        <f>IF(H250="","",IF(AND($D$14="Sí",(L250+M250)&lt;0),0,L250+M250))</f>
        <v/>
      </c>
      <c r="O250" s="199">
        <f>IF(H250="","",$D$5*N250*J250/36500)</f>
        <v/>
      </c>
      <c r="P250" s="199">
        <f>IF(H250="","",$D$5+SUM($O$5:O250))</f>
        <v/>
      </c>
    </row>
    <row r="251">
      <c r="G251" s="11">
        <f>IF(H251="","",ROW()-4)</f>
        <v/>
      </c>
      <c r="H251" s="12">
        <f>IF(OR(I250="",I250&gt;=$D$7),"",I250)</f>
        <v/>
      </c>
      <c r="I251" s="12">
        <f>IF(H251="","",MIN(IF($D$18="LEGAL",DATE(YEAR(H251)+1,1,1),EDATE($D$12,$D$11*(INT((((YEAR(H251)-YEAR($D$12))*12+(MONTH(H251)-MONTH($D$12))-IF(DAY(H251)&lt;DAY($D$12),1,0))/$D$11))+1))),$D$7))</f>
        <v/>
      </c>
      <c r="J251" s="11">
        <f>IF(H251="","",I251-H251)</f>
        <v/>
      </c>
      <c r="K251" s="12">
        <f>IF(H251="","",IF($D$18="LEGAL",H251,EDATE(H251,-$D$13)))</f>
        <v/>
      </c>
      <c r="L251" s="13">
        <f>IF(H251="","",IFERROR(INDEX('Tipos BdE'!$B$7:$M$336,MATCH(DATE(YEAR(K251),MONTH(K251),1),'Tipos BdE'!$A$7:$A$336,1),MATCH($D$9,'Tipos BdE'!$B$6:$M$6,0)),0))</f>
        <v/>
      </c>
      <c r="M251" s="13">
        <f>IF(H251="","",IF($D$18="LEGAL",0,$D$10))</f>
        <v/>
      </c>
      <c r="N251" s="13">
        <f>IF(H251="","",IF(AND($D$14="Sí",(L251+M251)&lt;0),0,L251+M251))</f>
        <v/>
      </c>
      <c r="O251" s="199">
        <f>IF(H251="","",$D$5*N251*J251/36500)</f>
        <v/>
      </c>
      <c r="P251" s="199">
        <f>IF(H251="","",$D$5+SUM($O$5:O251))</f>
        <v/>
      </c>
    </row>
    <row r="252">
      <c r="G252" s="11">
        <f>IF(H252="","",ROW()-4)</f>
        <v/>
      </c>
      <c r="H252" s="12">
        <f>IF(OR(I251="",I251&gt;=$D$7),"",I251)</f>
        <v/>
      </c>
      <c r="I252" s="12">
        <f>IF(H252="","",MIN(IF($D$18="LEGAL",DATE(YEAR(H252)+1,1,1),EDATE($D$12,$D$11*(INT((((YEAR(H252)-YEAR($D$12))*12+(MONTH(H252)-MONTH($D$12))-IF(DAY(H252)&lt;DAY($D$12),1,0))/$D$11))+1))),$D$7))</f>
        <v/>
      </c>
      <c r="J252" s="11">
        <f>IF(H252="","",I252-H252)</f>
        <v/>
      </c>
      <c r="K252" s="12">
        <f>IF(H252="","",IF($D$18="LEGAL",H252,EDATE(H252,-$D$13)))</f>
        <v/>
      </c>
      <c r="L252" s="13">
        <f>IF(H252="","",IFERROR(INDEX('Tipos BdE'!$B$7:$M$336,MATCH(DATE(YEAR(K252),MONTH(K252),1),'Tipos BdE'!$A$7:$A$336,1),MATCH($D$9,'Tipos BdE'!$B$6:$M$6,0)),0))</f>
        <v/>
      </c>
      <c r="M252" s="13">
        <f>IF(H252="","",IF($D$18="LEGAL",0,$D$10))</f>
        <v/>
      </c>
      <c r="N252" s="13">
        <f>IF(H252="","",IF(AND($D$14="Sí",(L252+M252)&lt;0),0,L252+M252))</f>
        <v/>
      </c>
      <c r="O252" s="199">
        <f>IF(H252="","",$D$5*N252*J252/36500)</f>
        <v/>
      </c>
      <c r="P252" s="199">
        <f>IF(H252="","",$D$5+SUM($O$5:O252))</f>
        <v/>
      </c>
    </row>
    <row r="253">
      <c r="G253" s="11">
        <f>IF(H253="","",ROW()-4)</f>
        <v/>
      </c>
      <c r="H253" s="12">
        <f>IF(OR(I252="",I252&gt;=$D$7),"",I252)</f>
        <v/>
      </c>
      <c r="I253" s="12">
        <f>IF(H253="","",MIN(IF($D$18="LEGAL",DATE(YEAR(H253)+1,1,1),EDATE($D$12,$D$11*(INT((((YEAR(H253)-YEAR($D$12))*12+(MONTH(H253)-MONTH($D$12))-IF(DAY(H253)&lt;DAY($D$12),1,0))/$D$11))+1))),$D$7))</f>
        <v/>
      </c>
      <c r="J253" s="11">
        <f>IF(H253="","",I253-H253)</f>
        <v/>
      </c>
      <c r="K253" s="12">
        <f>IF(H253="","",IF($D$18="LEGAL",H253,EDATE(H253,-$D$13)))</f>
        <v/>
      </c>
      <c r="L253" s="13">
        <f>IF(H253="","",IFERROR(INDEX('Tipos BdE'!$B$7:$M$336,MATCH(DATE(YEAR(K253),MONTH(K253),1),'Tipos BdE'!$A$7:$A$336,1),MATCH($D$9,'Tipos BdE'!$B$6:$M$6,0)),0))</f>
        <v/>
      </c>
      <c r="M253" s="13">
        <f>IF(H253="","",IF($D$18="LEGAL",0,$D$10))</f>
        <v/>
      </c>
      <c r="N253" s="13">
        <f>IF(H253="","",IF(AND($D$14="Sí",(L253+M253)&lt;0),0,L253+M253))</f>
        <v/>
      </c>
      <c r="O253" s="199">
        <f>IF(H253="","",$D$5*N253*J253/36500)</f>
        <v/>
      </c>
      <c r="P253" s="199">
        <f>IF(H253="","",$D$5+SUM($O$5:O253))</f>
        <v/>
      </c>
    </row>
    <row r="254">
      <c r="G254" s="11">
        <f>IF(H254="","",ROW()-4)</f>
        <v/>
      </c>
      <c r="H254" s="12">
        <f>IF(OR(I253="",I253&gt;=$D$7),"",I253)</f>
        <v/>
      </c>
      <c r="I254" s="12">
        <f>IF(H254="","",MIN(IF($D$18="LEGAL",DATE(YEAR(H254)+1,1,1),EDATE($D$12,$D$11*(INT((((YEAR(H254)-YEAR($D$12))*12+(MONTH(H254)-MONTH($D$12))-IF(DAY(H254)&lt;DAY($D$12),1,0))/$D$11))+1))),$D$7))</f>
        <v/>
      </c>
      <c r="J254" s="11">
        <f>IF(H254="","",I254-H254)</f>
        <v/>
      </c>
      <c r="K254" s="12">
        <f>IF(H254="","",IF($D$18="LEGAL",H254,EDATE(H254,-$D$13)))</f>
        <v/>
      </c>
      <c r="L254" s="13">
        <f>IF(H254="","",IFERROR(INDEX('Tipos BdE'!$B$7:$M$336,MATCH(DATE(YEAR(K254),MONTH(K254),1),'Tipos BdE'!$A$7:$A$336,1),MATCH($D$9,'Tipos BdE'!$B$6:$M$6,0)),0))</f>
        <v/>
      </c>
      <c r="M254" s="13">
        <f>IF(H254="","",IF($D$18="LEGAL",0,$D$10))</f>
        <v/>
      </c>
      <c r="N254" s="13">
        <f>IF(H254="","",IF(AND($D$14="Sí",(L254+M254)&lt;0),0,L254+M254))</f>
        <v/>
      </c>
      <c r="O254" s="199">
        <f>IF(H254="","",$D$5*N254*J254/36500)</f>
        <v/>
      </c>
      <c r="P254" s="199">
        <f>IF(H254="","",$D$5+SUM($O$5:O254))</f>
        <v/>
      </c>
    </row>
    <row r="255">
      <c r="G255" s="11">
        <f>IF(H255="","",ROW()-4)</f>
        <v/>
      </c>
      <c r="H255" s="12">
        <f>IF(OR(I254="",I254&gt;=$D$7),"",I254)</f>
        <v/>
      </c>
      <c r="I255" s="12">
        <f>IF(H255="","",MIN(IF($D$18="LEGAL",DATE(YEAR(H255)+1,1,1),EDATE($D$12,$D$11*(INT((((YEAR(H255)-YEAR($D$12))*12+(MONTH(H255)-MONTH($D$12))-IF(DAY(H255)&lt;DAY($D$12),1,0))/$D$11))+1))),$D$7))</f>
        <v/>
      </c>
      <c r="J255" s="11">
        <f>IF(H255="","",I255-H255)</f>
        <v/>
      </c>
      <c r="K255" s="12">
        <f>IF(H255="","",IF($D$18="LEGAL",H255,EDATE(H255,-$D$13)))</f>
        <v/>
      </c>
      <c r="L255" s="13">
        <f>IF(H255="","",IFERROR(INDEX('Tipos BdE'!$B$7:$M$336,MATCH(DATE(YEAR(K255),MONTH(K255),1),'Tipos BdE'!$A$7:$A$336,1),MATCH($D$9,'Tipos BdE'!$B$6:$M$6,0)),0))</f>
        <v/>
      </c>
      <c r="M255" s="13">
        <f>IF(H255="","",IF($D$18="LEGAL",0,$D$10))</f>
        <v/>
      </c>
      <c r="N255" s="13">
        <f>IF(H255="","",IF(AND($D$14="Sí",(L255+M255)&lt;0),0,L255+M255))</f>
        <v/>
      </c>
      <c r="O255" s="199">
        <f>IF(H255="","",$D$5*N255*J255/36500)</f>
        <v/>
      </c>
      <c r="P255" s="199">
        <f>IF(H255="","",$D$5+SUM($O$5:O255))</f>
        <v/>
      </c>
    </row>
    <row r="256">
      <c r="G256" s="11">
        <f>IF(H256="","",ROW()-4)</f>
        <v/>
      </c>
      <c r="H256" s="12">
        <f>IF(OR(I255="",I255&gt;=$D$7),"",I255)</f>
        <v/>
      </c>
      <c r="I256" s="12">
        <f>IF(H256="","",MIN(IF($D$18="LEGAL",DATE(YEAR(H256)+1,1,1),EDATE($D$12,$D$11*(INT((((YEAR(H256)-YEAR($D$12))*12+(MONTH(H256)-MONTH($D$12))-IF(DAY(H256)&lt;DAY($D$12),1,0))/$D$11))+1))),$D$7))</f>
        <v/>
      </c>
      <c r="J256" s="11">
        <f>IF(H256="","",I256-H256)</f>
        <v/>
      </c>
      <c r="K256" s="12">
        <f>IF(H256="","",IF($D$18="LEGAL",H256,EDATE(H256,-$D$13)))</f>
        <v/>
      </c>
      <c r="L256" s="13">
        <f>IF(H256="","",IFERROR(INDEX('Tipos BdE'!$B$7:$M$336,MATCH(DATE(YEAR(K256),MONTH(K256),1),'Tipos BdE'!$A$7:$A$336,1),MATCH($D$9,'Tipos BdE'!$B$6:$M$6,0)),0))</f>
        <v/>
      </c>
      <c r="M256" s="13">
        <f>IF(H256="","",IF($D$18="LEGAL",0,$D$10))</f>
        <v/>
      </c>
      <c r="N256" s="13">
        <f>IF(H256="","",IF(AND($D$14="Sí",(L256+M256)&lt;0),0,L256+M256))</f>
        <v/>
      </c>
      <c r="O256" s="199">
        <f>IF(H256="","",$D$5*N256*J256/36500)</f>
        <v/>
      </c>
      <c r="P256" s="199">
        <f>IF(H256="","",$D$5+SUM($O$5:O256))</f>
        <v/>
      </c>
    </row>
    <row r="257">
      <c r="G257" s="11">
        <f>IF(H257="","",ROW()-4)</f>
        <v/>
      </c>
      <c r="H257" s="12">
        <f>IF(OR(I256="",I256&gt;=$D$7),"",I256)</f>
        <v/>
      </c>
      <c r="I257" s="12">
        <f>IF(H257="","",MIN(IF($D$18="LEGAL",DATE(YEAR(H257)+1,1,1),EDATE($D$12,$D$11*(INT((((YEAR(H257)-YEAR($D$12))*12+(MONTH(H257)-MONTH($D$12))-IF(DAY(H257)&lt;DAY($D$12),1,0))/$D$11))+1))),$D$7))</f>
        <v/>
      </c>
      <c r="J257" s="11">
        <f>IF(H257="","",I257-H257)</f>
        <v/>
      </c>
      <c r="K257" s="12">
        <f>IF(H257="","",IF($D$18="LEGAL",H257,EDATE(H257,-$D$13)))</f>
        <v/>
      </c>
      <c r="L257" s="13">
        <f>IF(H257="","",IFERROR(INDEX('Tipos BdE'!$B$7:$M$336,MATCH(DATE(YEAR(K257),MONTH(K257),1),'Tipos BdE'!$A$7:$A$336,1),MATCH($D$9,'Tipos BdE'!$B$6:$M$6,0)),0))</f>
        <v/>
      </c>
      <c r="M257" s="13">
        <f>IF(H257="","",IF($D$18="LEGAL",0,$D$10))</f>
        <v/>
      </c>
      <c r="N257" s="13">
        <f>IF(H257="","",IF(AND($D$14="Sí",(L257+M257)&lt;0),0,L257+M257))</f>
        <v/>
      </c>
      <c r="O257" s="199">
        <f>IF(H257="","",$D$5*N257*J257/36500)</f>
        <v/>
      </c>
      <c r="P257" s="199">
        <f>IF(H257="","",$D$5+SUM($O$5:O257))</f>
        <v/>
      </c>
    </row>
    <row r="258">
      <c r="G258" s="11">
        <f>IF(H258="","",ROW()-4)</f>
        <v/>
      </c>
      <c r="H258" s="12">
        <f>IF(OR(I257="",I257&gt;=$D$7),"",I257)</f>
        <v/>
      </c>
      <c r="I258" s="12">
        <f>IF(H258="","",MIN(IF($D$18="LEGAL",DATE(YEAR(H258)+1,1,1),EDATE($D$12,$D$11*(INT((((YEAR(H258)-YEAR($D$12))*12+(MONTH(H258)-MONTH($D$12))-IF(DAY(H258)&lt;DAY($D$12),1,0))/$D$11))+1))),$D$7))</f>
        <v/>
      </c>
      <c r="J258" s="11">
        <f>IF(H258="","",I258-H258)</f>
        <v/>
      </c>
      <c r="K258" s="12">
        <f>IF(H258="","",IF($D$18="LEGAL",H258,EDATE(H258,-$D$13)))</f>
        <v/>
      </c>
      <c r="L258" s="13">
        <f>IF(H258="","",IFERROR(INDEX('Tipos BdE'!$B$7:$M$336,MATCH(DATE(YEAR(K258),MONTH(K258),1),'Tipos BdE'!$A$7:$A$336,1),MATCH($D$9,'Tipos BdE'!$B$6:$M$6,0)),0))</f>
        <v/>
      </c>
      <c r="M258" s="13">
        <f>IF(H258="","",IF($D$18="LEGAL",0,$D$10))</f>
        <v/>
      </c>
      <c r="N258" s="13">
        <f>IF(H258="","",IF(AND($D$14="Sí",(L258+M258)&lt;0),0,L258+M258))</f>
        <v/>
      </c>
      <c r="O258" s="199">
        <f>IF(H258="","",$D$5*N258*J258/36500)</f>
        <v/>
      </c>
      <c r="P258" s="199">
        <f>IF(H258="","",$D$5+SUM($O$5:O258))</f>
        <v/>
      </c>
    </row>
    <row r="259">
      <c r="G259" s="11">
        <f>IF(H259="","",ROW()-4)</f>
        <v/>
      </c>
      <c r="H259" s="12">
        <f>IF(OR(I258="",I258&gt;=$D$7),"",I258)</f>
        <v/>
      </c>
      <c r="I259" s="12">
        <f>IF(H259="","",MIN(IF($D$18="LEGAL",DATE(YEAR(H259)+1,1,1),EDATE($D$12,$D$11*(INT((((YEAR(H259)-YEAR($D$12))*12+(MONTH(H259)-MONTH($D$12))-IF(DAY(H259)&lt;DAY($D$12),1,0))/$D$11))+1))),$D$7))</f>
        <v/>
      </c>
      <c r="J259" s="11">
        <f>IF(H259="","",I259-H259)</f>
        <v/>
      </c>
      <c r="K259" s="12">
        <f>IF(H259="","",IF($D$18="LEGAL",H259,EDATE(H259,-$D$13)))</f>
        <v/>
      </c>
      <c r="L259" s="13">
        <f>IF(H259="","",IFERROR(INDEX('Tipos BdE'!$B$7:$M$336,MATCH(DATE(YEAR(K259),MONTH(K259),1),'Tipos BdE'!$A$7:$A$336,1),MATCH($D$9,'Tipos BdE'!$B$6:$M$6,0)),0))</f>
        <v/>
      </c>
      <c r="M259" s="13">
        <f>IF(H259="","",IF($D$18="LEGAL",0,$D$10))</f>
        <v/>
      </c>
      <c r="N259" s="13">
        <f>IF(H259="","",IF(AND($D$14="Sí",(L259+M259)&lt;0),0,L259+M259))</f>
        <v/>
      </c>
      <c r="O259" s="199">
        <f>IF(H259="","",$D$5*N259*J259/36500)</f>
        <v/>
      </c>
      <c r="P259" s="199">
        <f>IF(H259="","",$D$5+SUM($O$5:O259))</f>
        <v/>
      </c>
    </row>
    <row r="260">
      <c r="G260" s="11">
        <f>IF(H260="","",ROW()-4)</f>
        <v/>
      </c>
      <c r="H260" s="12">
        <f>IF(OR(I259="",I259&gt;=$D$7),"",I259)</f>
        <v/>
      </c>
      <c r="I260" s="12">
        <f>IF(H260="","",MIN(IF($D$18="LEGAL",DATE(YEAR(H260)+1,1,1),EDATE($D$12,$D$11*(INT((((YEAR(H260)-YEAR($D$12))*12+(MONTH(H260)-MONTH($D$12))-IF(DAY(H260)&lt;DAY($D$12),1,0))/$D$11))+1))),$D$7))</f>
        <v/>
      </c>
      <c r="J260" s="11">
        <f>IF(H260="","",I260-H260)</f>
        <v/>
      </c>
      <c r="K260" s="12">
        <f>IF(H260="","",IF($D$18="LEGAL",H260,EDATE(H260,-$D$13)))</f>
        <v/>
      </c>
      <c r="L260" s="13">
        <f>IF(H260="","",IFERROR(INDEX('Tipos BdE'!$B$7:$M$336,MATCH(DATE(YEAR(K260),MONTH(K260),1),'Tipos BdE'!$A$7:$A$336,1),MATCH($D$9,'Tipos BdE'!$B$6:$M$6,0)),0))</f>
        <v/>
      </c>
      <c r="M260" s="13">
        <f>IF(H260="","",IF($D$18="LEGAL",0,$D$10))</f>
        <v/>
      </c>
      <c r="N260" s="13">
        <f>IF(H260="","",IF(AND($D$14="Sí",(L260+M260)&lt;0),0,L260+M260))</f>
        <v/>
      </c>
      <c r="O260" s="199">
        <f>IF(H260="","",$D$5*N260*J260/36500)</f>
        <v/>
      </c>
      <c r="P260" s="199">
        <f>IF(H260="","",$D$5+SUM($O$5:O260))</f>
        <v/>
      </c>
    </row>
    <row r="261">
      <c r="G261" s="11">
        <f>IF(H261="","",ROW()-4)</f>
        <v/>
      </c>
      <c r="H261" s="12">
        <f>IF(OR(I260="",I260&gt;=$D$7),"",I260)</f>
        <v/>
      </c>
      <c r="I261" s="12">
        <f>IF(H261="","",MIN(IF($D$18="LEGAL",DATE(YEAR(H261)+1,1,1),EDATE($D$12,$D$11*(INT((((YEAR(H261)-YEAR($D$12))*12+(MONTH(H261)-MONTH($D$12))-IF(DAY(H261)&lt;DAY($D$12),1,0))/$D$11))+1))),$D$7))</f>
        <v/>
      </c>
      <c r="J261" s="11">
        <f>IF(H261="","",I261-H261)</f>
        <v/>
      </c>
      <c r="K261" s="12">
        <f>IF(H261="","",IF($D$18="LEGAL",H261,EDATE(H261,-$D$13)))</f>
        <v/>
      </c>
      <c r="L261" s="13">
        <f>IF(H261="","",IFERROR(INDEX('Tipos BdE'!$B$7:$M$336,MATCH(DATE(YEAR(K261),MONTH(K261),1),'Tipos BdE'!$A$7:$A$336,1),MATCH($D$9,'Tipos BdE'!$B$6:$M$6,0)),0))</f>
        <v/>
      </c>
      <c r="M261" s="13">
        <f>IF(H261="","",IF($D$18="LEGAL",0,$D$10))</f>
        <v/>
      </c>
      <c r="N261" s="13">
        <f>IF(H261="","",IF(AND($D$14="Sí",(L261+M261)&lt;0),0,L261+M261))</f>
        <v/>
      </c>
      <c r="O261" s="199">
        <f>IF(H261="","",$D$5*N261*J261/36500)</f>
        <v/>
      </c>
      <c r="P261" s="199">
        <f>IF(H261="","",$D$5+SUM($O$5:O261))</f>
        <v/>
      </c>
    </row>
    <row r="262">
      <c r="G262" s="11">
        <f>IF(H262="","",ROW()-4)</f>
        <v/>
      </c>
      <c r="H262" s="12">
        <f>IF(OR(I261="",I261&gt;=$D$7),"",I261)</f>
        <v/>
      </c>
      <c r="I262" s="12">
        <f>IF(H262="","",MIN(IF($D$18="LEGAL",DATE(YEAR(H262)+1,1,1),EDATE($D$12,$D$11*(INT((((YEAR(H262)-YEAR($D$12))*12+(MONTH(H262)-MONTH($D$12))-IF(DAY(H262)&lt;DAY($D$12),1,0))/$D$11))+1))),$D$7))</f>
        <v/>
      </c>
      <c r="J262" s="11">
        <f>IF(H262="","",I262-H262)</f>
        <v/>
      </c>
      <c r="K262" s="12">
        <f>IF(H262="","",IF($D$18="LEGAL",H262,EDATE(H262,-$D$13)))</f>
        <v/>
      </c>
      <c r="L262" s="13">
        <f>IF(H262="","",IFERROR(INDEX('Tipos BdE'!$B$7:$M$336,MATCH(DATE(YEAR(K262),MONTH(K262),1),'Tipos BdE'!$A$7:$A$336,1),MATCH($D$9,'Tipos BdE'!$B$6:$M$6,0)),0))</f>
        <v/>
      </c>
      <c r="M262" s="13">
        <f>IF(H262="","",IF($D$18="LEGAL",0,$D$10))</f>
        <v/>
      </c>
      <c r="N262" s="13">
        <f>IF(H262="","",IF(AND($D$14="Sí",(L262+M262)&lt;0),0,L262+M262))</f>
        <v/>
      </c>
      <c r="O262" s="199">
        <f>IF(H262="","",$D$5*N262*J262/36500)</f>
        <v/>
      </c>
      <c r="P262" s="199">
        <f>IF(H262="","",$D$5+SUM($O$5:O262))</f>
        <v/>
      </c>
    </row>
    <row r="263">
      <c r="G263" s="11">
        <f>IF(H263="","",ROW()-4)</f>
        <v/>
      </c>
      <c r="H263" s="12">
        <f>IF(OR(I262="",I262&gt;=$D$7),"",I262)</f>
        <v/>
      </c>
      <c r="I263" s="12">
        <f>IF(H263="","",MIN(IF($D$18="LEGAL",DATE(YEAR(H263)+1,1,1),EDATE($D$12,$D$11*(INT((((YEAR(H263)-YEAR($D$12))*12+(MONTH(H263)-MONTH($D$12))-IF(DAY(H263)&lt;DAY($D$12),1,0))/$D$11))+1))),$D$7))</f>
        <v/>
      </c>
      <c r="J263" s="11">
        <f>IF(H263="","",I263-H263)</f>
        <v/>
      </c>
      <c r="K263" s="12">
        <f>IF(H263="","",IF($D$18="LEGAL",H263,EDATE(H263,-$D$13)))</f>
        <v/>
      </c>
      <c r="L263" s="13">
        <f>IF(H263="","",IFERROR(INDEX('Tipos BdE'!$B$7:$M$336,MATCH(DATE(YEAR(K263),MONTH(K263),1),'Tipos BdE'!$A$7:$A$336,1),MATCH($D$9,'Tipos BdE'!$B$6:$M$6,0)),0))</f>
        <v/>
      </c>
      <c r="M263" s="13">
        <f>IF(H263="","",IF($D$18="LEGAL",0,$D$10))</f>
        <v/>
      </c>
      <c r="N263" s="13">
        <f>IF(H263="","",IF(AND($D$14="Sí",(L263+M263)&lt;0),0,L263+M263))</f>
        <v/>
      </c>
      <c r="O263" s="199">
        <f>IF(H263="","",$D$5*N263*J263/36500)</f>
        <v/>
      </c>
      <c r="P263" s="199">
        <f>IF(H263="","",$D$5+SUM($O$5:O263))</f>
        <v/>
      </c>
    </row>
    <row r="264">
      <c r="G264" s="11">
        <f>IF(H264="","",ROW()-4)</f>
        <v/>
      </c>
      <c r="H264" s="12">
        <f>IF(OR(I263="",I263&gt;=$D$7),"",I263)</f>
        <v/>
      </c>
      <c r="I264" s="12">
        <f>IF(H264="","",MIN(IF($D$18="LEGAL",DATE(YEAR(H264)+1,1,1),EDATE($D$12,$D$11*(INT((((YEAR(H264)-YEAR($D$12))*12+(MONTH(H264)-MONTH($D$12))-IF(DAY(H264)&lt;DAY($D$12),1,0))/$D$11))+1))),$D$7))</f>
        <v/>
      </c>
      <c r="J264" s="11">
        <f>IF(H264="","",I264-H264)</f>
        <v/>
      </c>
      <c r="K264" s="12">
        <f>IF(H264="","",IF($D$18="LEGAL",H264,EDATE(H264,-$D$13)))</f>
        <v/>
      </c>
      <c r="L264" s="13">
        <f>IF(H264="","",IFERROR(INDEX('Tipos BdE'!$B$7:$M$336,MATCH(DATE(YEAR(K264),MONTH(K264),1),'Tipos BdE'!$A$7:$A$336,1),MATCH($D$9,'Tipos BdE'!$B$6:$M$6,0)),0))</f>
        <v/>
      </c>
      <c r="M264" s="13">
        <f>IF(H264="","",IF($D$18="LEGAL",0,$D$10))</f>
        <v/>
      </c>
      <c r="N264" s="13">
        <f>IF(H264="","",IF(AND($D$14="Sí",(L264+M264)&lt;0),0,L264+M264))</f>
        <v/>
      </c>
      <c r="O264" s="199">
        <f>IF(H264="","",$D$5*N264*J264/36500)</f>
        <v/>
      </c>
      <c r="P264" s="199">
        <f>IF(H264="","",$D$5+SUM($O$5:O264))</f>
        <v/>
      </c>
    </row>
    <row r="265">
      <c r="G265" s="11">
        <f>IF(H265="","",ROW()-4)</f>
        <v/>
      </c>
      <c r="H265" s="12">
        <f>IF(OR(I264="",I264&gt;=$D$7),"",I264)</f>
        <v/>
      </c>
      <c r="I265" s="12">
        <f>IF(H265="","",MIN(IF($D$18="LEGAL",DATE(YEAR(H265)+1,1,1),EDATE($D$12,$D$11*(INT((((YEAR(H265)-YEAR($D$12))*12+(MONTH(H265)-MONTH($D$12))-IF(DAY(H265)&lt;DAY($D$12),1,0))/$D$11))+1))),$D$7))</f>
        <v/>
      </c>
      <c r="J265" s="11">
        <f>IF(H265="","",I265-H265)</f>
        <v/>
      </c>
      <c r="K265" s="12">
        <f>IF(H265="","",IF($D$18="LEGAL",H265,EDATE(H265,-$D$13)))</f>
        <v/>
      </c>
      <c r="L265" s="13">
        <f>IF(H265="","",IFERROR(INDEX('Tipos BdE'!$B$7:$M$336,MATCH(DATE(YEAR(K265),MONTH(K265),1),'Tipos BdE'!$A$7:$A$336,1),MATCH($D$9,'Tipos BdE'!$B$6:$M$6,0)),0))</f>
        <v/>
      </c>
      <c r="M265" s="13">
        <f>IF(H265="","",IF($D$18="LEGAL",0,$D$10))</f>
        <v/>
      </c>
      <c r="N265" s="13">
        <f>IF(H265="","",IF(AND($D$14="Sí",(L265+M265)&lt;0),0,L265+M265))</f>
        <v/>
      </c>
      <c r="O265" s="199">
        <f>IF(H265="","",$D$5*N265*J265/36500)</f>
        <v/>
      </c>
      <c r="P265" s="199">
        <f>IF(H265="","",$D$5+SUM($O$5:O265))</f>
        <v/>
      </c>
    </row>
    <row r="266">
      <c r="G266" s="11">
        <f>IF(H266="","",ROW()-4)</f>
        <v/>
      </c>
      <c r="H266" s="12">
        <f>IF(OR(I265="",I265&gt;=$D$7),"",I265)</f>
        <v/>
      </c>
      <c r="I266" s="12">
        <f>IF(H266="","",MIN(IF($D$18="LEGAL",DATE(YEAR(H266)+1,1,1),EDATE($D$12,$D$11*(INT((((YEAR(H266)-YEAR($D$12))*12+(MONTH(H266)-MONTH($D$12))-IF(DAY(H266)&lt;DAY($D$12),1,0))/$D$11))+1))),$D$7))</f>
        <v/>
      </c>
      <c r="J266" s="11">
        <f>IF(H266="","",I266-H266)</f>
        <v/>
      </c>
      <c r="K266" s="12">
        <f>IF(H266="","",IF($D$18="LEGAL",H266,EDATE(H266,-$D$13)))</f>
        <v/>
      </c>
      <c r="L266" s="13">
        <f>IF(H266="","",IFERROR(INDEX('Tipos BdE'!$B$7:$M$336,MATCH(DATE(YEAR(K266),MONTH(K266),1),'Tipos BdE'!$A$7:$A$336,1),MATCH($D$9,'Tipos BdE'!$B$6:$M$6,0)),0))</f>
        <v/>
      </c>
      <c r="M266" s="13">
        <f>IF(H266="","",IF($D$18="LEGAL",0,$D$10))</f>
        <v/>
      </c>
      <c r="N266" s="13">
        <f>IF(H266="","",IF(AND($D$14="Sí",(L266+M266)&lt;0),0,L266+M266))</f>
        <v/>
      </c>
      <c r="O266" s="199">
        <f>IF(H266="","",$D$5*N266*J266/36500)</f>
        <v/>
      </c>
      <c r="P266" s="199">
        <f>IF(H266="","",$D$5+SUM($O$5:O266))</f>
        <v/>
      </c>
    </row>
    <row r="267">
      <c r="G267" s="11">
        <f>IF(H267="","",ROW()-4)</f>
        <v/>
      </c>
      <c r="H267" s="12">
        <f>IF(OR(I266="",I266&gt;=$D$7),"",I266)</f>
        <v/>
      </c>
      <c r="I267" s="12">
        <f>IF(H267="","",MIN(IF($D$18="LEGAL",DATE(YEAR(H267)+1,1,1),EDATE($D$12,$D$11*(INT((((YEAR(H267)-YEAR($D$12))*12+(MONTH(H267)-MONTH($D$12))-IF(DAY(H267)&lt;DAY($D$12),1,0))/$D$11))+1))),$D$7))</f>
        <v/>
      </c>
      <c r="J267" s="11">
        <f>IF(H267="","",I267-H267)</f>
        <v/>
      </c>
      <c r="K267" s="12">
        <f>IF(H267="","",IF($D$18="LEGAL",H267,EDATE(H267,-$D$13)))</f>
        <v/>
      </c>
      <c r="L267" s="13">
        <f>IF(H267="","",IFERROR(INDEX('Tipos BdE'!$B$7:$M$336,MATCH(DATE(YEAR(K267),MONTH(K267),1),'Tipos BdE'!$A$7:$A$336,1),MATCH($D$9,'Tipos BdE'!$B$6:$M$6,0)),0))</f>
        <v/>
      </c>
      <c r="M267" s="13">
        <f>IF(H267="","",IF($D$18="LEGAL",0,$D$10))</f>
        <v/>
      </c>
      <c r="N267" s="13">
        <f>IF(H267="","",IF(AND($D$14="Sí",(L267+M267)&lt;0),0,L267+M267))</f>
        <v/>
      </c>
      <c r="O267" s="199">
        <f>IF(H267="","",$D$5*N267*J267/36500)</f>
        <v/>
      </c>
      <c r="P267" s="199">
        <f>IF(H267="","",$D$5+SUM($O$5:O267))</f>
        <v/>
      </c>
    </row>
    <row r="268">
      <c r="G268" s="11">
        <f>IF(H268="","",ROW()-4)</f>
        <v/>
      </c>
      <c r="H268" s="12">
        <f>IF(OR(I267="",I267&gt;=$D$7),"",I267)</f>
        <v/>
      </c>
      <c r="I268" s="12">
        <f>IF(H268="","",MIN(IF($D$18="LEGAL",DATE(YEAR(H268)+1,1,1),EDATE($D$12,$D$11*(INT((((YEAR(H268)-YEAR($D$12))*12+(MONTH(H268)-MONTH($D$12))-IF(DAY(H268)&lt;DAY($D$12),1,0))/$D$11))+1))),$D$7))</f>
        <v/>
      </c>
      <c r="J268" s="11">
        <f>IF(H268="","",I268-H268)</f>
        <v/>
      </c>
      <c r="K268" s="12">
        <f>IF(H268="","",IF($D$18="LEGAL",H268,EDATE(H268,-$D$13)))</f>
        <v/>
      </c>
      <c r="L268" s="13">
        <f>IF(H268="","",IFERROR(INDEX('Tipos BdE'!$B$7:$M$336,MATCH(DATE(YEAR(K268),MONTH(K268),1),'Tipos BdE'!$A$7:$A$336,1),MATCH($D$9,'Tipos BdE'!$B$6:$M$6,0)),0))</f>
        <v/>
      </c>
      <c r="M268" s="13">
        <f>IF(H268="","",IF($D$18="LEGAL",0,$D$10))</f>
        <v/>
      </c>
      <c r="N268" s="13">
        <f>IF(H268="","",IF(AND($D$14="Sí",(L268+M268)&lt;0),0,L268+M268))</f>
        <v/>
      </c>
      <c r="O268" s="199">
        <f>IF(H268="","",$D$5*N268*J268/36500)</f>
        <v/>
      </c>
      <c r="P268" s="199">
        <f>IF(H268="","",$D$5+SUM($O$5:O268))</f>
        <v/>
      </c>
    </row>
    <row r="269">
      <c r="G269" s="11">
        <f>IF(H269="","",ROW()-4)</f>
        <v/>
      </c>
      <c r="H269" s="12">
        <f>IF(OR(I268="",I268&gt;=$D$7),"",I268)</f>
        <v/>
      </c>
      <c r="I269" s="12">
        <f>IF(H269="","",MIN(IF($D$18="LEGAL",DATE(YEAR(H269)+1,1,1),EDATE($D$12,$D$11*(INT((((YEAR(H269)-YEAR($D$12))*12+(MONTH(H269)-MONTH($D$12))-IF(DAY(H269)&lt;DAY($D$12),1,0))/$D$11))+1))),$D$7))</f>
        <v/>
      </c>
      <c r="J269" s="11">
        <f>IF(H269="","",I269-H269)</f>
        <v/>
      </c>
      <c r="K269" s="12">
        <f>IF(H269="","",IF($D$18="LEGAL",H269,EDATE(H269,-$D$13)))</f>
        <v/>
      </c>
      <c r="L269" s="13">
        <f>IF(H269="","",IFERROR(INDEX('Tipos BdE'!$B$7:$M$336,MATCH(DATE(YEAR(K269),MONTH(K269),1),'Tipos BdE'!$A$7:$A$336,1),MATCH($D$9,'Tipos BdE'!$B$6:$M$6,0)),0))</f>
        <v/>
      </c>
      <c r="M269" s="13">
        <f>IF(H269="","",IF($D$18="LEGAL",0,$D$10))</f>
        <v/>
      </c>
      <c r="N269" s="13">
        <f>IF(H269="","",IF(AND($D$14="Sí",(L269+M269)&lt;0),0,L269+M269))</f>
        <v/>
      </c>
      <c r="O269" s="199">
        <f>IF(H269="","",$D$5*N269*J269/36500)</f>
        <v/>
      </c>
      <c r="P269" s="199">
        <f>IF(H269="","",$D$5+SUM($O$5:O269))</f>
        <v/>
      </c>
    </row>
    <row r="270">
      <c r="G270" s="11">
        <f>IF(H270="","",ROW()-4)</f>
        <v/>
      </c>
      <c r="H270" s="12">
        <f>IF(OR(I269="",I269&gt;=$D$7),"",I269)</f>
        <v/>
      </c>
      <c r="I270" s="12">
        <f>IF(H270="","",MIN(IF($D$18="LEGAL",DATE(YEAR(H270)+1,1,1),EDATE($D$12,$D$11*(INT((((YEAR(H270)-YEAR($D$12))*12+(MONTH(H270)-MONTH($D$12))-IF(DAY(H270)&lt;DAY($D$12),1,0))/$D$11))+1))),$D$7))</f>
        <v/>
      </c>
      <c r="J270" s="11">
        <f>IF(H270="","",I270-H270)</f>
        <v/>
      </c>
      <c r="K270" s="12">
        <f>IF(H270="","",IF($D$18="LEGAL",H270,EDATE(H270,-$D$13)))</f>
        <v/>
      </c>
      <c r="L270" s="13">
        <f>IF(H270="","",IFERROR(INDEX('Tipos BdE'!$B$7:$M$336,MATCH(DATE(YEAR(K270),MONTH(K270),1),'Tipos BdE'!$A$7:$A$336,1),MATCH($D$9,'Tipos BdE'!$B$6:$M$6,0)),0))</f>
        <v/>
      </c>
      <c r="M270" s="13">
        <f>IF(H270="","",IF($D$18="LEGAL",0,$D$10))</f>
        <v/>
      </c>
      <c r="N270" s="13">
        <f>IF(H270="","",IF(AND($D$14="Sí",(L270+M270)&lt;0),0,L270+M270))</f>
        <v/>
      </c>
      <c r="O270" s="199">
        <f>IF(H270="","",$D$5*N270*J270/36500)</f>
        <v/>
      </c>
      <c r="P270" s="199">
        <f>IF(H270="","",$D$5+SUM($O$5:O270))</f>
        <v/>
      </c>
    </row>
    <row r="271">
      <c r="G271" s="11">
        <f>IF(H271="","",ROW()-4)</f>
        <v/>
      </c>
      <c r="H271" s="12">
        <f>IF(OR(I270="",I270&gt;=$D$7),"",I270)</f>
        <v/>
      </c>
      <c r="I271" s="12">
        <f>IF(H271="","",MIN(IF($D$18="LEGAL",DATE(YEAR(H271)+1,1,1),EDATE($D$12,$D$11*(INT((((YEAR(H271)-YEAR($D$12))*12+(MONTH(H271)-MONTH($D$12))-IF(DAY(H271)&lt;DAY($D$12),1,0))/$D$11))+1))),$D$7))</f>
        <v/>
      </c>
      <c r="J271" s="11">
        <f>IF(H271="","",I271-H271)</f>
        <v/>
      </c>
      <c r="K271" s="12">
        <f>IF(H271="","",IF($D$18="LEGAL",H271,EDATE(H271,-$D$13)))</f>
        <v/>
      </c>
      <c r="L271" s="13">
        <f>IF(H271="","",IFERROR(INDEX('Tipos BdE'!$B$7:$M$336,MATCH(DATE(YEAR(K271),MONTH(K271),1),'Tipos BdE'!$A$7:$A$336,1),MATCH($D$9,'Tipos BdE'!$B$6:$M$6,0)),0))</f>
        <v/>
      </c>
      <c r="M271" s="13">
        <f>IF(H271="","",IF($D$18="LEGAL",0,$D$10))</f>
        <v/>
      </c>
      <c r="N271" s="13">
        <f>IF(H271="","",IF(AND($D$14="Sí",(L271+M271)&lt;0),0,L271+M271))</f>
        <v/>
      </c>
      <c r="O271" s="199">
        <f>IF(H271="","",$D$5*N271*J271/36500)</f>
        <v/>
      </c>
      <c r="P271" s="199">
        <f>IF(H271="","",$D$5+SUM($O$5:O271))</f>
        <v/>
      </c>
    </row>
    <row r="272">
      <c r="G272" s="11">
        <f>IF(H272="","",ROW()-4)</f>
        <v/>
      </c>
      <c r="H272" s="12">
        <f>IF(OR(I271="",I271&gt;=$D$7),"",I271)</f>
        <v/>
      </c>
      <c r="I272" s="12">
        <f>IF(H272="","",MIN(IF($D$18="LEGAL",DATE(YEAR(H272)+1,1,1),EDATE($D$12,$D$11*(INT((((YEAR(H272)-YEAR($D$12))*12+(MONTH(H272)-MONTH($D$12))-IF(DAY(H272)&lt;DAY($D$12),1,0))/$D$11))+1))),$D$7))</f>
        <v/>
      </c>
      <c r="J272" s="11">
        <f>IF(H272="","",I272-H272)</f>
        <v/>
      </c>
      <c r="K272" s="12">
        <f>IF(H272="","",IF($D$18="LEGAL",H272,EDATE(H272,-$D$13)))</f>
        <v/>
      </c>
      <c r="L272" s="13">
        <f>IF(H272="","",IFERROR(INDEX('Tipos BdE'!$B$7:$M$336,MATCH(DATE(YEAR(K272),MONTH(K272),1),'Tipos BdE'!$A$7:$A$336,1),MATCH($D$9,'Tipos BdE'!$B$6:$M$6,0)),0))</f>
        <v/>
      </c>
      <c r="M272" s="13">
        <f>IF(H272="","",IF($D$18="LEGAL",0,$D$10))</f>
        <v/>
      </c>
      <c r="N272" s="13">
        <f>IF(H272="","",IF(AND($D$14="Sí",(L272+M272)&lt;0),0,L272+M272))</f>
        <v/>
      </c>
      <c r="O272" s="199">
        <f>IF(H272="","",$D$5*N272*J272/36500)</f>
        <v/>
      </c>
      <c r="P272" s="199">
        <f>IF(H272="","",$D$5+SUM($O$5:O272))</f>
        <v/>
      </c>
    </row>
    <row r="273">
      <c r="G273" s="11">
        <f>IF(H273="","",ROW()-4)</f>
        <v/>
      </c>
      <c r="H273" s="12">
        <f>IF(OR(I272="",I272&gt;=$D$7),"",I272)</f>
        <v/>
      </c>
      <c r="I273" s="12">
        <f>IF(H273="","",MIN(IF($D$18="LEGAL",DATE(YEAR(H273)+1,1,1),EDATE($D$12,$D$11*(INT((((YEAR(H273)-YEAR($D$12))*12+(MONTH(H273)-MONTH($D$12))-IF(DAY(H273)&lt;DAY($D$12),1,0))/$D$11))+1))),$D$7))</f>
        <v/>
      </c>
      <c r="J273" s="11">
        <f>IF(H273="","",I273-H273)</f>
        <v/>
      </c>
      <c r="K273" s="12">
        <f>IF(H273="","",IF($D$18="LEGAL",H273,EDATE(H273,-$D$13)))</f>
        <v/>
      </c>
      <c r="L273" s="13">
        <f>IF(H273="","",IFERROR(INDEX('Tipos BdE'!$B$7:$M$336,MATCH(DATE(YEAR(K273),MONTH(K273),1),'Tipos BdE'!$A$7:$A$336,1),MATCH($D$9,'Tipos BdE'!$B$6:$M$6,0)),0))</f>
        <v/>
      </c>
      <c r="M273" s="13">
        <f>IF(H273="","",IF($D$18="LEGAL",0,$D$10))</f>
        <v/>
      </c>
      <c r="N273" s="13">
        <f>IF(H273="","",IF(AND($D$14="Sí",(L273+M273)&lt;0),0,L273+M273))</f>
        <v/>
      </c>
      <c r="O273" s="199">
        <f>IF(H273="","",$D$5*N273*J273/36500)</f>
        <v/>
      </c>
      <c r="P273" s="199">
        <f>IF(H273="","",$D$5+SUM($O$5:O273))</f>
        <v/>
      </c>
    </row>
    <row r="274">
      <c r="G274" s="11">
        <f>IF(H274="","",ROW()-4)</f>
        <v/>
      </c>
      <c r="H274" s="12">
        <f>IF(OR(I273="",I273&gt;=$D$7),"",I273)</f>
        <v/>
      </c>
      <c r="I274" s="12">
        <f>IF(H274="","",MIN(IF($D$18="LEGAL",DATE(YEAR(H274)+1,1,1),EDATE($D$12,$D$11*(INT((((YEAR(H274)-YEAR($D$12))*12+(MONTH(H274)-MONTH($D$12))-IF(DAY(H274)&lt;DAY($D$12),1,0))/$D$11))+1))),$D$7))</f>
        <v/>
      </c>
      <c r="J274" s="11">
        <f>IF(H274="","",I274-H274)</f>
        <v/>
      </c>
      <c r="K274" s="12">
        <f>IF(H274="","",IF($D$18="LEGAL",H274,EDATE(H274,-$D$13)))</f>
        <v/>
      </c>
      <c r="L274" s="13">
        <f>IF(H274="","",IFERROR(INDEX('Tipos BdE'!$B$7:$M$336,MATCH(DATE(YEAR(K274),MONTH(K274),1),'Tipos BdE'!$A$7:$A$336,1),MATCH($D$9,'Tipos BdE'!$B$6:$M$6,0)),0))</f>
        <v/>
      </c>
      <c r="M274" s="13">
        <f>IF(H274="","",IF($D$18="LEGAL",0,$D$10))</f>
        <v/>
      </c>
      <c r="N274" s="13">
        <f>IF(H274="","",IF(AND($D$14="Sí",(L274+M274)&lt;0),0,L274+M274))</f>
        <v/>
      </c>
      <c r="O274" s="199">
        <f>IF(H274="","",$D$5*N274*J274/36500)</f>
        <v/>
      </c>
      <c r="P274" s="199">
        <f>IF(H274="","",$D$5+SUM($O$5:O274))</f>
        <v/>
      </c>
    </row>
    <row r="275">
      <c r="G275" s="11">
        <f>IF(H275="","",ROW()-4)</f>
        <v/>
      </c>
      <c r="H275" s="12">
        <f>IF(OR(I274="",I274&gt;=$D$7),"",I274)</f>
        <v/>
      </c>
      <c r="I275" s="12">
        <f>IF(H275="","",MIN(IF($D$18="LEGAL",DATE(YEAR(H275)+1,1,1),EDATE($D$12,$D$11*(INT((((YEAR(H275)-YEAR($D$12))*12+(MONTH(H275)-MONTH($D$12))-IF(DAY(H275)&lt;DAY($D$12),1,0))/$D$11))+1))),$D$7))</f>
        <v/>
      </c>
      <c r="J275" s="11">
        <f>IF(H275="","",I275-H275)</f>
        <v/>
      </c>
      <c r="K275" s="12">
        <f>IF(H275="","",IF($D$18="LEGAL",H275,EDATE(H275,-$D$13)))</f>
        <v/>
      </c>
      <c r="L275" s="13">
        <f>IF(H275="","",IFERROR(INDEX('Tipos BdE'!$B$7:$M$336,MATCH(DATE(YEAR(K275),MONTH(K275),1),'Tipos BdE'!$A$7:$A$336,1),MATCH($D$9,'Tipos BdE'!$B$6:$M$6,0)),0))</f>
        <v/>
      </c>
      <c r="M275" s="13">
        <f>IF(H275="","",IF($D$18="LEGAL",0,$D$10))</f>
        <v/>
      </c>
      <c r="N275" s="13">
        <f>IF(H275="","",IF(AND($D$14="Sí",(L275+M275)&lt;0),0,L275+M275))</f>
        <v/>
      </c>
      <c r="O275" s="199">
        <f>IF(H275="","",$D$5*N275*J275/36500)</f>
        <v/>
      </c>
      <c r="P275" s="199">
        <f>IF(H275="","",$D$5+SUM($O$5:O275))</f>
        <v/>
      </c>
    </row>
    <row r="276">
      <c r="G276" s="11">
        <f>IF(H276="","",ROW()-4)</f>
        <v/>
      </c>
      <c r="H276" s="12">
        <f>IF(OR(I275="",I275&gt;=$D$7),"",I275)</f>
        <v/>
      </c>
      <c r="I276" s="12">
        <f>IF(H276="","",MIN(IF($D$18="LEGAL",DATE(YEAR(H276)+1,1,1),EDATE($D$12,$D$11*(INT((((YEAR(H276)-YEAR($D$12))*12+(MONTH(H276)-MONTH($D$12))-IF(DAY(H276)&lt;DAY($D$12),1,0))/$D$11))+1))),$D$7))</f>
        <v/>
      </c>
      <c r="J276" s="11">
        <f>IF(H276="","",I276-H276)</f>
        <v/>
      </c>
      <c r="K276" s="12">
        <f>IF(H276="","",IF($D$18="LEGAL",H276,EDATE(H276,-$D$13)))</f>
        <v/>
      </c>
      <c r="L276" s="13">
        <f>IF(H276="","",IFERROR(INDEX('Tipos BdE'!$B$7:$M$336,MATCH(DATE(YEAR(K276),MONTH(K276),1),'Tipos BdE'!$A$7:$A$336,1),MATCH($D$9,'Tipos BdE'!$B$6:$M$6,0)),0))</f>
        <v/>
      </c>
      <c r="M276" s="13">
        <f>IF(H276="","",IF($D$18="LEGAL",0,$D$10))</f>
        <v/>
      </c>
      <c r="N276" s="13">
        <f>IF(H276="","",IF(AND($D$14="Sí",(L276+M276)&lt;0),0,L276+M276))</f>
        <v/>
      </c>
      <c r="O276" s="199">
        <f>IF(H276="","",$D$5*N276*J276/36500)</f>
        <v/>
      </c>
      <c r="P276" s="199">
        <f>IF(H276="","",$D$5+SUM($O$5:O276))</f>
        <v/>
      </c>
    </row>
    <row r="277">
      <c r="G277" s="11">
        <f>IF(H277="","",ROW()-4)</f>
        <v/>
      </c>
      <c r="H277" s="12">
        <f>IF(OR(I276="",I276&gt;=$D$7),"",I276)</f>
        <v/>
      </c>
      <c r="I277" s="12">
        <f>IF(H277="","",MIN(IF($D$18="LEGAL",DATE(YEAR(H277)+1,1,1),EDATE($D$12,$D$11*(INT((((YEAR(H277)-YEAR($D$12))*12+(MONTH(H277)-MONTH($D$12))-IF(DAY(H277)&lt;DAY($D$12),1,0))/$D$11))+1))),$D$7))</f>
        <v/>
      </c>
      <c r="J277" s="11">
        <f>IF(H277="","",I277-H277)</f>
        <v/>
      </c>
      <c r="K277" s="12">
        <f>IF(H277="","",IF($D$18="LEGAL",H277,EDATE(H277,-$D$13)))</f>
        <v/>
      </c>
      <c r="L277" s="13">
        <f>IF(H277="","",IFERROR(INDEX('Tipos BdE'!$B$7:$M$336,MATCH(DATE(YEAR(K277),MONTH(K277),1),'Tipos BdE'!$A$7:$A$336,1),MATCH($D$9,'Tipos BdE'!$B$6:$M$6,0)),0))</f>
        <v/>
      </c>
      <c r="M277" s="13">
        <f>IF(H277="","",IF($D$18="LEGAL",0,$D$10))</f>
        <v/>
      </c>
      <c r="N277" s="13">
        <f>IF(H277="","",IF(AND($D$14="Sí",(L277+M277)&lt;0),0,L277+M277))</f>
        <v/>
      </c>
      <c r="O277" s="199">
        <f>IF(H277="","",$D$5*N277*J277/36500)</f>
        <v/>
      </c>
      <c r="P277" s="199">
        <f>IF(H277="","",$D$5+SUM($O$5:O277))</f>
        <v/>
      </c>
    </row>
    <row r="278">
      <c r="G278" s="11">
        <f>IF(H278="","",ROW()-4)</f>
        <v/>
      </c>
      <c r="H278" s="12">
        <f>IF(OR(I277="",I277&gt;=$D$7),"",I277)</f>
        <v/>
      </c>
      <c r="I278" s="12">
        <f>IF(H278="","",MIN(IF($D$18="LEGAL",DATE(YEAR(H278)+1,1,1),EDATE($D$12,$D$11*(INT((((YEAR(H278)-YEAR($D$12))*12+(MONTH(H278)-MONTH($D$12))-IF(DAY(H278)&lt;DAY($D$12),1,0))/$D$11))+1))),$D$7))</f>
        <v/>
      </c>
      <c r="J278" s="11">
        <f>IF(H278="","",I278-H278)</f>
        <v/>
      </c>
      <c r="K278" s="12">
        <f>IF(H278="","",IF($D$18="LEGAL",H278,EDATE(H278,-$D$13)))</f>
        <v/>
      </c>
      <c r="L278" s="13">
        <f>IF(H278="","",IFERROR(INDEX('Tipos BdE'!$B$7:$M$336,MATCH(DATE(YEAR(K278),MONTH(K278),1),'Tipos BdE'!$A$7:$A$336,1),MATCH($D$9,'Tipos BdE'!$B$6:$M$6,0)),0))</f>
        <v/>
      </c>
      <c r="M278" s="13">
        <f>IF(H278="","",IF($D$18="LEGAL",0,$D$10))</f>
        <v/>
      </c>
      <c r="N278" s="13">
        <f>IF(H278="","",IF(AND($D$14="Sí",(L278+M278)&lt;0),0,L278+M278))</f>
        <v/>
      </c>
      <c r="O278" s="199">
        <f>IF(H278="","",$D$5*N278*J278/36500)</f>
        <v/>
      </c>
      <c r="P278" s="199">
        <f>IF(H278="","",$D$5+SUM($O$5:O278))</f>
        <v/>
      </c>
    </row>
    <row r="279">
      <c r="G279" s="11">
        <f>IF(H279="","",ROW()-4)</f>
        <v/>
      </c>
      <c r="H279" s="12">
        <f>IF(OR(I278="",I278&gt;=$D$7),"",I278)</f>
        <v/>
      </c>
      <c r="I279" s="12">
        <f>IF(H279="","",MIN(IF($D$18="LEGAL",DATE(YEAR(H279)+1,1,1),EDATE($D$12,$D$11*(INT((((YEAR(H279)-YEAR($D$12))*12+(MONTH(H279)-MONTH($D$12))-IF(DAY(H279)&lt;DAY($D$12),1,0))/$D$11))+1))),$D$7))</f>
        <v/>
      </c>
      <c r="J279" s="11">
        <f>IF(H279="","",I279-H279)</f>
        <v/>
      </c>
      <c r="K279" s="12">
        <f>IF(H279="","",IF($D$18="LEGAL",H279,EDATE(H279,-$D$13)))</f>
        <v/>
      </c>
      <c r="L279" s="13">
        <f>IF(H279="","",IFERROR(INDEX('Tipos BdE'!$B$7:$M$336,MATCH(DATE(YEAR(K279),MONTH(K279),1),'Tipos BdE'!$A$7:$A$336,1),MATCH($D$9,'Tipos BdE'!$B$6:$M$6,0)),0))</f>
        <v/>
      </c>
      <c r="M279" s="13">
        <f>IF(H279="","",IF($D$18="LEGAL",0,$D$10))</f>
        <v/>
      </c>
      <c r="N279" s="13">
        <f>IF(H279="","",IF(AND($D$14="Sí",(L279+M279)&lt;0),0,L279+M279))</f>
        <v/>
      </c>
      <c r="O279" s="199">
        <f>IF(H279="","",$D$5*N279*J279/36500)</f>
        <v/>
      </c>
      <c r="P279" s="199">
        <f>IF(H279="","",$D$5+SUM($O$5:O279))</f>
        <v/>
      </c>
    </row>
    <row r="280">
      <c r="G280" s="11">
        <f>IF(H280="","",ROW()-4)</f>
        <v/>
      </c>
      <c r="H280" s="12">
        <f>IF(OR(I279="",I279&gt;=$D$7),"",I279)</f>
        <v/>
      </c>
      <c r="I280" s="12">
        <f>IF(H280="","",MIN(IF($D$18="LEGAL",DATE(YEAR(H280)+1,1,1),EDATE($D$12,$D$11*(INT((((YEAR(H280)-YEAR($D$12))*12+(MONTH(H280)-MONTH($D$12))-IF(DAY(H280)&lt;DAY($D$12),1,0))/$D$11))+1))),$D$7))</f>
        <v/>
      </c>
      <c r="J280" s="11">
        <f>IF(H280="","",I280-H280)</f>
        <v/>
      </c>
      <c r="K280" s="12">
        <f>IF(H280="","",IF($D$18="LEGAL",H280,EDATE(H280,-$D$13)))</f>
        <v/>
      </c>
      <c r="L280" s="13">
        <f>IF(H280="","",IFERROR(INDEX('Tipos BdE'!$B$7:$M$336,MATCH(DATE(YEAR(K280),MONTH(K280),1),'Tipos BdE'!$A$7:$A$336,1),MATCH($D$9,'Tipos BdE'!$B$6:$M$6,0)),0))</f>
        <v/>
      </c>
      <c r="M280" s="13">
        <f>IF(H280="","",IF($D$18="LEGAL",0,$D$10))</f>
        <v/>
      </c>
      <c r="N280" s="13">
        <f>IF(H280="","",IF(AND($D$14="Sí",(L280+M280)&lt;0),0,L280+M280))</f>
        <v/>
      </c>
      <c r="O280" s="199">
        <f>IF(H280="","",$D$5*N280*J280/36500)</f>
        <v/>
      </c>
      <c r="P280" s="199">
        <f>IF(H280="","",$D$5+SUM($O$5:O280))</f>
        <v/>
      </c>
    </row>
    <row r="281">
      <c r="G281" s="11">
        <f>IF(H281="","",ROW()-4)</f>
        <v/>
      </c>
      <c r="H281" s="12">
        <f>IF(OR(I280="",I280&gt;=$D$7),"",I280)</f>
        <v/>
      </c>
      <c r="I281" s="12">
        <f>IF(H281="","",MIN(IF($D$18="LEGAL",DATE(YEAR(H281)+1,1,1),EDATE($D$12,$D$11*(INT((((YEAR(H281)-YEAR($D$12))*12+(MONTH(H281)-MONTH($D$12))-IF(DAY(H281)&lt;DAY($D$12),1,0))/$D$11))+1))),$D$7))</f>
        <v/>
      </c>
      <c r="J281" s="11">
        <f>IF(H281="","",I281-H281)</f>
        <v/>
      </c>
      <c r="K281" s="12">
        <f>IF(H281="","",IF($D$18="LEGAL",H281,EDATE(H281,-$D$13)))</f>
        <v/>
      </c>
      <c r="L281" s="13">
        <f>IF(H281="","",IFERROR(INDEX('Tipos BdE'!$B$7:$M$336,MATCH(DATE(YEAR(K281),MONTH(K281),1),'Tipos BdE'!$A$7:$A$336,1),MATCH($D$9,'Tipos BdE'!$B$6:$M$6,0)),0))</f>
        <v/>
      </c>
      <c r="M281" s="13">
        <f>IF(H281="","",IF($D$18="LEGAL",0,$D$10))</f>
        <v/>
      </c>
      <c r="N281" s="13">
        <f>IF(H281="","",IF(AND($D$14="Sí",(L281+M281)&lt;0),0,L281+M281))</f>
        <v/>
      </c>
      <c r="O281" s="199">
        <f>IF(H281="","",$D$5*N281*J281/36500)</f>
        <v/>
      </c>
      <c r="P281" s="199">
        <f>IF(H281="","",$D$5+SUM($O$5:O281))</f>
        <v/>
      </c>
    </row>
    <row r="282">
      <c r="G282" s="11">
        <f>IF(H282="","",ROW()-4)</f>
        <v/>
      </c>
      <c r="H282" s="12">
        <f>IF(OR(I281="",I281&gt;=$D$7),"",I281)</f>
        <v/>
      </c>
      <c r="I282" s="12">
        <f>IF(H282="","",MIN(IF($D$18="LEGAL",DATE(YEAR(H282)+1,1,1),EDATE($D$12,$D$11*(INT((((YEAR(H282)-YEAR($D$12))*12+(MONTH(H282)-MONTH($D$12))-IF(DAY(H282)&lt;DAY($D$12),1,0))/$D$11))+1))),$D$7))</f>
        <v/>
      </c>
      <c r="J282" s="11">
        <f>IF(H282="","",I282-H282)</f>
        <v/>
      </c>
      <c r="K282" s="12">
        <f>IF(H282="","",IF($D$18="LEGAL",H282,EDATE(H282,-$D$13)))</f>
        <v/>
      </c>
      <c r="L282" s="13">
        <f>IF(H282="","",IFERROR(INDEX('Tipos BdE'!$B$7:$M$336,MATCH(DATE(YEAR(K282),MONTH(K282),1),'Tipos BdE'!$A$7:$A$336,1),MATCH($D$9,'Tipos BdE'!$B$6:$M$6,0)),0))</f>
        <v/>
      </c>
      <c r="M282" s="13">
        <f>IF(H282="","",IF($D$18="LEGAL",0,$D$10))</f>
        <v/>
      </c>
      <c r="N282" s="13">
        <f>IF(H282="","",IF(AND($D$14="Sí",(L282+M282)&lt;0),0,L282+M282))</f>
        <v/>
      </c>
      <c r="O282" s="199">
        <f>IF(H282="","",$D$5*N282*J282/36500)</f>
        <v/>
      </c>
      <c r="P282" s="199">
        <f>IF(H282="","",$D$5+SUM($O$5:O282))</f>
        <v/>
      </c>
    </row>
    <row r="283">
      <c r="G283" s="11">
        <f>IF(H283="","",ROW()-4)</f>
        <v/>
      </c>
      <c r="H283" s="12">
        <f>IF(OR(I282="",I282&gt;=$D$7),"",I282)</f>
        <v/>
      </c>
      <c r="I283" s="12">
        <f>IF(H283="","",MIN(IF($D$18="LEGAL",DATE(YEAR(H283)+1,1,1),EDATE($D$12,$D$11*(INT((((YEAR(H283)-YEAR($D$12))*12+(MONTH(H283)-MONTH($D$12))-IF(DAY(H283)&lt;DAY($D$12),1,0))/$D$11))+1))),$D$7))</f>
        <v/>
      </c>
      <c r="J283" s="11">
        <f>IF(H283="","",I283-H283)</f>
        <v/>
      </c>
      <c r="K283" s="12">
        <f>IF(H283="","",IF($D$18="LEGAL",H283,EDATE(H283,-$D$13)))</f>
        <v/>
      </c>
      <c r="L283" s="13">
        <f>IF(H283="","",IFERROR(INDEX('Tipos BdE'!$B$7:$M$336,MATCH(DATE(YEAR(K283),MONTH(K283),1),'Tipos BdE'!$A$7:$A$336,1),MATCH($D$9,'Tipos BdE'!$B$6:$M$6,0)),0))</f>
        <v/>
      </c>
      <c r="M283" s="13">
        <f>IF(H283="","",IF($D$18="LEGAL",0,$D$10))</f>
        <v/>
      </c>
      <c r="N283" s="13">
        <f>IF(H283="","",IF(AND($D$14="Sí",(L283+M283)&lt;0),0,L283+M283))</f>
        <v/>
      </c>
      <c r="O283" s="199">
        <f>IF(H283="","",$D$5*N283*J283/36500)</f>
        <v/>
      </c>
      <c r="P283" s="199">
        <f>IF(H283="","",$D$5+SUM($O$5:O283))</f>
        <v/>
      </c>
    </row>
    <row r="284">
      <c r="G284" s="11">
        <f>IF(H284="","",ROW()-4)</f>
        <v/>
      </c>
      <c r="H284" s="12">
        <f>IF(OR(I283="",I283&gt;=$D$7),"",I283)</f>
        <v/>
      </c>
      <c r="I284" s="12">
        <f>IF(H284="","",MIN(IF($D$18="LEGAL",DATE(YEAR(H284)+1,1,1),EDATE($D$12,$D$11*(INT((((YEAR(H284)-YEAR($D$12))*12+(MONTH(H284)-MONTH($D$12))-IF(DAY(H284)&lt;DAY($D$12),1,0))/$D$11))+1))),$D$7))</f>
        <v/>
      </c>
      <c r="J284" s="11">
        <f>IF(H284="","",I284-H284)</f>
        <v/>
      </c>
      <c r="K284" s="12">
        <f>IF(H284="","",IF($D$18="LEGAL",H284,EDATE(H284,-$D$13)))</f>
        <v/>
      </c>
      <c r="L284" s="13">
        <f>IF(H284="","",IFERROR(INDEX('Tipos BdE'!$B$7:$M$336,MATCH(DATE(YEAR(K284),MONTH(K284),1),'Tipos BdE'!$A$7:$A$336,1),MATCH($D$9,'Tipos BdE'!$B$6:$M$6,0)),0))</f>
        <v/>
      </c>
      <c r="M284" s="13">
        <f>IF(H284="","",IF($D$18="LEGAL",0,$D$10))</f>
        <v/>
      </c>
      <c r="N284" s="13">
        <f>IF(H284="","",IF(AND($D$14="Sí",(L284+M284)&lt;0),0,L284+M284))</f>
        <v/>
      </c>
      <c r="O284" s="199">
        <f>IF(H284="","",$D$5*N284*J284/36500)</f>
        <v/>
      </c>
      <c r="P284" s="199">
        <f>IF(H284="","",$D$5+SUM($O$5:O284))</f>
        <v/>
      </c>
    </row>
    <row r="285">
      <c r="G285" s="11">
        <f>IF(H285="","",ROW()-4)</f>
        <v/>
      </c>
      <c r="H285" s="12">
        <f>IF(OR(I284="",I284&gt;=$D$7),"",I284)</f>
        <v/>
      </c>
      <c r="I285" s="12">
        <f>IF(H285="","",MIN(IF($D$18="LEGAL",DATE(YEAR(H285)+1,1,1),EDATE($D$12,$D$11*(INT((((YEAR(H285)-YEAR($D$12))*12+(MONTH(H285)-MONTH($D$12))-IF(DAY(H285)&lt;DAY($D$12),1,0))/$D$11))+1))),$D$7))</f>
        <v/>
      </c>
      <c r="J285" s="11">
        <f>IF(H285="","",I285-H285)</f>
        <v/>
      </c>
      <c r="K285" s="12">
        <f>IF(H285="","",IF($D$18="LEGAL",H285,EDATE(H285,-$D$13)))</f>
        <v/>
      </c>
      <c r="L285" s="13">
        <f>IF(H285="","",IFERROR(INDEX('Tipos BdE'!$B$7:$M$336,MATCH(DATE(YEAR(K285),MONTH(K285),1),'Tipos BdE'!$A$7:$A$336,1),MATCH($D$9,'Tipos BdE'!$B$6:$M$6,0)),0))</f>
        <v/>
      </c>
      <c r="M285" s="13">
        <f>IF(H285="","",IF($D$18="LEGAL",0,$D$10))</f>
        <v/>
      </c>
      <c r="N285" s="13">
        <f>IF(H285="","",IF(AND($D$14="Sí",(L285+M285)&lt;0),0,L285+M285))</f>
        <v/>
      </c>
      <c r="O285" s="199">
        <f>IF(H285="","",$D$5*N285*J285/36500)</f>
        <v/>
      </c>
      <c r="P285" s="199">
        <f>IF(H285="","",$D$5+SUM($O$5:O285))</f>
        <v/>
      </c>
    </row>
    <row r="286">
      <c r="G286" s="11">
        <f>IF(H286="","",ROW()-4)</f>
        <v/>
      </c>
      <c r="H286" s="12">
        <f>IF(OR(I285="",I285&gt;=$D$7),"",I285)</f>
        <v/>
      </c>
      <c r="I286" s="12">
        <f>IF(H286="","",MIN(IF($D$18="LEGAL",DATE(YEAR(H286)+1,1,1),EDATE($D$12,$D$11*(INT((((YEAR(H286)-YEAR($D$12))*12+(MONTH(H286)-MONTH($D$12))-IF(DAY(H286)&lt;DAY($D$12),1,0))/$D$11))+1))),$D$7))</f>
        <v/>
      </c>
      <c r="J286" s="11">
        <f>IF(H286="","",I286-H286)</f>
        <v/>
      </c>
      <c r="K286" s="12">
        <f>IF(H286="","",IF($D$18="LEGAL",H286,EDATE(H286,-$D$13)))</f>
        <v/>
      </c>
      <c r="L286" s="13">
        <f>IF(H286="","",IFERROR(INDEX('Tipos BdE'!$B$7:$M$336,MATCH(DATE(YEAR(K286),MONTH(K286),1),'Tipos BdE'!$A$7:$A$336,1),MATCH($D$9,'Tipos BdE'!$B$6:$M$6,0)),0))</f>
        <v/>
      </c>
      <c r="M286" s="13">
        <f>IF(H286="","",IF($D$18="LEGAL",0,$D$10))</f>
        <v/>
      </c>
      <c r="N286" s="13">
        <f>IF(H286="","",IF(AND($D$14="Sí",(L286+M286)&lt;0),0,L286+M286))</f>
        <v/>
      </c>
      <c r="O286" s="199">
        <f>IF(H286="","",$D$5*N286*J286/36500)</f>
        <v/>
      </c>
      <c r="P286" s="199">
        <f>IF(H286="","",$D$5+SUM($O$5:O286))</f>
        <v/>
      </c>
    </row>
    <row r="287">
      <c r="G287" s="11">
        <f>IF(H287="","",ROW()-4)</f>
        <v/>
      </c>
      <c r="H287" s="12">
        <f>IF(OR(I286="",I286&gt;=$D$7),"",I286)</f>
        <v/>
      </c>
      <c r="I287" s="12">
        <f>IF(H287="","",MIN(IF($D$18="LEGAL",DATE(YEAR(H287)+1,1,1),EDATE($D$12,$D$11*(INT((((YEAR(H287)-YEAR($D$12))*12+(MONTH(H287)-MONTH($D$12))-IF(DAY(H287)&lt;DAY($D$12),1,0))/$D$11))+1))),$D$7))</f>
        <v/>
      </c>
      <c r="J287" s="11">
        <f>IF(H287="","",I287-H287)</f>
        <v/>
      </c>
      <c r="K287" s="12">
        <f>IF(H287="","",IF($D$18="LEGAL",H287,EDATE(H287,-$D$13)))</f>
        <v/>
      </c>
      <c r="L287" s="13">
        <f>IF(H287="","",IFERROR(INDEX('Tipos BdE'!$B$7:$M$336,MATCH(DATE(YEAR(K287),MONTH(K287),1),'Tipos BdE'!$A$7:$A$336,1),MATCH($D$9,'Tipos BdE'!$B$6:$M$6,0)),0))</f>
        <v/>
      </c>
      <c r="M287" s="13">
        <f>IF(H287="","",IF($D$18="LEGAL",0,$D$10))</f>
        <v/>
      </c>
      <c r="N287" s="13">
        <f>IF(H287="","",IF(AND($D$14="Sí",(L287+M287)&lt;0),0,L287+M287))</f>
        <v/>
      </c>
      <c r="O287" s="199">
        <f>IF(H287="","",$D$5*N287*J287/36500)</f>
        <v/>
      </c>
      <c r="P287" s="199">
        <f>IF(H287="","",$D$5+SUM($O$5:O287))</f>
        <v/>
      </c>
    </row>
    <row r="288">
      <c r="G288" s="11">
        <f>IF(H288="","",ROW()-4)</f>
        <v/>
      </c>
      <c r="H288" s="12">
        <f>IF(OR(I287="",I287&gt;=$D$7),"",I287)</f>
        <v/>
      </c>
      <c r="I288" s="12">
        <f>IF(H288="","",MIN(IF($D$18="LEGAL",DATE(YEAR(H288)+1,1,1),EDATE($D$12,$D$11*(INT((((YEAR(H288)-YEAR($D$12))*12+(MONTH(H288)-MONTH($D$12))-IF(DAY(H288)&lt;DAY($D$12),1,0))/$D$11))+1))),$D$7))</f>
        <v/>
      </c>
      <c r="J288" s="11">
        <f>IF(H288="","",I288-H288)</f>
        <v/>
      </c>
      <c r="K288" s="12">
        <f>IF(H288="","",IF($D$18="LEGAL",H288,EDATE(H288,-$D$13)))</f>
        <v/>
      </c>
      <c r="L288" s="13">
        <f>IF(H288="","",IFERROR(INDEX('Tipos BdE'!$B$7:$M$336,MATCH(DATE(YEAR(K288),MONTH(K288),1),'Tipos BdE'!$A$7:$A$336,1),MATCH($D$9,'Tipos BdE'!$B$6:$M$6,0)),0))</f>
        <v/>
      </c>
      <c r="M288" s="13">
        <f>IF(H288="","",IF($D$18="LEGAL",0,$D$10))</f>
        <v/>
      </c>
      <c r="N288" s="13">
        <f>IF(H288="","",IF(AND($D$14="Sí",(L288+M288)&lt;0),0,L288+M288))</f>
        <v/>
      </c>
      <c r="O288" s="199">
        <f>IF(H288="","",$D$5*N288*J288/36500)</f>
        <v/>
      </c>
      <c r="P288" s="199">
        <f>IF(H288="","",$D$5+SUM($O$5:O288))</f>
        <v/>
      </c>
    </row>
    <row r="289">
      <c r="G289" s="11">
        <f>IF(H289="","",ROW()-4)</f>
        <v/>
      </c>
      <c r="H289" s="12">
        <f>IF(OR(I288="",I288&gt;=$D$7),"",I288)</f>
        <v/>
      </c>
      <c r="I289" s="12">
        <f>IF(H289="","",MIN(IF($D$18="LEGAL",DATE(YEAR(H289)+1,1,1),EDATE($D$12,$D$11*(INT((((YEAR(H289)-YEAR($D$12))*12+(MONTH(H289)-MONTH($D$12))-IF(DAY(H289)&lt;DAY($D$12),1,0))/$D$11))+1))),$D$7))</f>
        <v/>
      </c>
      <c r="J289" s="11">
        <f>IF(H289="","",I289-H289)</f>
        <v/>
      </c>
      <c r="K289" s="12">
        <f>IF(H289="","",IF($D$18="LEGAL",H289,EDATE(H289,-$D$13)))</f>
        <v/>
      </c>
      <c r="L289" s="13">
        <f>IF(H289="","",IFERROR(INDEX('Tipos BdE'!$B$7:$M$336,MATCH(DATE(YEAR(K289),MONTH(K289),1),'Tipos BdE'!$A$7:$A$336,1),MATCH($D$9,'Tipos BdE'!$B$6:$M$6,0)),0))</f>
        <v/>
      </c>
      <c r="M289" s="13">
        <f>IF(H289="","",IF($D$18="LEGAL",0,$D$10))</f>
        <v/>
      </c>
      <c r="N289" s="13">
        <f>IF(H289="","",IF(AND($D$14="Sí",(L289+M289)&lt;0),0,L289+M289))</f>
        <v/>
      </c>
      <c r="O289" s="199">
        <f>IF(H289="","",$D$5*N289*J289/36500)</f>
        <v/>
      </c>
      <c r="P289" s="199">
        <f>IF(H289="","",$D$5+SUM($O$5:O289))</f>
        <v/>
      </c>
    </row>
    <row r="290">
      <c r="G290" s="11">
        <f>IF(H290="","",ROW()-4)</f>
        <v/>
      </c>
      <c r="H290" s="12">
        <f>IF(OR(I289="",I289&gt;=$D$7),"",I289)</f>
        <v/>
      </c>
      <c r="I290" s="12">
        <f>IF(H290="","",MIN(IF($D$18="LEGAL",DATE(YEAR(H290)+1,1,1),EDATE($D$12,$D$11*(INT((((YEAR(H290)-YEAR($D$12))*12+(MONTH(H290)-MONTH($D$12))-IF(DAY(H290)&lt;DAY($D$12),1,0))/$D$11))+1))),$D$7))</f>
        <v/>
      </c>
      <c r="J290" s="11">
        <f>IF(H290="","",I290-H290)</f>
        <v/>
      </c>
      <c r="K290" s="12">
        <f>IF(H290="","",IF($D$18="LEGAL",H290,EDATE(H290,-$D$13)))</f>
        <v/>
      </c>
      <c r="L290" s="13">
        <f>IF(H290="","",IFERROR(INDEX('Tipos BdE'!$B$7:$M$336,MATCH(DATE(YEAR(K290),MONTH(K290),1),'Tipos BdE'!$A$7:$A$336,1),MATCH($D$9,'Tipos BdE'!$B$6:$M$6,0)),0))</f>
        <v/>
      </c>
      <c r="M290" s="13">
        <f>IF(H290="","",IF($D$18="LEGAL",0,$D$10))</f>
        <v/>
      </c>
      <c r="N290" s="13">
        <f>IF(H290="","",IF(AND($D$14="Sí",(L290+M290)&lt;0),0,L290+M290))</f>
        <v/>
      </c>
      <c r="O290" s="199">
        <f>IF(H290="","",$D$5*N290*J290/36500)</f>
        <v/>
      </c>
      <c r="P290" s="199">
        <f>IF(H290="","",$D$5+SUM($O$5:O290))</f>
        <v/>
      </c>
    </row>
    <row r="291">
      <c r="G291" s="11">
        <f>IF(H291="","",ROW()-4)</f>
        <v/>
      </c>
      <c r="H291" s="12">
        <f>IF(OR(I290="",I290&gt;=$D$7),"",I290)</f>
        <v/>
      </c>
      <c r="I291" s="12">
        <f>IF(H291="","",MIN(IF($D$18="LEGAL",DATE(YEAR(H291)+1,1,1),EDATE($D$12,$D$11*(INT((((YEAR(H291)-YEAR($D$12))*12+(MONTH(H291)-MONTH($D$12))-IF(DAY(H291)&lt;DAY($D$12),1,0))/$D$11))+1))),$D$7))</f>
        <v/>
      </c>
      <c r="J291" s="11">
        <f>IF(H291="","",I291-H291)</f>
        <v/>
      </c>
      <c r="K291" s="12">
        <f>IF(H291="","",IF($D$18="LEGAL",H291,EDATE(H291,-$D$13)))</f>
        <v/>
      </c>
      <c r="L291" s="13">
        <f>IF(H291="","",IFERROR(INDEX('Tipos BdE'!$B$7:$M$336,MATCH(DATE(YEAR(K291),MONTH(K291),1),'Tipos BdE'!$A$7:$A$336,1),MATCH($D$9,'Tipos BdE'!$B$6:$M$6,0)),0))</f>
        <v/>
      </c>
      <c r="M291" s="13">
        <f>IF(H291="","",IF($D$18="LEGAL",0,$D$10))</f>
        <v/>
      </c>
      <c r="N291" s="13">
        <f>IF(H291="","",IF(AND($D$14="Sí",(L291+M291)&lt;0),0,L291+M291))</f>
        <v/>
      </c>
      <c r="O291" s="199">
        <f>IF(H291="","",$D$5*N291*J291/36500)</f>
        <v/>
      </c>
      <c r="P291" s="199">
        <f>IF(H291="","",$D$5+SUM($O$5:O291))</f>
        <v/>
      </c>
    </row>
    <row r="292">
      <c r="G292" s="11">
        <f>IF(H292="","",ROW()-4)</f>
        <v/>
      </c>
      <c r="H292" s="12">
        <f>IF(OR(I291="",I291&gt;=$D$7),"",I291)</f>
        <v/>
      </c>
      <c r="I292" s="12">
        <f>IF(H292="","",MIN(IF($D$18="LEGAL",DATE(YEAR(H292)+1,1,1),EDATE($D$12,$D$11*(INT((((YEAR(H292)-YEAR($D$12))*12+(MONTH(H292)-MONTH($D$12))-IF(DAY(H292)&lt;DAY($D$12),1,0))/$D$11))+1))),$D$7))</f>
        <v/>
      </c>
      <c r="J292" s="11">
        <f>IF(H292="","",I292-H292)</f>
        <v/>
      </c>
      <c r="K292" s="12">
        <f>IF(H292="","",IF($D$18="LEGAL",H292,EDATE(H292,-$D$13)))</f>
        <v/>
      </c>
      <c r="L292" s="13">
        <f>IF(H292="","",IFERROR(INDEX('Tipos BdE'!$B$7:$M$336,MATCH(DATE(YEAR(K292),MONTH(K292),1),'Tipos BdE'!$A$7:$A$336,1),MATCH($D$9,'Tipos BdE'!$B$6:$M$6,0)),0))</f>
        <v/>
      </c>
      <c r="M292" s="13">
        <f>IF(H292="","",IF($D$18="LEGAL",0,$D$10))</f>
        <v/>
      </c>
      <c r="N292" s="13">
        <f>IF(H292="","",IF(AND($D$14="Sí",(L292+M292)&lt;0),0,L292+M292))</f>
        <v/>
      </c>
      <c r="O292" s="199">
        <f>IF(H292="","",$D$5*N292*J292/36500)</f>
        <v/>
      </c>
      <c r="P292" s="199">
        <f>IF(H292="","",$D$5+SUM($O$5:O292))</f>
        <v/>
      </c>
    </row>
    <row r="293">
      <c r="G293" s="11">
        <f>IF(H293="","",ROW()-4)</f>
        <v/>
      </c>
      <c r="H293" s="12">
        <f>IF(OR(I292="",I292&gt;=$D$7),"",I292)</f>
        <v/>
      </c>
      <c r="I293" s="12">
        <f>IF(H293="","",MIN(IF($D$18="LEGAL",DATE(YEAR(H293)+1,1,1),EDATE($D$12,$D$11*(INT((((YEAR(H293)-YEAR($D$12))*12+(MONTH(H293)-MONTH($D$12))-IF(DAY(H293)&lt;DAY($D$12),1,0))/$D$11))+1))),$D$7))</f>
        <v/>
      </c>
      <c r="J293" s="11">
        <f>IF(H293="","",I293-H293)</f>
        <v/>
      </c>
      <c r="K293" s="12">
        <f>IF(H293="","",IF($D$18="LEGAL",H293,EDATE(H293,-$D$13)))</f>
        <v/>
      </c>
      <c r="L293" s="13">
        <f>IF(H293="","",IFERROR(INDEX('Tipos BdE'!$B$7:$M$336,MATCH(DATE(YEAR(K293),MONTH(K293),1),'Tipos BdE'!$A$7:$A$336,1),MATCH($D$9,'Tipos BdE'!$B$6:$M$6,0)),0))</f>
        <v/>
      </c>
      <c r="M293" s="13">
        <f>IF(H293="","",IF($D$18="LEGAL",0,$D$10))</f>
        <v/>
      </c>
      <c r="N293" s="13">
        <f>IF(H293="","",IF(AND($D$14="Sí",(L293+M293)&lt;0),0,L293+M293))</f>
        <v/>
      </c>
      <c r="O293" s="199">
        <f>IF(H293="","",$D$5*N293*J293/36500)</f>
        <v/>
      </c>
      <c r="P293" s="199">
        <f>IF(H293="","",$D$5+SUM($O$5:O293))</f>
        <v/>
      </c>
    </row>
    <row r="294">
      <c r="G294" s="11">
        <f>IF(H294="","",ROW()-4)</f>
        <v/>
      </c>
      <c r="H294" s="12">
        <f>IF(OR(I293="",I293&gt;=$D$7),"",I293)</f>
        <v/>
      </c>
      <c r="I294" s="12">
        <f>IF(H294="","",MIN(IF($D$18="LEGAL",DATE(YEAR(H294)+1,1,1),EDATE($D$12,$D$11*(INT((((YEAR(H294)-YEAR($D$12))*12+(MONTH(H294)-MONTH($D$12))-IF(DAY(H294)&lt;DAY($D$12),1,0))/$D$11))+1))),$D$7))</f>
        <v/>
      </c>
      <c r="J294" s="11">
        <f>IF(H294="","",I294-H294)</f>
        <v/>
      </c>
      <c r="K294" s="12">
        <f>IF(H294="","",IF($D$18="LEGAL",H294,EDATE(H294,-$D$13)))</f>
        <v/>
      </c>
      <c r="L294" s="13">
        <f>IF(H294="","",IFERROR(INDEX('Tipos BdE'!$B$7:$M$336,MATCH(DATE(YEAR(K294),MONTH(K294),1),'Tipos BdE'!$A$7:$A$336,1),MATCH($D$9,'Tipos BdE'!$B$6:$M$6,0)),0))</f>
        <v/>
      </c>
      <c r="M294" s="13">
        <f>IF(H294="","",IF($D$18="LEGAL",0,$D$10))</f>
        <v/>
      </c>
      <c r="N294" s="13">
        <f>IF(H294="","",IF(AND($D$14="Sí",(L294+M294)&lt;0),0,L294+M294))</f>
        <v/>
      </c>
      <c r="O294" s="199">
        <f>IF(H294="","",$D$5*N294*J294/36500)</f>
        <v/>
      </c>
      <c r="P294" s="199">
        <f>IF(H294="","",$D$5+SUM($O$5:O294))</f>
        <v/>
      </c>
    </row>
    <row r="295">
      <c r="G295" s="11">
        <f>IF(H295="","",ROW()-4)</f>
        <v/>
      </c>
      <c r="H295" s="12">
        <f>IF(OR(I294="",I294&gt;=$D$7),"",I294)</f>
        <v/>
      </c>
      <c r="I295" s="12">
        <f>IF(H295="","",MIN(IF($D$18="LEGAL",DATE(YEAR(H295)+1,1,1),EDATE($D$12,$D$11*(INT((((YEAR(H295)-YEAR($D$12))*12+(MONTH(H295)-MONTH($D$12))-IF(DAY(H295)&lt;DAY($D$12),1,0))/$D$11))+1))),$D$7))</f>
        <v/>
      </c>
      <c r="J295" s="11">
        <f>IF(H295="","",I295-H295)</f>
        <v/>
      </c>
      <c r="K295" s="12">
        <f>IF(H295="","",IF($D$18="LEGAL",H295,EDATE(H295,-$D$13)))</f>
        <v/>
      </c>
      <c r="L295" s="13">
        <f>IF(H295="","",IFERROR(INDEX('Tipos BdE'!$B$7:$M$336,MATCH(DATE(YEAR(K295),MONTH(K295),1),'Tipos BdE'!$A$7:$A$336,1),MATCH($D$9,'Tipos BdE'!$B$6:$M$6,0)),0))</f>
        <v/>
      </c>
      <c r="M295" s="13">
        <f>IF(H295="","",IF($D$18="LEGAL",0,$D$10))</f>
        <v/>
      </c>
      <c r="N295" s="13">
        <f>IF(H295="","",IF(AND($D$14="Sí",(L295+M295)&lt;0),0,L295+M295))</f>
        <v/>
      </c>
      <c r="O295" s="199">
        <f>IF(H295="","",$D$5*N295*J295/36500)</f>
        <v/>
      </c>
      <c r="P295" s="199">
        <f>IF(H295="","",$D$5+SUM($O$5:O295))</f>
        <v/>
      </c>
    </row>
    <row r="296">
      <c r="G296" s="11">
        <f>IF(H296="","",ROW()-4)</f>
        <v/>
      </c>
      <c r="H296" s="12">
        <f>IF(OR(I295="",I295&gt;=$D$7),"",I295)</f>
        <v/>
      </c>
      <c r="I296" s="12">
        <f>IF(H296="","",MIN(IF($D$18="LEGAL",DATE(YEAR(H296)+1,1,1),EDATE($D$12,$D$11*(INT((((YEAR(H296)-YEAR($D$12))*12+(MONTH(H296)-MONTH($D$12))-IF(DAY(H296)&lt;DAY($D$12),1,0))/$D$11))+1))),$D$7))</f>
        <v/>
      </c>
      <c r="J296" s="11">
        <f>IF(H296="","",I296-H296)</f>
        <v/>
      </c>
      <c r="K296" s="12">
        <f>IF(H296="","",IF($D$18="LEGAL",H296,EDATE(H296,-$D$13)))</f>
        <v/>
      </c>
      <c r="L296" s="13">
        <f>IF(H296="","",IFERROR(INDEX('Tipos BdE'!$B$7:$M$336,MATCH(DATE(YEAR(K296),MONTH(K296),1),'Tipos BdE'!$A$7:$A$336,1),MATCH($D$9,'Tipos BdE'!$B$6:$M$6,0)),0))</f>
        <v/>
      </c>
      <c r="M296" s="13">
        <f>IF(H296="","",IF($D$18="LEGAL",0,$D$10))</f>
        <v/>
      </c>
      <c r="N296" s="13">
        <f>IF(H296="","",IF(AND($D$14="Sí",(L296+M296)&lt;0),0,L296+M296))</f>
        <v/>
      </c>
      <c r="O296" s="199">
        <f>IF(H296="","",$D$5*N296*J296/36500)</f>
        <v/>
      </c>
      <c r="P296" s="199">
        <f>IF(H296="","",$D$5+SUM($O$5:O296))</f>
        <v/>
      </c>
    </row>
    <row r="297">
      <c r="G297" s="11">
        <f>IF(H297="","",ROW()-4)</f>
        <v/>
      </c>
      <c r="H297" s="12">
        <f>IF(OR(I296="",I296&gt;=$D$7),"",I296)</f>
        <v/>
      </c>
      <c r="I297" s="12">
        <f>IF(H297="","",MIN(IF($D$18="LEGAL",DATE(YEAR(H297)+1,1,1),EDATE($D$12,$D$11*(INT((((YEAR(H297)-YEAR($D$12))*12+(MONTH(H297)-MONTH($D$12))-IF(DAY(H297)&lt;DAY($D$12),1,0))/$D$11))+1))),$D$7))</f>
        <v/>
      </c>
      <c r="J297" s="11">
        <f>IF(H297="","",I297-H297)</f>
        <v/>
      </c>
      <c r="K297" s="12">
        <f>IF(H297="","",IF($D$18="LEGAL",H297,EDATE(H297,-$D$13)))</f>
        <v/>
      </c>
      <c r="L297" s="13">
        <f>IF(H297="","",IFERROR(INDEX('Tipos BdE'!$B$7:$M$336,MATCH(DATE(YEAR(K297),MONTH(K297),1),'Tipos BdE'!$A$7:$A$336,1),MATCH($D$9,'Tipos BdE'!$B$6:$M$6,0)),0))</f>
        <v/>
      </c>
      <c r="M297" s="13">
        <f>IF(H297="","",IF($D$18="LEGAL",0,$D$10))</f>
        <v/>
      </c>
      <c r="N297" s="13">
        <f>IF(H297="","",IF(AND($D$14="Sí",(L297+M297)&lt;0),0,L297+M297))</f>
        <v/>
      </c>
      <c r="O297" s="199">
        <f>IF(H297="","",$D$5*N297*J297/36500)</f>
        <v/>
      </c>
      <c r="P297" s="199">
        <f>IF(H297="","",$D$5+SUM($O$5:O297))</f>
        <v/>
      </c>
    </row>
    <row r="298">
      <c r="G298" s="11">
        <f>IF(H298="","",ROW()-4)</f>
        <v/>
      </c>
      <c r="H298" s="12">
        <f>IF(OR(I297="",I297&gt;=$D$7),"",I297)</f>
        <v/>
      </c>
      <c r="I298" s="12">
        <f>IF(H298="","",MIN(IF($D$18="LEGAL",DATE(YEAR(H298)+1,1,1),EDATE($D$12,$D$11*(INT((((YEAR(H298)-YEAR($D$12))*12+(MONTH(H298)-MONTH($D$12))-IF(DAY(H298)&lt;DAY($D$12),1,0))/$D$11))+1))),$D$7))</f>
        <v/>
      </c>
      <c r="J298" s="11">
        <f>IF(H298="","",I298-H298)</f>
        <v/>
      </c>
      <c r="K298" s="12">
        <f>IF(H298="","",IF($D$18="LEGAL",H298,EDATE(H298,-$D$13)))</f>
        <v/>
      </c>
      <c r="L298" s="13">
        <f>IF(H298="","",IFERROR(INDEX('Tipos BdE'!$B$7:$M$336,MATCH(DATE(YEAR(K298),MONTH(K298),1),'Tipos BdE'!$A$7:$A$336,1),MATCH($D$9,'Tipos BdE'!$B$6:$M$6,0)),0))</f>
        <v/>
      </c>
      <c r="M298" s="13">
        <f>IF(H298="","",IF($D$18="LEGAL",0,$D$10))</f>
        <v/>
      </c>
      <c r="N298" s="13">
        <f>IF(H298="","",IF(AND($D$14="Sí",(L298+M298)&lt;0),0,L298+M298))</f>
        <v/>
      </c>
      <c r="O298" s="199">
        <f>IF(H298="","",$D$5*N298*J298/36500)</f>
        <v/>
      </c>
      <c r="P298" s="199">
        <f>IF(H298="","",$D$5+SUM($O$5:O298))</f>
        <v/>
      </c>
    </row>
    <row r="299">
      <c r="G299" s="11">
        <f>IF(H299="","",ROW()-4)</f>
        <v/>
      </c>
      <c r="H299" s="12">
        <f>IF(OR(I298="",I298&gt;=$D$7),"",I298)</f>
        <v/>
      </c>
      <c r="I299" s="12">
        <f>IF(H299="","",MIN(IF($D$18="LEGAL",DATE(YEAR(H299)+1,1,1),EDATE($D$12,$D$11*(INT((((YEAR(H299)-YEAR($D$12))*12+(MONTH(H299)-MONTH($D$12))-IF(DAY(H299)&lt;DAY($D$12),1,0))/$D$11))+1))),$D$7))</f>
        <v/>
      </c>
      <c r="J299" s="11">
        <f>IF(H299="","",I299-H299)</f>
        <v/>
      </c>
      <c r="K299" s="12">
        <f>IF(H299="","",IF($D$18="LEGAL",H299,EDATE(H299,-$D$13)))</f>
        <v/>
      </c>
      <c r="L299" s="13">
        <f>IF(H299="","",IFERROR(INDEX('Tipos BdE'!$B$7:$M$336,MATCH(DATE(YEAR(K299),MONTH(K299),1),'Tipos BdE'!$A$7:$A$336,1),MATCH($D$9,'Tipos BdE'!$B$6:$M$6,0)),0))</f>
        <v/>
      </c>
      <c r="M299" s="13">
        <f>IF(H299="","",IF($D$18="LEGAL",0,$D$10))</f>
        <v/>
      </c>
      <c r="N299" s="13">
        <f>IF(H299="","",IF(AND($D$14="Sí",(L299+M299)&lt;0),0,L299+M299))</f>
        <v/>
      </c>
      <c r="O299" s="199">
        <f>IF(H299="","",$D$5*N299*J299/36500)</f>
        <v/>
      </c>
      <c r="P299" s="199">
        <f>IF(H299="","",$D$5+SUM($O$5:O299))</f>
        <v/>
      </c>
    </row>
    <row r="300">
      <c r="G300" s="11">
        <f>IF(H300="","",ROW()-4)</f>
        <v/>
      </c>
      <c r="H300" s="12">
        <f>IF(OR(I299="",I299&gt;=$D$7),"",I299)</f>
        <v/>
      </c>
      <c r="I300" s="12">
        <f>IF(H300="","",MIN(IF($D$18="LEGAL",DATE(YEAR(H300)+1,1,1),EDATE($D$12,$D$11*(INT((((YEAR(H300)-YEAR($D$12))*12+(MONTH(H300)-MONTH($D$12))-IF(DAY(H300)&lt;DAY($D$12),1,0))/$D$11))+1))),$D$7))</f>
        <v/>
      </c>
      <c r="J300" s="11">
        <f>IF(H300="","",I300-H300)</f>
        <v/>
      </c>
      <c r="K300" s="12">
        <f>IF(H300="","",IF($D$18="LEGAL",H300,EDATE(H300,-$D$13)))</f>
        <v/>
      </c>
      <c r="L300" s="13">
        <f>IF(H300="","",IFERROR(INDEX('Tipos BdE'!$B$7:$M$336,MATCH(DATE(YEAR(K300),MONTH(K300),1),'Tipos BdE'!$A$7:$A$336,1),MATCH($D$9,'Tipos BdE'!$B$6:$M$6,0)),0))</f>
        <v/>
      </c>
      <c r="M300" s="13">
        <f>IF(H300="","",IF($D$18="LEGAL",0,$D$10))</f>
        <v/>
      </c>
      <c r="N300" s="13">
        <f>IF(H300="","",IF(AND($D$14="Sí",(L300+M300)&lt;0),0,L300+M300))</f>
        <v/>
      </c>
      <c r="O300" s="199">
        <f>IF(H300="","",$D$5*N300*J300/36500)</f>
        <v/>
      </c>
      <c r="P300" s="199">
        <f>IF(H300="","",$D$5+SUM($O$5:O300))</f>
        <v/>
      </c>
    </row>
    <row r="301">
      <c r="G301" s="11">
        <f>IF(H301="","",ROW()-4)</f>
        <v/>
      </c>
      <c r="H301" s="12">
        <f>IF(OR(I300="",I300&gt;=$D$7),"",I300)</f>
        <v/>
      </c>
      <c r="I301" s="12">
        <f>IF(H301="","",MIN(IF($D$18="LEGAL",DATE(YEAR(H301)+1,1,1),EDATE($D$12,$D$11*(INT((((YEAR(H301)-YEAR($D$12))*12+(MONTH(H301)-MONTH($D$12))-IF(DAY(H301)&lt;DAY($D$12),1,0))/$D$11))+1))),$D$7))</f>
        <v/>
      </c>
      <c r="J301" s="11">
        <f>IF(H301="","",I301-H301)</f>
        <v/>
      </c>
      <c r="K301" s="12">
        <f>IF(H301="","",IF($D$18="LEGAL",H301,EDATE(H301,-$D$13)))</f>
        <v/>
      </c>
      <c r="L301" s="13">
        <f>IF(H301="","",IFERROR(INDEX('Tipos BdE'!$B$7:$M$336,MATCH(DATE(YEAR(K301),MONTH(K301),1),'Tipos BdE'!$A$7:$A$336,1),MATCH($D$9,'Tipos BdE'!$B$6:$M$6,0)),0))</f>
        <v/>
      </c>
      <c r="M301" s="13">
        <f>IF(H301="","",IF($D$18="LEGAL",0,$D$10))</f>
        <v/>
      </c>
      <c r="N301" s="13">
        <f>IF(H301="","",IF(AND($D$14="Sí",(L301+M301)&lt;0),0,L301+M301))</f>
        <v/>
      </c>
      <c r="O301" s="199">
        <f>IF(H301="","",$D$5*N301*J301/36500)</f>
        <v/>
      </c>
      <c r="P301" s="199">
        <f>IF(H301="","",$D$5+SUM($O$5:O301))</f>
        <v/>
      </c>
    </row>
    <row r="302">
      <c r="G302" s="11">
        <f>IF(H302="","",ROW()-4)</f>
        <v/>
      </c>
      <c r="H302" s="12">
        <f>IF(OR(I301="",I301&gt;=$D$7),"",I301)</f>
        <v/>
      </c>
      <c r="I302" s="12">
        <f>IF(H302="","",MIN(IF($D$18="LEGAL",DATE(YEAR(H302)+1,1,1),EDATE($D$12,$D$11*(INT((((YEAR(H302)-YEAR($D$12))*12+(MONTH(H302)-MONTH($D$12))-IF(DAY(H302)&lt;DAY($D$12),1,0))/$D$11))+1))),$D$7))</f>
        <v/>
      </c>
      <c r="J302" s="11">
        <f>IF(H302="","",I302-H302)</f>
        <v/>
      </c>
      <c r="K302" s="12">
        <f>IF(H302="","",IF($D$18="LEGAL",H302,EDATE(H302,-$D$13)))</f>
        <v/>
      </c>
      <c r="L302" s="13">
        <f>IF(H302="","",IFERROR(INDEX('Tipos BdE'!$B$7:$M$336,MATCH(DATE(YEAR(K302),MONTH(K302),1),'Tipos BdE'!$A$7:$A$336,1),MATCH($D$9,'Tipos BdE'!$B$6:$M$6,0)),0))</f>
        <v/>
      </c>
      <c r="M302" s="13">
        <f>IF(H302="","",IF($D$18="LEGAL",0,$D$10))</f>
        <v/>
      </c>
      <c r="N302" s="13">
        <f>IF(H302="","",IF(AND($D$14="Sí",(L302+M302)&lt;0),0,L302+M302))</f>
        <v/>
      </c>
      <c r="O302" s="199">
        <f>IF(H302="","",$D$5*N302*J302/36500)</f>
        <v/>
      </c>
      <c r="P302" s="199">
        <f>IF(H302="","",$D$5+SUM($O$5:O302))</f>
        <v/>
      </c>
    </row>
    <row r="303">
      <c r="G303" s="11">
        <f>IF(H303="","",ROW()-4)</f>
        <v/>
      </c>
      <c r="H303" s="12">
        <f>IF(OR(I302="",I302&gt;=$D$7),"",I302)</f>
        <v/>
      </c>
      <c r="I303" s="12">
        <f>IF(H303="","",MIN(IF($D$18="LEGAL",DATE(YEAR(H303)+1,1,1),EDATE($D$12,$D$11*(INT((((YEAR(H303)-YEAR($D$12))*12+(MONTH(H303)-MONTH($D$12))-IF(DAY(H303)&lt;DAY($D$12),1,0))/$D$11))+1))),$D$7))</f>
        <v/>
      </c>
      <c r="J303" s="11">
        <f>IF(H303="","",I303-H303)</f>
        <v/>
      </c>
      <c r="K303" s="12">
        <f>IF(H303="","",IF($D$18="LEGAL",H303,EDATE(H303,-$D$13)))</f>
        <v/>
      </c>
      <c r="L303" s="13">
        <f>IF(H303="","",IFERROR(INDEX('Tipos BdE'!$B$7:$M$336,MATCH(DATE(YEAR(K303),MONTH(K303),1),'Tipos BdE'!$A$7:$A$336,1),MATCH($D$9,'Tipos BdE'!$B$6:$M$6,0)),0))</f>
        <v/>
      </c>
      <c r="M303" s="13">
        <f>IF(H303="","",IF($D$18="LEGAL",0,$D$10))</f>
        <v/>
      </c>
      <c r="N303" s="13">
        <f>IF(H303="","",IF(AND($D$14="Sí",(L303+M303)&lt;0),0,L303+M303))</f>
        <v/>
      </c>
      <c r="O303" s="199">
        <f>IF(H303="","",$D$5*N303*J303/36500)</f>
        <v/>
      </c>
      <c r="P303" s="199">
        <f>IF(H303="","",$D$5+SUM($O$5:O303))</f>
        <v/>
      </c>
    </row>
    <row r="304">
      <c r="G304" s="11">
        <f>IF(H304="","",ROW()-4)</f>
        <v/>
      </c>
      <c r="H304" s="12">
        <f>IF(OR(I303="",I303&gt;=$D$7),"",I303)</f>
        <v/>
      </c>
      <c r="I304" s="12">
        <f>IF(H304="","",MIN(IF($D$18="LEGAL",DATE(YEAR(H304)+1,1,1),EDATE($D$12,$D$11*(INT((((YEAR(H304)-YEAR($D$12))*12+(MONTH(H304)-MONTH($D$12))-IF(DAY(H304)&lt;DAY($D$12),1,0))/$D$11))+1))),$D$7))</f>
        <v/>
      </c>
      <c r="J304" s="11">
        <f>IF(H304="","",I304-H304)</f>
        <v/>
      </c>
      <c r="K304" s="12">
        <f>IF(H304="","",IF($D$18="LEGAL",H304,EDATE(H304,-$D$13)))</f>
        <v/>
      </c>
      <c r="L304" s="13">
        <f>IF(H304="","",IFERROR(INDEX('Tipos BdE'!$B$7:$M$336,MATCH(DATE(YEAR(K304),MONTH(K304),1),'Tipos BdE'!$A$7:$A$336,1),MATCH($D$9,'Tipos BdE'!$B$6:$M$6,0)),0))</f>
        <v/>
      </c>
      <c r="M304" s="13">
        <f>IF(H304="","",IF($D$18="LEGAL",0,$D$10))</f>
        <v/>
      </c>
      <c r="N304" s="13">
        <f>IF(H304="","",IF(AND($D$14="Sí",(L304+M304)&lt;0),0,L304+M304))</f>
        <v/>
      </c>
      <c r="O304" s="199">
        <f>IF(H304="","",$D$5*N304*J304/36500)</f>
        <v/>
      </c>
      <c r="P304" s="199">
        <f>IF(H304="","",$D$5+SUM($O$5:O304))</f>
        <v/>
      </c>
    </row>
  </sheetData>
  <mergeCells count="38">
    <mergeCell ref="D10:E10"/>
    <mergeCell ref="A18:C18"/>
    <mergeCell ref="A21:C21"/>
    <mergeCell ref="A12:C12"/>
    <mergeCell ref="D21:E21"/>
    <mergeCell ref="D6:E6"/>
    <mergeCell ref="A5:C5"/>
    <mergeCell ref="A23:C23"/>
    <mergeCell ref="D11:E11"/>
    <mergeCell ref="A8:C8"/>
    <mergeCell ref="D13:E13"/>
    <mergeCell ref="A14:C14"/>
    <mergeCell ref="A17:C17"/>
    <mergeCell ref="D17:E17"/>
    <mergeCell ref="A10:C10"/>
    <mergeCell ref="D16:E16"/>
    <mergeCell ref="A13:C13"/>
    <mergeCell ref="D7:E7"/>
    <mergeCell ref="A1:P1"/>
    <mergeCell ref="A9:C9"/>
    <mergeCell ref="D18:E18"/>
    <mergeCell ref="A15:C15"/>
    <mergeCell ref="D9:E9"/>
    <mergeCell ref="A24:C24"/>
    <mergeCell ref="D12:E12"/>
    <mergeCell ref="D8:E8"/>
    <mergeCell ref="A4:E4"/>
    <mergeCell ref="A11:C11"/>
    <mergeCell ref="A20:E20"/>
    <mergeCell ref="D24:E24"/>
    <mergeCell ref="D15:E15"/>
    <mergeCell ref="D5:E5"/>
    <mergeCell ref="A6:C6"/>
    <mergeCell ref="D23:E23"/>
    <mergeCell ref="D14:E14"/>
    <mergeCell ref="A7:C7"/>
    <mergeCell ref="A16:C16"/>
    <mergeCell ref="A2:P2"/>
  </mergeCells>
  <pageMargins left="0.25" right="0.25" top="0.75" bottom="0.75" header="0.3" footer="0.3"/>
  <pageSetup orientation="portrait" paperSize="9" scale="58" fitToHeight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6"/>
  <sheetViews>
    <sheetView workbookViewId="0">
      <pane xSplit="1" ySplit="6" topLeftCell="B208" activePane="bottomRight" state="frozen"/>
      <selection pane="topRight" activeCell="A1" sqref="A1"/>
      <selection pane="bottomLeft" activeCell="A1" sqref="A1"/>
      <selection pane="bottomRight" activeCell="K166" sqref="K166"/>
    </sheetView>
  </sheetViews>
  <sheetFormatPr baseColWidth="8" defaultRowHeight="14.5"/>
  <cols>
    <col width="12" customWidth="1" style="123" min="1" max="1"/>
    <col width="15" customWidth="1" style="123" min="2" max="13"/>
  </cols>
  <sheetData>
    <row r="1" ht="15.75" customHeight="1" s="123">
      <c r="A1" s="160" t="inlineStr">
        <is>
          <t>TIPOS DE INTERÉS DE REFERENCIA — BANCO DE ESPAÑA (be1901)</t>
        </is>
      </c>
    </row>
    <row r="2">
      <c r="A2" s="67" t="inlineStr">
        <is>
          <t>Último mes con dato:</t>
        </is>
      </c>
      <c r="B2" s="68" t="inlineStr">
        <is>
          <t>2026-06</t>
        </is>
      </c>
    </row>
    <row r="3">
      <c r="A3" s="67" t="inlineStr">
        <is>
          <t>Fuente:</t>
        </is>
      </c>
      <c r="B3" s="165" t="inlineStr">
        <is>
          <t>https://www.bde.es/webbe/es/estadisticas/compartido/datos/xlsx/be1901.xlsx</t>
        </is>
      </c>
    </row>
    <row r="4">
      <c r="A4" s="67" t="inlineStr">
        <is>
          <t>Actualización:</t>
        </is>
      </c>
      <c r="B4" s="162" t="inlineStr">
        <is>
          <t>Actualizado el 13/07/2026 desde bde.es (be1901).</t>
        </is>
      </c>
    </row>
    <row r="6" ht="33.75" customHeight="1" s="123">
      <c r="A6" s="69" t="inlineStr">
        <is>
          <t>Fecha</t>
        </is>
      </c>
      <c r="B6" s="4" t="inlineStr">
        <is>
          <t>Euríbor a 12 meses</t>
        </is>
      </c>
      <c r="C6" s="4" t="inlineStr">
        <is>
          <t>Euríbor a 6 meses</t>
        </is>
      </c>
      <c r="D6" s="4" t="inlineStr">
        <is>
          <t>Euríbor a 3 meses</t>
        </is>
      </c>
      <c r="E6" s="4" t="inlineStr">
        <is>
          <t>Euríbor a 1 mes</t>
        </is>
      </c>
      <c r="F6" s="4" t="inlineStr">
        <is>
          <t>Euríbor a 1 semana</t>
        </is>
      </c>
      <c r="G6" s="4" t="inlineStr">
        <is>
          <t>IRPH Conjunto de entidades (vivienda libre)</t>
        </is>
      </c>
      <c r="H6" s="4" t="inlineStr">
        <is>
          <t>MIBOR a 1 año</t>
        </is>
      </c>
      <c r="I6" s="4" t="inlineStr">
        <is>
          <t>€STR (ESTR)</t>
        </is>
      </c>
      <c r="J6" s="4" t="inlineStr">
        <is>
          <t>Interés legal del dinero</t>
        </is>
      </c>
      <c r="K6" s="4" t="inlineStr">
        <is>
          <t>Interés de mora procesal (art. 576 LEC)</t>
        </is>
      </c>
      <c r="L6" s="4" t="inlineStr">
        <is>
          <t>Interés de demora tributario</t>
        </is>
      </c>
      <c r="M6" s="4" t="inlineStr">
        <is>
          <t>Interés de demora en operaciones comerciales</t>
        </is>
      </c>
    </row>
    <row r="7">
      <c r="A7" s="203" t="n">
        <v>36161</v>
      </c>
      <c r="B7" s="204" t="n">
        <v>3.062</v>
      </c>
      <c r="C7" s="204" t="n"/>
      <c r="D7" s="204" t="n"/>
      <c r="E7" s="204" t="n"/>
      <c r="F7" s="204" t="n"/>
      <c r="G7" s="204" t="n">
        <v>5.131</v>
      </c>
      <c r="H7" s="204" t="n">
        <v>3.065</v>
      </c>
      <c r="I7" s="204" t="n"/>
      <c r="J7" s="204" t="n">
        <v>4.25</v>
      </c>
      <c r="K7" s="204" t="n">
        <v>6.25</v>
      </c>
      <c r="L7" s="204" t="n">
        <v>5.5</v>
      </c>
      <c r="M7" s="204" t="n"/>
    </row>
    <row r="8">
      <c r="A8" s="203" t="n">
        <v>36192</v>
      </c>
      <c r="B8" s="204" t="n">
        <v>3.03</v>
      </c>
      <c r="C8" s="204" t="n"/>
      <c r="D8" s="204" t="n"/>
      <c r="E8" s="204" t="n"/>
      <c r="F8" s="204" t="n"/>
      <c r="G8" s="204" t="n">
        <v>4.95</v>
      </c>
      <c r="H8" s="204" t="n">
        <v>3.035</v>
      </c>
      <c r="I8" s="204" t="n"/>
      <c r="J8" s="204" t="n">
        <v>4.25</v>
      </c>
      <c r="K8" s="204" t="n">
        <v>6.25</v>
      </c>
      <c r="L8" s="204" t="n">
        <v>5.5</v>
      </c>
      <c r="M8" s="204" t="n"/>
    </row>
    <row r="9">
      <c r="A9" s="203" t="n">
        <v>36220</v>
      </c>
      <c r="B9" s="204" t="n">
        <v>3.046</v>
      </c>
      <c r="C9" s="204" t="n"/>
      <c r="D9" s="204" t="n"/>
      <c r="E9" s="204" t="n"/>
      <c r="F9" s="204" t="n"/>
      <c r="G9" s="204" t="n">
        <v>4.816</v>
      </c>
      <c r="H9" s="204" t="n">
        <v>3.031</v>
      </c>
      <c r="I9" s="204" t="n"/>
      <c r="J9" s="204" t="n">
        <v>4.25</v>
      </c>
      <c r="K9" s="204" t="n">
        <v>6.25</v>
      </c>
      <c r="L9" s="204" t="n">
        <v>5.5</v>
      </c>
      <c r="M9" s="204" t="n"/>
    </row>
    <row r="10">
      <c r="A10" s="203" t="n">
        <v>36251</v>
      </c>
      <c r="B10" s="204" t="n">
        <v>2.756</v>
      </c>
      <c r="C10" s="204" t="n"/>
      <c r="D10" s="204" t="n"/>
      <c r="E10" s="204" t="n"/>
      <c r="F10" s="204" t="n"/>
      <c r="G10" s="204" t="n">
        <v>4.787</v>
      </c>
      <c r="H10" s="204" t="n">
        <v>2.709</v>
      </c>
      <c r="I10" s="204" t="n"/>
      <c r="J10" s="204" t="n">
        <v>4.25</v>
      </c>
      <c r="K10" s="204" t="n">
        <v>6.25</v>
      </c>
      <c r="L10" s="204" t="n">
        <v>5.5</v>
      </c>
      <c r="M10" s="204" t="n"/>
    </row>
    <row r="11">
      <c r="A11" s="203" t="n">
        <v>36281</v>
      </c>
      <c r="B11" s="204" t="n">
        <v>2.683</v>
      </c>
      <c r="C11" s="204" t="n"/>
      <c r="D11" s="204" t="n"/>
      <c r="E11" s="204" t="n"/>
      <c r="F11" s="204" t="n"/>
      <c r="G11" s="204" t="n">
        <v>4.644</v>
      </c>
      <c r="H11" s="204" t="n">
        <v>2.656</v>
      </c>
      <c r="I11" s="204" t="n"/>
      <c r="J11" s="204" t="n">
        <v>4.25</v>
      </c>
      <c r="K11" s="204" t="n">
        <v>6.25</v>
      </c>
      <c r="L11" s="204" t="n">
        <v>5.5</v>
      </c>
      <c r="M11" s="204" t="n"/>
    </row>
    <row r="12">
      <c r="A12" s="203" t="n">
        <v>36312</v>
      </c>
      <c r="B12" s="204" t="n">
        <v>2.836</v>
      </c>
      <c r="C12" s="204" t="n"/>
      <c r="D12" s="204" t="n"/>
      <c r="E12" s="204" t="n"/>
      <c r="F12" s="204" t="n"/>
      <c r="G12" s="204" t="n">
        <v>4.502</v>
      </c>
      <c r="H12" s="204" t="n">
        <v>2.78</v>
      </c>
      <c r="I12" s="204" t="n"/>
      <c r="J12" s="204" t="n">
        <v>4.25</v>
      </c>
      <c r="K12" s="204" t="n">
        <v>6.25</v>
      </c>
      <c r="L12" s="204" t="n">
        <v>5.5</v>
      </c>
      <c r="M12" s="204" t="n"/>
    </row>
    <row r="13">
      <c r="A13" s="203" t="n">
        <v>36342</v>
      </c>
      <c r="B13" s="204" t="n">
        <v>3.03</v>
      </c>
      <c r="C13" s="204" t="n"/>
      <c r="D13" s="204" t="n"/>
      <c r="E13" s="204" t="n"/>
      <c r="F13" s="204" t="n"/>
      <c r="G13" s="204" t="n">
        <v>4.435</v>
      </c>
      <c r="H13" s="204" t="n">
        <v>3.018</v>
      </c>
      <c r="I13" s="204" t="n"/>
      <c r="J13" s="204" t="n">
        <v>4.25</v>
      </c>
      <c r="K13" s="204" t="n">
        <v>6.25</v>
      </c>
      <c r="L13" s="204" t="n">
        <v>5.5</v>
      </c>
      <c r="M13" s="204" t="n"/>
    </row>
    <row r="14">
      <c r="A14" s="203" t="n">
        <v>36373</v>
      </c>
      <c r="B14" s="204" t="n">
        <v>3.237</v>
      </c>
      <c r="C14" s="204" t="n"/>
      <c r="D14" s="204" t="n"/>
      <c r="E14" s="204" t="n"/>
      <c r="F14" s="204" t="n"/>
      <c r="G14" s="204" t="n">
        <v>4.471</v>
      </c>
      <c r="H14" s="204" t="n">
        <v>3.233</v>
      </c>
      <c r="I14" s="204" t="n"/>
      <c r="J14" s="204" t="n">
        <v>4.25</v>
      </c>
      <c r="K14" s="204" t="n">
        <v>6.25</v>
      </c>
      <c r="L14" s="204" t="n">
        <v>5.5</v>
      </c>
      <c r="M14" s="204" t="n"/>
    </row>
    <row r="15">
      <c r="A15" s="203" t="n">
        <v>36404</v>
      </c>
      <c r="B15" s="204" t="n">
        <v>3.301</v>
      </c>
      <c r="C15" s="204" t="n"/>
      <c r="D15" s="204" t="n"/>
      <c r="E15" s="204" t="n"/>
      <c r="F15" s="204" t="n"/>
      <c r="G15" s="204" t="n">
        <v>4.545</v>
      </c>
      <c r="H15" s="204" t="n">
        <v>3.26</v>
      </c>
      <c r="I15" s="204" t="n"/>
      <c r="J15" s="204" t="n">
        <v>4.25</v>
      </c>
      <c r="K15" s="204" t="n">
        <v>6.25</v>
      </c>
      <c r="L15" s="204" t="n">
        <v>5.5</v>
      </c>
      <c r="M15" s="204" t="n"/>
    </row>
    <row r="16">
      <c r="A16" s="203" t="n">
        <v>36434</v>
      </c>
      <c r="B16" s="204" t="n">
        <v>3.684</v>
      </c>
      <c r="C16" s="204" t="n"/>
      <c r="D16" s="204" t="n"/>
      <c r="E16" s="204" t="n"/>
      <c r="F16" s="204" t="n"/>
      <c r="G16" s="204" t="n">
        <v>4.665</v>
      </c>
      <c r="H16" s="204" t="n">
        <v>3.607</v>
      </c>
      <c r="I16" s="204" t="n"/>
      <c r="J16" s="204" t="n">
        <v>4.25</v>
      </c>
      <c r="K16" s="204" t="n">
        <v>6.25</v>
      </c>
      <c r="L16" s="204" t="n">
        <v>5.5</v>
      </c>
      <c r="M16" s="204" t="n"/>
    </row>
    <row r="17">
      <c r="A17" s="203" t="n">
        <v>36465</v>
      </c>
      <c r="B17" s="204" t="n">
        <v>3.689</v>
      </c>
      <c r="C17" s="204" t="n"/>
      <c r="D17" s="204" t="n"/>
      <c r="E17" s="204" t="n"/>
      <c r="F17" s="204" t="n"/>
      <c r="G17" s="204" t="n">
        <v>4.807</v>
      </c>
      <c r="H17" s="204" t="n">
        <v>3.659</v>
      </c>
      <c r="I17" s="204" t="n"/>
      <c r="J17" s="204" t="n">
        <v>4.25</v>
      </c>
      <c r="K17" s="204" t="n">
        <v>6.25</v>
      </c>
      <c r="L17" s="204" t="n">
        <v>5.5</v>
      </c>
      <c r="M17" s="204" t="n"/>
    </row>
    <row r="18">
      <c r="A18" s="203" t="n">
        <v>36495</v>
      </c>
      <c r="B18" s="204" t="n">
        <v>3.826</v>
      </c>
      <c r="C18" s="204" t="n"/>
      <c r="D18" s="204" t="n"/>
      <c r="E18" s="204" t="n"/>
      <c r="F18" s="204" t="n"/>
      <c r="G18" s="204" t="n">
        <v>4.94</v>
      </c>
      <c r="H18" s="204" t="n">
        <v>3.806</v>
      </c>
      <c r="I18" s="204" t="n"/>
      <c r="J18" s="204" t="n">
        <v>4.25</v>
      </c>
      <c r="K18" s="204" t="n">
        <v>6.25</v>
      </c>
      <c r="L18" s="204" t="n">
        <v>5.5</v>
      </c>
      <c r="M18" s="204" t="n"/>
    </row>
    <row r="19">
      <c r="A19" s="203" t="n">
        <v>36526</v>
      </c>
      <c r="B19" s="204" t="n">
        <v>3.949</v>
      </c>
      <c r="C19" s="204" t="n"/>
      <c r="D19" s="204" t="n"/>
      <c r="E19" s="204" t="n"/>
      <c r="F19" s="204" t="n"/>
      <c r="G19" s="204" t="n">
        <v>5.04</v>
      </c>
      <c r="H19" s="204" t="n">
        <v>3.924</v>
      </c>
      <c r="I19" s="204" t="n"/>
      <c r="J19" s="204" t="n">
        <v>4.25</v>
      </c>
      <c r="K19" s="204" t="n">
        <v>6.25</v>
      </c>
      <c r="L19" s="204" t="n">
        <v>5.5</v>
      </c>
      <c r="M19" s="204" t="n"/>
    </row>
    <row r="20">
      <c r="A20" s="203" t="n">
        <v>36557</v>
      </c>
      <c r="B20" s="204" t="n">
        <v>4.111</v>
      </c>
      <c r="C20" s="204" t="n"/>
      <c r="D20" s="204" t="n"/>
      <c r="E20" s="204" t="n"/>
      <c r="F20" s="204" t="n"/>
      <c r="G20" s="204" t="n">
        <v>5.166</v>
      </c>
      <c r="H20" s="204" t="n">
        <v>4.099</v>
      </c>
      <c r="I20" s="204" t="n"/>
      <c r="J20" s="204" t="n">
        <v>4.25</v>
      </c>
      <c r="K20" s="204" t="n">
        <v>6.25</v>
      </c>
      <c r="L20" s="204" t="n">
        <v>5.5</v>
      </c>
      <c r="M20" s="204" t="n"/>
    </row>
    <row r="21">
      <c r="A21" s="203" t="n">
        <v>36586</v>
      </c>
      <c r="B21" s="204" t="n">
        <v>4.267</v>
      </c>
      <c r="C21" s="204" t="n"/>
      <c r="D21" s="204" t="n"/>
      <c r="E21" s="204" t="n"/>
      <c r="F21" s="204" t="n"/>
      <c r="G21" s="204" t="n">
        <v>5.231</v>
      </c>
      <c r="H21" s="204" t="n">
        <v>4.259</v>
      </c>
      <c r="I21" s="204" t="n"/>
      <c r="J21" s="204" t="n">
        <v>4.25</v>
      </c>
      <c r="K21" s="204" t="n">
        <v>6.25</v>
      </c>
      <c r="L21" s="204" t="n">
        <v>5.5</v>
      </c>
      <c r="M21" s="204" t="n"/>
    </row>
    <row r="22">
      <c r="A22" s="203" t="n">
        <v>36617</v>
      </c>
      <c r="B22" s="204" t="n">
        <v>4.365</v>
      </c>
      <c r="C22" s="204" t="n"/>
      <c r="D22" s="204" t="n"/>
      <c r="E22" s="204" t="n"/>
      <c r="F22" s="204" t="n"/>
      <c r="G22" s="204" t="n">
        <v>5.353</v>
      </c>
      <c r="H22" s="204" t="n">
        <v>4.348</v>
      </c>
      <c r="I22" s="204" t="n"/>
      <c r="J22" s="204" t="n">
        <v>4.25</v>
      </c>
      <c r="K22" s="204" t="n">
        <v>6.25</v>
      </c>
      <c r="L22" s="204" t="n">
        <v>5.5</v>
      </c>
      <c r="M22" s="204" t="n"/>
    </row>
    <row r="23">
      <c r="A23" s="203" t="n">
        <v>36647</v>
      </c>
      <c r="B23" s="204" t="n">
        <v>4.849</v>
      </c>
      <c r="C23" s="204" t="n"/>
      <c r="D23" s="204" t="n"/>
      <c r="E23" s="204" t="n"/>
      <c r="F23" s="204" t="n"/>
      <c r="G23" s="204" t="n">
        <v>5.522</v>
      </c>
      <c r="H23" s="204" t="n">
        <v>4.847</v>
      </c>
      <c r="I23" s="204" t="n"/>
      <c r="J23" s="204" t="n">
        <v>4.25</v>
      </c>
      <c r="K23" s="204" t="n">
        <v>6.25</v>
      </c>
      <c r="L23" s="204" t="n">
        <v>5.5</v>
      </c>
      <c r="M23" s="204" t="n"/>
    </row>
    <row r="24">
      <c r="A24" s="203" t="n">
        <v>36678</v>
      </c>
      <c r="B24" s="204" t="n">
        <v>4.965</v>
      </c>
      <c r="C24" s="204" t="n"/>
      <c r="D24" s="204" t="n"/>
      <c r="E24" s="204" t="n"/>
      <c r="F24" s="204" t="n"/>
      <c r="G24" s="204" t="n">
        <v>5.703</v>
      </c>
      <c r="H24" s="204" t="n">
        <v>4.959</v>
      </c>
      <c r="I24" s="204" t="n"/>
      <c r="J24" s="204" t="n">
        <v>4.25</v>
      </c>
      <c r="K24" s="204" t="n">
        <v>6.25</v>
      </c>
      <c r="L24" s="204" t="n">
        <v>5.5</v>
      </c>
      <c r="M24" s="204" t="n"/>
    </row>
    <row r="25">
      <c r="A25" s="203" t="n">
        <v>36708</v>
      </c>
      <c r="B25" s="204" t="n">
        <v>5.105</v>
      </c>
      <c r="C25" s="204" t="n"/>
      <c r="D25" s="204" t="n"/>
      <c r="E25" s="204" t="n"/>
      <c r="F25" s="204" t="n"/>
      <c r="G25" s="204" t="n">
        <v>5.891</v>
      </c>
      <c r="H25" s="204" t="n">
        <v>5.097</v>
      </c>
      <c r="I25" s="204" t="n"/>
      <c r="J25" s="204" t="n">
        <v>4.25</v>
      </c>
      <c r="K25" s="204" t="n">
        <v>6.25</v>
      </c>
      <c r="L25" s="204" t="n">
        <v>5.5</v>
      </c>
      <c r="M25" s="204" t="n"/>
    </row>
    <row r="26">
      <c r="A26" s="203" t="n">
        <v>36739</v>
      </c>
      <c r="B26" s="204" t="n">
        <v>5.248</v>
      </c>
      <c r="C26" s="204" t="n"/>
      <c r="D26" s="204" t="n"/>
      <c r="E26" s="204" t="n"/>
      <c r="F26" s="204" t="n"/>
      <c r="G26" s="204" t="n">
        <v>6.029</v>
      </c>
      <c r="H26" s="204" t="n">
        <v>5.247</v>
      </c>
      <c r="I26" s="204" t="n"/>
      <c r="J26" s="204" t="n">
        <v>4.25</v>
      </c>
      <c r="K26" s="204" t="n">
        <v>6.25</v>
      </c>
      <c r="L26" s="204" t="n">
        <v>5.5</v>
      </c>
      <c r="M26" s="204" t="n"/>
    </row>
    <row r="27">
      <c r="A27" s="203" t="n">
        <v>36770</v>
      </c>
      <c r="B27" s="204" t="n">
        <v>5.219</v>
      </c>
      <c r="C27" s="204" t="n"/>
      <c r="D27" s="204" t="n"/>
      <c r="E27" s="204" t="n"/>
      <c r="F27" s="204" t="n"/>
      <c r="G27" s="204" t="n">
        <v>6.232</v>
      </c>
      <c r="H27" s="204" t="n">
        <v>5.208</v>
      </c>
      <c r="I27" s="204" t="n"/>
      <c r="J27" s="204" t="n">
        <v>4.25</v>
      </c>
      <c r="K27" s="204" t="n">
        <v>6.25</v>
      </c>
      <c r="L27" s="204" t="n">
        <v>5.5</v>
      </c>
      <c r="M27" s="204" t="n"/>
    </row>
    <row r="28">
      <c r="A28" s="203" t="n">
        <v>36800</v>
      </c>
      <c r="B28" s="204" t="n">
        <v>5.218</v>
      </c>
      <c r="C28" s="204" t="n"/>
      <c r="D28" s="204" t="n"/>
      <c r="E28" s="204" t="n"/>
      <c r="F28" s="204" t="n"/>
      <c r="G28" s="204" t="n">
        <v>6.284</v>
      </c>
      <c r="H28" s="204" t="n">
        <v>5.212</v>
      </c>
      <c r="I28" s="204" t="n"/>
      <c r="J28" s="204" t="n">
        <v>4.25</v>
      </c>
      <c r="K28" s="204" t="n">
        <v>6.25</v>
      </c>
      <c r="L28" s="204" t="n">
        <v>5.5</v>
      </c>
      <c r="M28" s="204" t="n"/>
    </row>
    <row r="29">
      <c r="A29" s="203" t="n">
        <v>36831</v>
      </c>
      <c r="B29" s="204" t="n">
        <v>5.193</v>
      </c>
      <c r="C29" s="204" t="n"/>
      <c r="D29" s="204" t="n"/>
      <c r="E29" s="204" t="n"/>
      <c r="F29" s="204" t="n"/>
      <c r="G29" s="204" t="n">
        <v>6.348</v>
      </c>
      <c r="H29" s="204" t="n">
        <v>5.188</v>
      </c>
      <c r="I29" s="204" t="n"/>
      <c r="J29" s="204" t="n">
        <v>4.25</v>
      </c>
      <c r="K29" s="204" t="n">
        <v>6.25</v>
      </c>
      <c r="L29" s="204" t="n">
        <v>5.5</v>
      </c>
      <c r="M29" s="204" t="n"/>
    </row>
    <row r="30">
      <c r="A30" s="203" t="n">
        <v>36861</v>
      </c>
      <c r="B30" s="204" t="n">
        <v>4.881</v>
      </c>
      <c r="C30" s="204" t="n"/>
      <c r="D30" s="204" t="n"/>
      <c r="E30" s="204" t="n"/>
      <c r="F30" s="204" t="n"/>
      <c r="G30" s="204" t="n">
        <v>6.371</v>
      </c>
      <c r="H30" s="204" t="n">
        <v>4.889</v>
      </c>
      <c r="I30" s="204" t="n"/>
      <c r="J30" s="204" t="n">
        <v>4.25</v>
      </c>
      <c r="K30" s="204" t="n">
        <v>6.25</v>
      </c>
      <c r="L30" s="204" t="n">
        <v>5.5</v>
      </c>
      <c r="M30" s="204" t="n"/>
    </row>
    <row r="31">
      <c r="A31" s="203" t="n">
        <v>36892</v>
      </c>
      <c r="B31" s="204" t="n">
        <v>4.574</v>
      </c>
      <c r="C31" s="204" t="n"/>
      <c r="D31" s="204" t="n"/>
      <c r="E31" s="204" t="n"/>
      <c r="F31" s="204" t="n"/>
      <c r="G31" s="204" t="n">
        <v>6.39</v>
      </c>
      <c r="H31" s="204" t="n">
        <v>4.564</v>
      </c>
      <c r="I31" s="204" t="n"/>
      <c r="J31" s="204" t="n">
        <v>5.5</v>
      </c>
      <c r="K31" s="204" t="n">
        <v>7.5</v>
      </c>
      <c r="L31" s="204" t="n">
        <v>6.5</v>
      </c>
      <c r="M31" s="204" t="n"/>
    </row>
    <row r="32">
      <c r="A32" s="203" t="n">
        <v>36923</v>
      </c>
      <c r="B32" s="204" t="n">
        <v>4.591</v>
      </c>
      <c r="C32" s="204" t="n"/>
      <c r="D32" s="204" t="n"/>
      <c r="E32" s="204" t="n"/>
      <c r="F32" s="204" t="n"/>
      <c r="G32" s="204" t="n">
        <v>6.28</v>
      </c>
      <c r="H32" s="204" t="n">
        <v>4.582</v>
      </c>
      <c r="I32" s="204" t="n"/>
      <c r="J32" s="204" t="n">
        <v>5.5</v>
      </c>
      <c r="K32" s="204" t="n">
        <v>7.5</v>
      </c>
      <c r="L32" s="204" t="n">
        <v>6.5</v>
      </c>
      <c r="M32" s="204" t="n"/>
    </row>
    <row r="33">
      <c r="A33" s="203" t="n">
        <v>36951</v>
      </c>
      <c r="B33" s="204" t="n">
        <v>4.471</v>
      </c>
      <c r="C33" s="204" t="n"/>
      <c r="D33" s="204" t="n"/>
      <c r="E33" s="204" t="n"/>
      <c r="F33" s="204" t="n"/>
      <c r="G33" s="204" t="n">
        <v>6.147</v>
      </c>
      <c r="H33" s="204" t="n">
        <v>4.469</v>
      </c>
      <c r="I33" s="204" t="n"/>
      <c r="J33" s="204" t="n">
        <v>5.5</v>
      </c>
      <c r="K33" s="204" t="n">
        <v>7.5</v>
      </c>
      <c r="L33" s="204" t="n">
        <v>6.5</v>
      </c>
      <c r="M33" s="204" t="n"/>
    </row>
    <row r="34">
      <c r="A34" s="203" t="n">
        <v>36982</v>
      </c>
      <c r="B34" s="204" t="n">
        <v>4.481</v>
      </c>
      <c r="C34" s="204" t="n"/>
      <c r="D34" s="204" t="n"/>
      <c r="E34" s="204" t="n"/>
      <c r="F34" s="204" t="n"/>
      <c r="G34" s="204" t="n">
        <v>6.025</v>
      </c>
      <c r="H34" s="204" t="n">
        <v>4.46</v>
      </c>
      <c r="I34" s="204" t="n"/>
      <c r="J34" s="204" t="n">
        <v>5.5</v>
      </c>
      <c r="K34" s="204" t="n">
        <v>7.5</v>
      </c>
      <c r="L34" s="204" t="n">
        <v>6.5</v>
      </c>
      <c r="M34" s="204" t="n"/>
    </row>
    <row r="35">
      <c r="A35" s="203" t="n">
        <v>37012</v>
      </c>
      <c r="B35" s="204" t="n">
        <v>4.52</v>
      </c>
      <c r="C35" s="204" t="n"/>
      <c r="D35" s="204" t="n"/>
      <c r="E35" s="204" t="n"/>
      <c r="F35" s="204" t="n"/>
      <c r="G35" s="204" t="n">
        <v>5.926</v>
      </c>
      <c r="H35" s="204" t="n">
        <v>4.499</v>
      </c>
      <c r="I35" s="204" t="n"/>
      <c r="J35" s="204" t="n">
        <v>5.5</v>
      </c>
      <c r="K35" s="204" t="n">
        <v>7.5</v>
      </c>
      <c r="L35" s="204" t="n">
        <v>6.5</v>
      </c>
      <c r="M35" s="204" t="n"/>
    </row>
    <row r="36">
      <c r="A36" s="203" t="n">
        <v>37043</v>
      </c>
      <c r="B36" s="204" t="n">
        <v>4.312</v>
      </c>
      <c r="C36" s="204" t="n"/>
      <c r="D36" s="204" t="n"/>
      <c r="E36" s="204" t="n"/>
      <c r="F36" s="204" t="n"/>
      <c r="G36" s="204" t="n">
        <v>5.806</v>
      </c>
      <c r="H36" s="204" t="n">
        <v>4.31</v>
      </c>
      <c r="I36" s="204" t="n"/>
      <c r="J36" s="204" t="n">
        <v>5.5</v>
      </c>
      <c r="K36" s="204" t="n">
        <v>7.5</v>
      </c>
      <c r="L36" s="204" t="n">
        <v>6.5</v>
      </c>
      <c r="M36" s="204" t="n"/>
    </row>
    <row r="37">
      <c r="A37" s="203" t="n">
        <v>37073</v>
      </c>
      <c r="B37" s="204" t="n">
        <v>4.311</v>
      </c>
      <c r="C37" s="204" t="n"/>
      <c r="D37" s="204" t="n"/>
      <c r="E37" s="204" t="n"/>
      <c r="F37" s="204" t="n"/>
      <c r="G37" s="204" t="n">
        <v>5.768</v>
      </c>
      <c r="H37" s="204" t="n">
        <v>4.31</v>
      </c>
      <c r="I37" s="204" t="n"/>
      <c r="J37" s="204" t="n">
        <v>5.5</v>
      </c>
      <c r="K37" s="204" t="n">
        <v>7.5</v>
      </c>
      <c r="L37" s="204" t="n">
        <v>6.5</v>
      </c>
      <c r="M37" s="204" t="n"/>
    </row>
    <row r="38">
      <c r="A38" s="203" t="n">
        <v>37104</v>
      </c>
      <c r="B38" s="204" t="n">
        <v>4.108</v>
      </c>
      <c r="C38" s="204" t="n"/>
      <c r="D38" s="204" t="n"/>
      <c r="E38" s="204" t="n"/>
      <c r="F38" s="204" t="n"/>
      <c r="G38" s="204" t="n">
        <v>5.723</v>
      </c>
      <c r="H38" s="204" t="n">
        <v>4.107</v>
      </c>
      <c r="I38" s="204" t="n"/>
      <c r="J38" s="204" t="n">
        <v>5.5</v>
      </c>
      <c r="K38" s="204" t="n">
        <v>7.5</v>
      </c>
      <c r="L38" s="204" t="n">
        <v>6.5</v>
      </c>
      <c r="M38" s="204" t="n"/>
    </row>
    <row r="39">
      <c r="A39" s="203" t="n">
        <v>37135</v>
      </c>
      <c r="B39" s="204" t="n">
        <v>3.77</v>
      </c>
      <c r="C39" s="204" t="n"/>
      <c r="D39" s="204" t="n"/>
      <c r="E39" s="204" t="n"/>
      <c r="F39" s="204" t="n"/>
      <c r="G39" s="204" t="n">
        <v>5.627</v>
      </c>
      <c r="H39" s="204" t="n">
        <v>3.771</v>
      </c>
      <c r="I39" s="204" t="n"/>
      <c r="J39" s="204" t="n">
        <v>5.5</v>
      </c>
      <c r="K39" s="204" t="n">
        <v>7.5</v>
      </c>
      <c r="L39" s="204" t="n">
        <v>6.5</v>
      </c>
      <c r="M39" s="204" t="n"/>
    </row>
    <row r="40">
      <c r="A40" s="203" t="n">
        <v>37165</v>
      </c>
      <c r="B40" s="204" t="n">
        <v>3.369</v>
      </c>
      <c r="C40" s="204" t="n"/>
      <c r="D40" s="204" t="n"/>
      <c r="E40" s="204" t="n"/>
      <c r="F40" s="204" t="n"/>
      <c r="G40" s="204" t="n">
        <v>5.39</v>
      </c>
      <c r="H40" s="204" t="n">
        <v>3.366</v>
      </c>
      <c r="I40" s="204" t="n"/>
      <c r="J40" s="204" t="n">
        <v>5.5</v>
      </c>
      <c r="K40" s="204" t="n">
        <v>7.5</v>
      </c>
      <c r="L40" s="204" t="n">
        <v>6.5</v>
      </c>
      <c r="M40" s="204" t="n"/>
    </row>
    <row r="41">
      <c r="A41" s="203" t="n">
        <v>37196</v>
      </c>
      <c r="B41" s="204" t="n">
        <v>3.198</v>
      </c>
      <c r="C41" s="204" t="n"/>
      <c r="D41" s="204" t="n"/>
      <c r="E41" s="204" t="n"/>
      <c r="F41" s="204" t="n"/>
      <c r="G41" s="204" t="n">
        <v>5.19</v>
      </c>
      <c r="H41" s="204" t="n">
        <v>3.196</v>
      </c>
      <c r="I41" s="204" t="n"/>
      <c r="J41" s="204" t="n">
        <v>5.5</v>
      </c>
      <c r="K41" s="204" t="n">
        <v>7.5</v>
      </c>
      <c r="L41" s="204" t="n">
        <v>6.5</v>
      </c>
      <c r="M41" s="204" t="n"/>
    </row>
    <row r="42">
      <c r="A42" s="203" t="n">
        <v>37226</v>
      </c>
      <c r="B42" s="204" t="n">
        <v>3.298</v>
      </c>
      <c r="C42" s="204" t="n"/>
      <c r="D42" s="204" t="n"/>
      <c r="E42" s="204" t="n"/>
      <c r="F42" s="204" t="n"/>
      <c r="G42" s="204" t="n">
        <v>4.852</v>
      </c>
      <c r="H42" s="204" t="n">
        <v>3.286</v>
      </c>
      <c r="I42" s="204" t="n"/>
      <c r="J42" s="204" t="n">
        <v>5.5</v>
      </c>
      <c r="K42" s="204" t="n">
        <v>7.5</v>
      </c>
      <c r="L42" s="204" t="n">
        <v>6.5</v>
      </c>
      <c r="M42" s="204" t="n"/>
    </row>
    <row r="43">
      <c r="A43" s="203" t="n">
        <v>37257</v>
      </c>
      <c r="B43" s="204" t="n">
        <v>3.483</v>
      </c>
      <c r="C43" s="204" t="n"/>
      <c r="D43" s="204" t="n"/>
      <c r="E43" s="204" t="n"/>
      <c r="F43" s="204" t="n"/>
      <c r="G43" s="204" t="n">
        <v>4.737</v>
      </c>
      <c r="H43" s="204" t="n">
        <v>3.475</v>
      </c>
      <c r="I43" s="204" t="n"/>
      <c r="J43" s="204" t="n">
        <v>4.25</v>
      </c>
      <c r="K43" s="204" t="n">
        <v>6.25</v>
      </c>
      <c r="L43" s="204" t="n">
        <v>5.5</v>
      </c>
      <c r="M43" s="204" t="n"/>
    </row>
    <row r="44">
      <c r="A44" s="203" t="n">
        <v>37288</v>
      </c>
      <c r="B44" s="204" t="n">
        <v>3.594</v>
      </c>
      <c r="C44" s="204" t="n"/>
      <c r="D44" s="204" t="n"/>
      <c r="E44" s="204" t="n"/>
      <c r="F44" s="204" t="n"/>
      <c r="G44" s="204" t="n">
        <v>4.768</v>
      </c>
      <c r="H44" s="204" t="n">
        <v>3.581</v>
      </c>
      <c r="I44" s="204" t="n"/>
      <c r="J44" s="204" t="n">
        <v>4.25</v>
      </c>
      <c r="K44" s="204" t="n">
        <v>6.25</v>
      </c>
      <c r="L44" s="204" t="n">
        <v>5.5</v>
      </c>
      <c r="M44" s="204" t="n"/>
    </row>
    <row r="45">
      <c r="A45" s="203" t="n">
        <v>37316</v>
      </c>
      <c r="B45" s="204" t="n">
        <v>3.816</v>
      </c>
      <c r="C45" s="204" t="n"/>
      <c r="D45" s="204" t="n"/>
      <c r="E45" s="204" t="n"/>
      <c r="F45" s="204" t="n"/>
      <c r="G45" s="204" t="n">
        <v>4.785</v>
      </c>
      <c r="H45" s="204" t="n">
        <v>3.799</v>
      </c>
      <c r="I45" s="204" t="n"/>
      <c r="J45" s="204" t="n">
        <v>4.25</v>
      </c>
      <c r="K45" s="204" t="n">
        <v>6.25</v>
      </c>
      <c r="L45" s="204" t="n">
        <v>5.5</v>
      </c>
      <c r="M45" s="204" t="n"/>
    </row>
    <row r="46">
      <c r="A46" s="203" t="n">
        <v>37347</v>
      </c>
      <c r="B46" s="204" t="n">
        <v>3.86</v>
      </c>
      <c r="C46" s="204" t="n"/>
      <c r="D46" s="204" t="n"/>
      <c r="E46" s="204" t="n"/>
      <c r="F46" s="204" t="n"/>
      <c r="G46" s="204" t="n">
        <v>4.86</v>
      </c>
      <c r="H46" s="204" t="n">
        <v>3.857</v>
      </c>
      <c r="I46" s="204" t="n"/>
      <c r="J46" s="204" t="n">
        <v>4.25</v>
      </c>
      <c r="K46" s="204" t="n">
        <v>6.25</v>
      </c>
      <c r="L46" s="204" t="n">
        <v>5.5</v>
      </c>
      <c r="M46" s="204" t="n"/>
    </row>
    <row r="47">
      <c r="A47" s="203" t="n">
        <v>37377</v>
      </c>
      <c r="B47" s="204" t="n">
        <v>3.963</v>
      </c>
      <c r="C47" s="204" t="n"/>
      <c r="D47" s="204" t="n"/>
      <c r="E47" s="204" t="n"/>
      <c r="F47" s="204" t="n"/>
      <c r="G47" s="204" t="n">
        <v>4.985</v>
      </c>
      <c r="H47" s="204" t="n">
        <v>3.948</v>
      </c>
      <c r="I47" s="204" t="n"/>
      <c r="J47" s="204" t="n">
        <v>4.25</v>
      </c>
      <c r="K47" s="204" t="n">
        <v>6.25</v>
      </c>
      <c r="L47" s="204" t="n">
        <v>5.5</v>
      </c>
      <c r="M47" s="204" t="n"/>
    </row>
    <row r="48">
      <c r="A48" s="203" t="n">
        <v>37408</v>
      </c>
      <c r="B48" s="204" t="n">
        <v>3.869</v>
      </c>
      <c r="C48" s="204" t="n"/>
      <c r="D48" s="204" t="n"/>
      <c r="E48" s="204" t="n"/>
      <c r="F48" s="204" t="n"/>
      <c r="G48" s="204" t="n">
        <v>4.995</v>
      </c>
      <c r="H48" s="204" t="n">
        <v>3.862</v>
      </c>
      <c r="I48" s="204" t="n"/>
      <c r="J48" s="204" t="n">
        <v>4.25</v>
      </c>
      <c r="K48" s="204" t="n">
        <v>6.25</v>
      </c>
      <c r="L48" s="204" t="n">
        <v>5.5</v>
      </c>
      <c r="M48" s="204" t="n"/>
    </row>
    <row r="49">
      <c r="A49" s="203" t="n">
        <v>37438</v>
      </c>
      <c r="B49" s="204" t="n">
        <v>3.645</v>
      </c>
      <c r="C49" s="204" t="n"/>
      <c r="D49" s="204" t="n"/>
      <c r="E49" s="204" t="n"/>
      <c r="F49" s="204" t="n"/>
      <c r="G49" s="204" t="n">
        <v>5.009</v>
      </c>
      <c r="H49" s="204" t="n">
        <v>3.643</v>
      </c>
      <c r="I49" s="204" t="n"/>
      <c r="J49" s="204" t="n">
        <v>4.25</v>
      </c>
      <c r="K49" s="204" t="n">
        <v>6.25</v>
      </c>
      <c r="L49" s="204" t="n">
        <v>5.5</v>
      </c>
      <c r="M49" s="204" t="n">
        <v>10.35</v>
      </c>
    </row>
    <row r="50">
      <c r="A50" s="203" t="n">
        <v>37469</v>
      </c>
      <c r="B50" s="204" t="n">
        <v>3.44</v>
      </c>
      <c r="C50" s="204" t="n"/>
      <c r="D50" s="204" t="n"/>
      <c r="E50" s="204" t="n"/>
      <c r="F50" s="204" t="n"/>
      <c r="G50" s="204" t="n">
        <v>4.999</v>
      </c>
      <c r="H50" s="204" t="n">
        <v>3.437</v>
      </c>
      <c r="I50" s="204" t="n"/>
      <c r="J50" s="204" t="n">
        <v>4.25</v>
      </c>
      <c r="K50" s="204" t="n">
        <v>6.25</v>
      </c>
      <c r="L50" s="204" t="n">
        <v>5.5</v>
      </c>
      <c r="M50" s="204" t="n">
        <v>10.35</v>
      </c>
    </row>
    <row r="51">
      <c r="A51" s="203" t="n">
        <v>37500</v>
      </c>
      <c r="B51" s="204" t="n">
        <v>3.236</v>
      </c>
      <c r="C51" s="204" t="n"/>
      <c r="D51" s="204" t="n"/>
      <c r="E51" s="204" t="n"/>
      <c r="F51" s="204" t="n"/>
      <c r="G51" s="204" t="n">
        <v>4.818</v>
      </c>
      <c r="H51" s="204" t="n">
        <v>3.241</v>
      </c>
      <c r="I51" s="204" t="n"/>
      <c r="J51" s="204" t="n">
        <v>4.25</v>
      </c>
      <c r="K51" s="204" t="n">
        <v>6.25</v>
      </c>
      <c r="L51" s="204" t="n">
        <v>5.5</v>
      </c>
      <c r="M51" s="204" t="n">
        <v>10.35</v>
      </c>
    </row>
    <row r="52">
      <c r="A52" s="203" t="n">
        <v>37530</v>
      </c>
      <c r="B52" s="204" t="n">
        <v>3.126</v>
      </c>
      <c r="C52" s="204" t="n"/>
      <c r="D52" s="204" t="n"/>
      <c r="E52" s="204" t="n"/>
      <c r="F52" s="204" t="n"/>
      <c r="G52" s="204" t="n">
        <v>4.69</v>
      </c>
      <c r="H52" s="204" t="n">
        <v>3.127</v>
      </c>
      <c r="I52" s="204" t="n"/>
      <c r="J52" s="204" t="n">
        <v>4.25</v>
      </c>
      <c r="K52" s="204" t="n">
        <v>6.25</v>
      </c>
      <c r="L52" s="204" t="n">
        <v>5.5</v>
      </c>
      <c r="M52" s="204" t="n">
        <v>10.35</v>
      </c>
    </row>
    <row r="53">
      <c r="A53" s="203" t="n">
        <v>37561</v>
      </c>
      <c r="B53" s="204" t="n">
        <v>3.017</v>
      </c>
      <c r="C53" s="204" t="n"/>
      <c r="D53" s="204" t="n"/>
      <c r="E53" s="204" t="n"/>
      <c r="F53" s="204" t="n"/>
      <c r="G53" s="204" t="n">
        <v>4.517</v>
      </c>
      <c r="H53" s="204" t="n">
        <v>3.02</v>
      </c>
      <c r="I53" s="204" t="n"/>
      <c r="J53" s="204" t="n">
        <v>4.25</v>
      </c>
      <c r="K53" s="204" t="n">
        <v>6.25</v>
      </c>
      <c r="L53" s="204" t="n">
        <v>5.5</v>
      </c>
      <c r="M53" s="204" t="n">
        <v>10.35</v>
      </c>
    </row>
    <row r="54">
      <c r="A54" s="203" t="n">
        <v>37591</v>
      </c>
      <c r="B54" s="204" t="n">
        <v>2.873</v>
      </c>
      <c r="C54" s="204" t="n"/>
      <c r="D54" s="204" t="n"/>
      <c r="E54" s="204" t="n"/>
      <c r="F54" s="204" t="n"/>
      <c r="G54" s="204" t="n">
        <v>4.38</v>
      </c>
      <c r="H54" s="204" t="n">
        <v>2.878</v>
      </c>
      <c r="I54" s="204" t="n"/>
      <c r="J54" s="204" t="n">
        <v>4.25</v>
      </c>
      <c r="K54" s="204" t="n">
        <v>6.25</v>
      </c>
      <c r="L54" s="204" t="n">
        <v>5.5</v>
      </c>
      <c r="M54" s="204" t="n">
        <v>10.35</v>
      </c>
    </row>
    <row r="55">
      <c r="A55" s="203" t="n">
        <v>37622</v>
      </c>
      <c r="B55" s="204" t="n">
        <v>2.705</v>
      </c>
      <c r="C55" s="204" t="n"/>
      <c r="D55" s="204" t="n"/>
      <c r="E55" s="204" t="n"/>
      <c r="F55" s="204" t="n"/>
      <c r="G55" s="204" t="n">
        <v>4.252</v>
      </c>
      <c r="H55" s="204" t="n">
        <v>2.703</v>
      </c>
      <c r="I55" s="204" t="n"/>
      <c r="J55" s="204" t="n">
        <v>4.25</v>
      </c>
      <c r="K55" s="204" t="n">
        <v>6.25</v>
      </c>
      <c r="L55" s="204" t="n">
        <v>5.5</v>
      </c>
      <c r="M55" s="204" t="n">
        <v>9.85</v>
      </c>
    </row>
    <row r="56">
      <c r="A56" s="203" t="n">
        <v>37653</v>
      </c>
      <c r="B56" s="204" t="n">
        <v>2.504</v>
      </c>
      <c r="C56" s="204" t="n"/>
      <c r="D56" s="204" t="n"/>
      <c r="E56" s="204" t="n"/>
      <c r="F56" s="204" t="n"/>
      <c r="G56" s="204" t="n">
        <v>4.146</v>
      </c>
      <c r="H56" s="204" t="n">
        <v>2.513</v>
      </c>
      <c r="I56" s="204" t="n"/>
      <c r="J56" s="204" t="n">
        <v>4.25</v>
      </c>
      <c r="K56" s="204" t="n">
        <v>6.25</v>
      </c>
      <c r="L56" s="204" t="n">
        <v>5.5</v>
      </c>
      <c r="M56" s="204" t="n">
        <v>9.85</v>
      </c>
    </row>
    <row r="57">
      <c r="A57" s="203" t="n">
        <v>37681</v>
      </c>
      <c r="B57" s="204" t="n">
        <v>2.411</v>
      </c>
      <c r="C57" s="204" t="n"/>
      <c r="D57" s="204" t="n"/>
      <c r="E57" s="204" t="n"/>
      <c r="F57" s="204" t="n"/>
      <c r="G57" s="204" t="n">
        <v>3.976</v>
      </c>
      <c r="H57" s="204" t="n">
        <v>2.42</v>
      </c>
      <c r="I57" s="204" t="n"/>
      <c r="J57" s="204" t="n">
        <v>4.25</v>
      </c>
      <c r="K57" s="204" t="n">
        <v>6.25</v>
      </c>
      <c r="L57" s="204" t="n">
        <v>5.5</v>
      </c>
      <c r="M57" s="204" t="n">
        <v>9.85</v>
      </c>
    </row>
    <row r="58">
      <c r="A58" s="203" t="n">
        <v>37712</v>
      </c>
      <c r="B58" s="204" t="n">
        <v>2.447</v>
      </c>
      <c r="C58" s="204" t="n"/>
      <c r="D58" s="204" t="n"/>
      <c r="E58" s="204" t="n"/>
      <c r="F58" s="204" t="n"/>
      <c r="G58" s="204" t="n">
        <v>3.886</v>
      </c>
      <c r="H58" s="204" t="n">
        <v>2.458</v>
      </c>
      <c r="I58" s="204" t="n"/>
      <c r="J58" s="204" t="n">
        <v>4.25</v>
      </c>
      <c r="K58" s="204" t="n">
        <v>6.25</v>
      </c>
      <c r="L58" s="204" t="n">
        <v>5.5</v>
      </c>
      <c r="M58" s="204" t="n">
        <v>9.85</v>
      </c>
    </row>
    <row r="59">
      <c r="A59" s="203" t="n">
        <v>37742</v>
      </c>
      <c r="B59" s="204" t="n">
        <v>2.252</v>
      </c>
      <c r="C59" s="204" t="n"/>
      <c r="D59" s="204" t="n"/>
      <c r="E59" s="204" t="n"/>
      <c r="F59" s="204" t="n"/>
      <c r="G59" s="204" t="n">
        <v>3.823</v>
      </c>
      <c r="H59" s="204" t="n">
        <v>2.253</v>
      </c>
      <c r="I59" s="204" t="n"/>
      <c r="J59" s="204" t="n">
        <v>4.25</v>
      </c>
      <c r="K59" s="204" t="n">
        <v>6.25</v>
      </c>
      <c r="L59" s="204" t="n">
        <v>5.5</v>
      </c>
      <c r="M59" s="204" t="n">
        <v>9.85</v>
      </c>
    </row>
    <row r="60">
      <c r="A60" s="203" t="n">
        <v>37773</v>
      </c>
      <c r="B60" s="204" t="n">
        <v>2.014</v>
      </c>
      <c r="C60" s="204" t="n"/>
      <c r="D60" s="204" t="n"/>
      <c r="E60" s="204" t="n"/>
      <c r="F60" s="204" t="n"/>
      <c r="G60" s="204" t="n">
        <v>3.707</v>
      </c>
      <c r="H60" s="204" t="n">
        <v>2.033</v>
      </c>
      <c r="I60" s="204" t="n"/>
      <c r="J60" s="204" t="n">
        <v>4.25</v>
      </c>
      <c r="K60" s="204" t="n">
        <v>6.25</v>
      </c>
      <c r="L60" s="204" t="n">
        <v>5.5</v>
      </c>
      <c r="M60" s="204" t="n">
        <v>9.85</v>
      </c>
    </row>
    <row r="61">
      <c r="A61" s="203" t="n">
        <v>37803</v>
      </c>
      <c r="B61" s="204" t="n">
        <v>2.076</v>
      </c>
      <c r="C61" s="204" t="n"/>
      <c r="D61" s="204" t="n"/>
      <c r="E61" s="204" t="n"/>
      <c r="F61" s="204" t="n"/>
      <c r="G61" s="204" t="n">
        <v>3.541</v>
      </c>
      <c r="H61" s="204" t="n">
        <v>2.082</v>
      </c>
      <c r="I61" s="204" t="n"/>
      <c r="J61" s="204" t="n">
        <v>4.25</v>
      </c>
      <c r="K61" s="204" t="n">
        <v>6.25</v>
      </c>
      <c r="L61" s="204" t="n">
        <v>5.5</v>
      </c>
      <c r="M61" s="204" t="n">
        <v>9.1</v>
      </c>
    </row>
    <row r="62">
      <c r="A62" s="203" t="n">
        <v>37834</v>
      </c>
      <c r="B62" s="204" t="n">
        <v>2.279</v>
      </c>
      <c r="C62" s="204" t="n"/>
      <c r="D62" s="204" t="n"/>
      <c r="E62" s="204" t="n"/>
      <c r="F62" s="204" t="n"/>
      <c r="G62" s="204" t="n">
        <v>3.47</v>
      </c>
      <c r="H62" s="204" t="n">
        <v>2.279</v>
      </c>
      <c r="I62" s="204" t="n"/>
      <c r="J62" s="204" t="n">
        <v>4.25</v>
      </c>
      <c r="K62" s="204" t="n">
        <v>6.25</v>
      </c>
      <c r="L62" s="204" t="n">
        <v>5.5</v>
      </c>
      <c r="M62" s="204" t="n">
        <v>9.1</v>
      </c>
    </row>
    <row r="63">
      <c r="A63" s="203" t="n">
        <v>37865</v>
      </c>
      <c r="B63" s="204" t="n">
        <v>2.258</v>
      </c>
      <c r="C63" s="204" t="n"/>
      <c r="D63" s="204" t="n"/>
      <c r="E63" s="204" t="n"/>
      <c r="F63" s="204" t="n"/>
      <c r="G63" s="204" t="n">
        <v>3.428</v>
      </c>
      <c r="H63" s="204" t="n">
        <v>2.263</v>
      </c>
      <c r="I63" s="204" t="n"/>
      <c r="J63" s="204" t="n">
        <v>4.25</v>
      </c>
      <c r="K63" s="204" t="n">
        <v>6.25</v>
      </c>
      <c r="L63" s="204" t="n">
        <v>5.5</v>
      </c>
      <c r="M63" s="204" t="n">
        <v>9.1</v>
      </c>
    </row>
    <row r="64">
      <c r="A64" s="203" t="n">
        <v>37895</v>
      </c>
      <c r="B64" s="204" t="n">
        <v>2.303</v>
      </c>
      <c r="C64" s="204" t="n"/>
      <c r="D64" s="204" t="n"/>
      <c r="E64" s="204" t="n"/>
      <c r="F64" s="204" t="n"/>
      <c r="G64" s="204" t="n">
        <v>3.442</v>
      </c>
      <c r="H64" s="204" t="n">
        <v>2.299</v>
      </c>
      <c r="I64" s="204" t="n"/>
      <c r="J64" s="204" t="n">
        <v>4.25</v>
      </c>
      <c r="K64" s="204" t="n">
        <v>6.25</v>
      </c>
      <c r="L64" s="204" t="n">
        <v>5.5</v>
      </c>
      <c r="M64" s="204" t="n">
        <v>9.1</v>
      </c>
    </row>
    <row r="65">
      <c r="A65" s="203" t="n">
        <v>37926</v>
      </c>
      <c r="B65" s="204" t="n">
        <v>2.41</v>
      </c>
      <c r="C65" s="204" t="n"/>
      <c r="D65" s="204" t="n"/>
      <c r="E65" s="204" t="n"/>
      <c r="F65" s="204" t="n"/>
      <c r="G65" s="204" t="n">
        <v>3.432</v>
      </c>
      <c r="H65" s="204" t="n">
        <v>2.409</v>
      </c>
      <c r="I65" s="204" t="n"/>
      <c r="J65" s="204" t="n">
        <v>4.25</v>
      </c>
      <c r="K65" s="204" t="n">
        <v>6.25</v>
      </c>
      <c r="L65" s="204" t="n">
        <v>5.5</v>
      </c>
      <c r="M65" s="204" t="n">
        <v>9.1</v>
      </c>
    </row>
    <row r="66">
      <c r="A66" s="203" t="n">
        <v>37956</v>
      </c>
      <c r="B66" s="204" t="n">
        <v>2.381</v>
      </c>
      <c r="C66" s="204" t="n"/>
      <c r="D66" s="204" t="n"/>
      <c r="E66" s="204" t="n"/>
      <c r="F66" s="204" t="n"/>
      <c r="G66" s="204" t="n">
        <v>3.458</v>
      </c>
      <c r="H66" s="204" t="n">
        <v>2.383</v>
      </c>
      <c r="I66" s="204" t="n"/>
      <c r="J66" s="204" t="n">
        <v>4.25</v>
      </c>
      <c r="K66" s="204" t="n">
        <v>6.25</v>
      </c>
      <c r="L66" s="204" t="n">
        <v>5.5</v>
      </c>
      <c r="M66" s="204" t="n">
        <v>9.1</v>
      </c>
    </row>
    <row r="67">
      <c r="A67" s="203" t="n">
        <v>37987</v>
      </c>
      <c r="B67" s="204" t="n">
        <v>2.216</v>
      </c>
      <c r="C67" s="204" t="n"/>
      <c r="D67" s="204" t="n"/>
      <c r="E67" s="204" t="n"/>
      <c r="F67" s="204" t="n"/>
      <c r="G67" s="204" t="n">
        <v>3.475</v>
      </c>
      <c r="H67" s="204" t="n">
        <v>2.22</v>
      </c>
      <c r="I67" s="204" t="n"/>
      <c r="J67" s="204" t="n">
        <v>3.75</v>
      </c>
      <c r="K67" s="204" t="n">
        <v>5.75</v>
      </c>
      <c r="L67" s="204" t="n">
        <v>4.75</v>
      </c>
      <c r="M67" s="204" t="n">
        <v>9.02</v>
      </c>
    </row>
    <row r="68">
      <c r="A68" s="203" t="n">
        <v>38018</v>
      </c>
      <c r="B68" s="204" t="n">
        <v>2.163</v>
      </c>
      <c r="C68" s="204" t="n"/>
      <c r="D68" s="204" t="n"/>
      <c r="E68" s="204" t="n"/>
      <c r="F68" s="204" t="n"/>
      <c r="G68" s="204" t="n">
        <v>3.446</v>
      </c>
      <c r="H68" s="204" t="n">
        <v>2.166</v>
      </c>
      <c r="I68" s="204" t="n"/>
      <c r="J68" s="204" t="n">
        <v>3.75</v>
      </c>
      <c r="K68" s="204" t="n">
        <v>5.75</v>
      </c>
      <c r="L68" s="204" t="n">
        <v>4.75</v>
      </c>
      <c r="M68" s="204" t="n">
        <v>9.02</v>
      </c>
    </row>
    <row r="69">
      <c r="A69" s="203" t="n">
        <v>38047</v>
      </c>
      <c r="B69" s="204" t="n">
        <v>2.055</v>
      </c>
      <c r="C69" s="204" t="n"/>
      <c r="D69" s="204" t="n"/>
      <c r="E69" s="204" t="n"/>
      <c r="F69" s="204" t="n"/>
      <c r="G69" s="204" t="n">
        <v>3.358</v>
      </c>
      <c r="H69" s="204" t="n">
        <v>2.056</v>
      </c>
      <c r="I69" s="204" t="n"/>
      <c r="J69" s="204" t="n">
        <v>3.75</v>
      </c>
      <c r="K69" s="204" t="n">
        <v>5.75</v>
      </c>
      <c r="L69" s="204" t="n">
        <v>4.75</v>
      </c>
      <c r="M69" s="204" t="n">
        <v>9.02</v>
      </c>
    </row>
    <row r="70">
      <c r="A70" s="203" t="n">
        <v>38078</v>
      </c>
      <c r="B70" s="204" t="n">
        <v>2.163</v>
      </c>
      <c r="C70" s="204" t="n"/>
      <c r="D70" s="204" t="n"/>
      <c r="E70" s="204" t="n"/>
      <c r="F70" s="204" t="n"/>
      <c r="G70" s="204" t="n">
        <v>3.279</v>
      </c>
      <c r="H70" s="204" t="n">
        <v>2.164</v>
      </c>
      <c r="I70" s="204" t="n"/>
      <c r="J70" s="204" t="n">
        <v>3.75</v>
      </c>
      <c r="K70" s="204" t="n">
        <v>5.75</v>
      </c>
      <c r="L70" s="204" t="n">
        <v>4.75</v>
      </c>
      <c r="M70" s="204" t="n">
        <v>9.02</v>
      </c>
    </row>
    <row r="71">
      <c r="A71" s="203" t="n">
        <v>38108</v>
      </c>
      <c r="B71" s="204" t="n">
        <v>2.297</v>
      </c>
      <c r="C71" s="204" t="n"/>
      <c r="D71" s="204" t="n"/>
      <c r="E71" s="204" t="n"/>
      <c r="F71" s="204" t="n"/>
      <c r="G71" s="204" t="n">
        <v>3.255</v>
      </c>
      <c r="H71" s="204" t="n">
        <v>2.297</v>
      </c>
      <c r="I71" s="204" t="n"/>
      <c r="J71" s="204" t="n">
        <v>3.75</v>
      </c>
      <c r="K71" s="204" t="n">
        <v>5.75</v>
      </c>
      <c r="L71" s="204" t="n">
        <v>4.75</v>
      </c>
      <c r="M71" s="204" t="n">
        <v>9.02</v>
      </c>
    </row>
    <row r="72">
      <c r="A72" s="203" t="n">
        <v>38139</v>
      </c>
      <c r="B72" s="204" t="n">
        <v>2.404</v>
      </c>
      <c r="C72" s="204" t="n"/>
      <c r="D72" s="204" t="n"/>
      <c r="E72" s="204" t="n"/>
      <c r="F72" s="204" t="n"/>
      <c r="G72" s="204" t="n">
        <v>3.307</v>
      </c>
      <c r="H72" s="204" t="n">
        <v>2.405</v>
      </c>
      <c r="I72" s="204" t="n"/>
      <c r="J72" s="204" t="n">
        <v>3.75</v>
      </c>
      <c r="K72" s="204" t="n">
        <v>5.75</v>
      </c>
      <c r="L72" s="204" t="n">
        <v>4.75</v>
      </c>
      <c r="M72" s="204" t="n">
        <v>9.02</v>
      </c>
    </row>
    <row r="73">
      <c r="A73" s="203" t="n">
        <v>38169</v>
      </c>
      <c r="B73" s="204" t="n">
        <v>2.361</v>
      </c>
      <c r="C73" s="204" t="n"/>
      <c r="D73" s="204" t="n"/>
      <c r="E73" s="204" t="n"/>
      <c r="F73" s="204" t="n"/>
      <c r="G73" s="204" t="n">
        <v>3.323</v>
      </c>
      <c r="H73" s="204" t="n">
        <v>2.367</v>
      </c>
      <c r="I73" s="204" t="n"/>
      <c r="J73" s="204" t="n">
        <v>3.75</v>
      </c>
      <c r="K73" s="204" t="n">
        <v>5.75</v>
      </c>
      <c r="L73" s="204" t="n">
        <v>4.75</v>
      </c>
      <c r="M73" s="204" t="n">
        <v>9.01</v>
      </c>
    </row>
    <row r="74">
      <c r="A74" s="203" t="n">
        <v>38200</v>
      </c>
      <c r="B74" s="204" t="n">
        <v>2.302</v>
      </c>
      <c r="C74" s="204" t="n"/>
      <c r="D74" s="204" t="n"/>
      <c r="E74" s="204" t="n"/>
      <c r="F74" s="204" t="n"/>
      <c r="G74" s="204" t="n">
        <v>3.392</v>
      </c>
      <c r="H74" s="204" t="n">
        <v>2.305</v>
      </c>
      <c r="I74" s="204" t="n"/>
      <c r="J74" s="204" t="n">
        <v>3.75</v>
      </c>
      <c r="K74" s="204" t="n">
        <v>5.75</v>
      </c>
      <c r="L74" s="204" t="n">
        <v>4.75</v>
      </c>
      <c r="M74" s="204" t="n">
        <v>9.01</v>
      </c>
    </row>
    <row r="75">
      <c r="A75" s="203" t="n">
        <v>38231</v>
      </c>
      <c r="B75" s="204" t="n">
        <v>2.377</v>
      </c>
      <c r="C75" s="204" t="n"/>
      <c r="D75" s="204" t="n"/>
      <c r="E75" s="204" t="n"/>
      <c r="F75" s="204" t="n"/>
      <c r="G75" s="204" t="n">
        <v>3.367</v>
      </c>
      <c r="H75" s="204" t="n">
        <v>2.377</v>
      </c>
      <c r="I75" s="204" t="n"/>
      <c r="J75" s="204" t="n">
        <v>3.75</v>
      </c>
      <c r="K75" s="204" t="n">
        <v>5.75</v>
      </c>
      <c r="L75" s="204" t="n">
        <v>4.75</v>
      </c>
      <c r="M75" s="204" t="n">
        <v>9.01</v>
      </c>
    </row>
    <row r="76">
      <c r="A76" s="203" t="n">
        <v>38261</v>
      </c>
      <c r="B76" s="204" t="n">
        <v>2.316</v>
      </c>
      <c r="C76" s="204" t="n"/>
      <c r="D76" s="204" t="n"/>
      <c r="E76" s="204" t="n"/>
      <c r="F76" s="204" t="n"/>
      <c r="G76" s="204" t="n">
        <v>3.332</v>
      </c>
      <c r="H76" s="204" t="n">
        <v>2.317</v>
      </c>
      <c r="I76" s="204" t="n"/>
      <c r="J76" s="204" t="n">
        <v>3.75</v>
      </c>
      <c r="K76" s="204" t="n">
        <v>5.75</v>
      </c>
      <c r="L76" s="204" t="n">
        <v>4.75</v>
      </c>
      <c r="M76" s="204" t="n">
        <v>9.01</v>
      </c>
    </row>
    <row r="77">
      <c r="A77" s="203" t="n">
        <v>38292</v>
      </c>
      <c r="B77" s="204" t="n">
        <v>2.328</v>
      </c>
      <c r="C77" s="204" t="n"/>
      <c r="D77" s="204" t="n"/>
      <c r="E77" s="204" t="n"/>
      <c r="F77" s="204" t="n"/>
      <c r="G77" s="204" t="n">
        <v>3.383</v>
      </c>
      <c r="H77" s="204" t="n">
        <v>2.33</v>
      </c>
      <c r="I77" s="204" t="n"/>
      <c r="J77" s="204" t="n">
        <v>3.75</v>
      </c>
      <c r="K77" s="204" t="n">
        <v>5.75</v>
      </c>
      <c r="L77" s="204" t="n">
        <v>4.75</v>
      </c>
      <c r="M77" s="204" t="n">
        <v>9.01</v>
      </c>
    </row>
    <row r="78">
      <c r="A78" s="203" t="n">
        <v>38322</v>
      </c>
      <c r="B78" s="204" t="n">
        <v>2.301</v>
      </c>
      <c r="C78" s="204" t="n"/>
      <c r="D78" s="204" t="n"/>
      <c r="E78" s="204" t="n"/>
      <c r="F78" s="204" t="n"/>
      <c r="G78" s="204" t="n">
        <v>3.349</v>
      </c>
      <c r="H78" s="204" t="n">
        <v>2.306</v>
      </c>
      <c r="I78" s="204" t="n"/>
      <c r="J78" s="204" t="n">
        <v>3.75</v>
      </c>
      <c r="K78" s="204" t="n">
        <v>5.75</v>
      </c>
      <c r="L78" s="204" t="n">
        <v>4.75</v>
      </c>
      <c r="M78" s="204" t="n">
        <v>9.01</v>
      </c>
    </row>
    <row r="79">
      <c r="A79" s="203" t="n">
        <v>38353</v>
      </c>
      <c r="B79" s="204" t="n">
        <v>2.312</v>
      </c>
      <c r="C79" s="204" t="n"/>
      <c r="D79" s="204" t="n"/>
      <c r="E79" s="204" t="n"/>
      <c r="F79" s="204" t="n"/>
      <c r="G79" s="204" t="n">
        <v>3.334</v>
      </c>
      <c r="H79" s="204" t="n">
        <v>2.314</v>
      </c>
      <c r="I79" s="204" t="n"/>
      <c r="J79" s="204" t="n">
        <v>4</v>
      </c>
      <c r="K79" s="204" t="n">
        <v>6</v>
      </c>
      <c r="L79" s="204" t="n">
        <v>5</v>
      </c>
      <c r="M79" s="204" t="n">
        <v>9.09</v>
      </c>
    </row>
    <row r="80">
      <c r="A80" s="203" t="n">
        <v>38384</v>
      </c>
      <c r="B80" s="204" t="n">
        <v>2.31</v>
      </c>
      <c r="C80" s="204" t="n"/>
      <c r="D80" s="204" t="n"/>
      <c r="E80" s="204" t="n"/>
      <c r="F80" s="204" t="n"/>
      <c r="G80" s="204" t="n">
        <v>3.332</v>
      </c>
      <c r="H80" s="204" t="n">
        <v>2.308</v>
      </c>
      <c r="I80" s="204" t="n"/>
      <c r="J80" s="204" t="n">
        <v>4</v>
      </c>
      <c r="K80" s="204" t="n">
        <v>6</v>
      </c>
      <c r="L80" s="204" t="n">
        <v>5</v>
      </c>
      <c r="M80" s="204" t="n">
        <v>9.09</v>
      </c>
    </row>
    <row r="81">
      <c r="A81" s="203" t="n">
        <v>38412</v>
      </c>
      <c r="B81" s="204" t="n">
        <v>2.335</v>
      </c>
      <c r="C81" s="204" t="n"/>
      <c r="D81" s="204" t="n"/>
      <c r="E81" s="204" t="n"/>
      <c r="F81" s="204" t="n"/>
      <c r="G81" s="204" t="n">
        <v>3.343</v>
      </c>
      <c r="H81" s="204" t="n">
        <v>2.333</v>
      </c>
      <c r="I81" s="204" t="n"/>
      <c r="J81" s="204" t="n">
        <v>4</v>
      </c>
      <c r="K81" s="204" t="n">
        <v>6</v>
      </c>
      <c r="L81" s="204" t="n">
        <v>5</v>
      </c>
      <c r="M81" s="204" t="n">
        <v>9.09</v>
      </c>
    </row>
    <row r="82">
      <c r="A82" s="203" t="n">
        <v>38443</v>
      </c>
      <c r="B82" s="204" t="n">
        <v>2.265</v>
      </c>
      <c r="C82" s="204" t="n"/>
      <c r="D82" s="204" t="n"/>
      <c r="E82" s="204" t="n"/>
      <c r="F82" s="204" t="n"/>
      <c r="G82" s="204" t="n">
        <v>3.325</v>
      </c>
      <c r="H82" s="204" t="n">
        <v>2.27</v>
      </c>
      <c r="I82" s="204" t="n"/>
      <c r="J82" s="204" t="n">
        <v>4</v>
      </c>
      <c r="K82" s="204" t="n">
        <v>6</v>
      </c>
      <c r="L82" s="204" t="n">
        <v>5</v>
      </c>
      <c r="M82" s="204" t="n">
        <v>9.09</v>
      </c>
    </row>
    <row r="83">
      <c r="A83" s="203" t="n">
        <v>38473</v>
      </c>
      <c r="B83" s="204" t="n">
        <v>2.193</v>
      </c>
      <c r="C83" s="204" t="n"/>
      <c r="D83" s="204" t="n"/>
      <c r="E83" s="204" t="n"/>
      <c r="F83" s="204" t="n"/>
      <c r="G83" s="204" t="n">
        <v>3.318</v>
      </c>
      <c r="H83" s="204" t="n">
        <v>2.195</v>
      </c>
      <c r="I83" s="204" t="n"/>
      <c r="J83" s="204" t="n">
        <v>4</v>
      </c>
      <c r="K83" s="204" t="n">
        <v>6</v>
      </c>
      <c r="L83" s="204" t="n">
        <v>5</v>
      </c>
      <c r="M83" s="204" t="n">
        <v>9.09</v>
      </c>
    </row>
    <row r="84">
      <c r="A84" s="203" t="n">
        <v>38504</v>
      </c>
      <c r="B84" s="204" t="n">
        <v>2.103</v>
      </c>
      <c r="C84" s="204" t="n"/>
      <c r="D84" s="204" t="n"/>
      <c r="E84" s="204" t="n"/>
      <c r="F84" s="204" t="n"/>
      <c r="G84" s="204" t="n">
        <v>3.27</v>
      </c>
      <c r="H84" s="204" t="n">
        <v>2.105</v>
      </c>
      <c r="I84" s="204" t="n"/>
      <c r="J84" s="204" t="n">
        <v>4</v>
      </c>
      <c r="K84" s="204" t="n">
        <v>6</v>
      </c>
      <c r="L84" s="204" t="n">
        <v>5</v>
      </c>
      <c r="M84" s="204" t="n">
        <v>9.09</v>
      </c>
    </row>
    <row r="85">
      <c r="A85" s="203" t="n">
        <v>38534</v>
      </c>
      <c r="B85" s="204" t="n">
        <v>2.168</v>
      </c>
      <c r="C85" s="204" t="n"/>
      <c r="D85" s="204" t="n"/>
      <c r="E85" s="204" t="n"/>
      <c r="F85" s="204" t="n"/>
      <c r="G85" s="204" t="n">
        <v>3.196</v>
      </c>
      <c r="H85" s="204" t="n">
        <v>2.167</v>
      </c>
      <c r="I85" s="204" t="n"/>
      <c r="J85" s="204" t="n">
        <v>4</v>
      </c>
      <c r="K85" s="204" t="n">
        <v>6</v>
      </c>
      <c r="L85" s="204" t="n">
        <v>5</v>
      </c>
      <c r="M85" s="204" t="n">
        <v>9.050000000000001</v>
      </c>
    </row>
    <row r="86">
      <c r="A86" s="203" t="n">
        <v>38565</v>
      </c>
      <c r="B86" s="204" t="n">
        <v>2.223</v>
      </c>
      <c r="C86" s="204" t="n"/>
      <c r="D86" s="204" t="n"/>
      <c r="E86" s="204" t="n"/>
      <c r="F86" s="204" t="n"/>
      <c r="G86" s="204" t="n">
        <v>3.19</v>
      </c>
      <c r="H86" s="204" t="n">
        <v>2.225</v>
      </c>
      <c r="I86" s="204" t="n"/>
      <c r="J86" s="204" t="n">
        <v>4</v>
      </c>
      <c r="K86" s="204" t="n">
        <v>6</v>
      </c>
      <c r="L86" s="204" t="n">
        <v>5</v>
      </c>
      <c r="M86" s="204" t="n">
        <v>9.050000000000001</v>
      </c>
    </row>
    <row r="87">
      <c r="A87" s="203" t="n">
        <v>38596</v>
      </c>
      <c r="B87" s="204" t="n">
        <v>2.219</v>
      </c>
      <c r="C87" s="204" t="n"/>
      <c r="D87" s="204" t="n"/>
      <c r="E87" s="204" t="n"/>
      <c r="F87" s="204" t="n"/>
      <c r="G87" s="204" t="n">
        <v>3.197</v>
      </c>
      <c r="H87" s="204" t="n">
        <v>2.223</v>
      </c>
      <c r="I87" s="204" t="n"/>
      <c r="J87" s="204" t="n">
        <v>4</v>
      </c>
      <c r="K87" s="204" t="n">
        <v>6</v>
      </c>
      <c r="L87" s="204" t="n">
        <v>5</v>
      </c>
      <c r="M87" s="204" t="n">
        <v>9.050000000000001</v>
      </c>
    </row>
    <row r="88">
      <c r="A88" s="203" t="n">
        <v>38626</v>
      </c>
      <c r="B88" s="204" t="n">
        <v>2.414</v>
      </c>
      <c r="C88" s="204" t="n"/>
      <c r="D88" s="204" t="n"/>
      <c r="E88" s="204" t="n"/>
      <c r="F88" s="204" t="n"/>
      <c r="G88" s="204" t="n">
        <v>3.225</v>
      </c>
      <c r="H88" s="204" t="n">
        <v>2.415</v>
      </c>
      <c r="I88" s="204" t="n"/>
      <c r="J88" s="204" t="n">
        <v>4</v>
      </c>
      <c r="K88" s="204" t="n">
        <v>6</v>
      </c>
      <c r="L88" s="204" t="n">
        <v>5</v>
      </c>
      <c r="M88" s="204" t="n">
        <v>9.050000000000001</v>
      </c>
    </row>
    <row r="89">
      <c r="A89" s="203" t="n">
        <v>38657</v>
      </c>
      <c r="B89" s="204" t="n">
        <v>2.684</v>
      </c>
      <c r="C89" s="204" t="n"/>
      <c r="D89" s="204" t="n"/>
      <c r="E89" s="204" t="n"/>
      <c r="F89" s="204" t="n"/>
      <c r="G89" s="204" t="n">
        <v>3.264</v>
      </c>
      <c r="H89" s="204" t="n">
        <v>2.679</v>
      </c>
      <c r="I89" s="204" t="n"/>
      <c r="J89" s="204" t="n">
        <v>4</v>
      </c>
      <c r="K89" s="204" t="n">
        <v>6</v>
      </c>
      <c r="L89" s="204" t="n">
        <v>5</v>
      </c>
      <c r="M89" s="204" t="n">
        <v>9.050000000000001</v>
      </c>
    </row>
    <row r="90">
      <c r="A90" s="203" t="n">
        <v>38687</v>
      </c>
      <c r="B90" s="204" t="n">
        <v>2.783</v>
      </c>
      <c r="C90" s="204" t="n"/>
      <c r="D90" s="204" t="n"/>
      <c r="E90" s="204" t="n"/>
      <c r="F90" s="204" t="n"/>
      <c r="G90" s="204" t="n">
        <v>3.404</v>
      </c>
      <c r="H90" s="204" t="n">
        <v>2.78</v>
      </c>
      <c r="I90" s="204" t="n"/>
      <c r="J90" s="204" t="n">
        <v>4</v>
      </c>
      <c r="K90" s="204" t="n">
        <v>6</v>
      </c>
      <c r="L90" s="204" t="n">
        <v>5</v>
      </c>
      <c r="M90" s="204" t="n">
        <v>9.050000000000001</v>
      </c>
    </row>
    <row r="91">
      <c r="A91" s="203" t="n">
        <v>38718</v>
      </c>
      <c r="B91" s="204" t="n">
        <v>2.833</v>
      </c>
      <c r="C91" s="204" t="n"/>
      <c r="D91" s="204" t="n"/>
      <c r="E91" s="204" t="n"/>
      <c r="F91" s="204" t="n"/>
      <c r="G91" s="204" t="n">
        <v>3.591</v>
      </c>
      <c r="H91" s="204" t="n">
        <v>2.824</v>
      </c>
      <c r="I91" s="204" t="n"/>
      <c r="J91" s="204" t="n">
        <v>4</v>
      </c>
      <c r="K91" s="204" t="n">
        <v>6</v>
      </c>
      <c r="L91" s="204" t="n">
        <v>5</v>
      </c>
      <c r="M91" s="204" t="n">
        <v>9.25</v>
      </c>
    </row>
    <row r="92">
      <c r="A92" s="203" t="n">
        <v>38749</v>
      </c>
      <c r="B92" s="204" t="n">
        <v>2.914</v>
      </c>
      <c r="C92" s="204" t="n"/>
      <c r="D92" s="204" t="n"/>
      <c r="E92" s="204" t="n"/>
      <c r="F92" s="204" t="n"/>
      <c r="G92" s="204" t="n">
        <v>3.701</v>
      </c>
      <c r="H92" s="204" t="n">
        <v>2.914</v>
      </c>
      <c r="I92" s="204" t="n"/>
      <c r="J92" s="204" t="n">
        <v>4</v>
      </c>
      <c r="K92" s="204" t="n">
        <v>6</v>
      </c>
      <c r="L92" s="204" t="n">
        <v>5</v>
      </c>
      <c r="M92" s="204" t="n">
        <v>9.25</v>
      </c>
    </row>
    <row r="93">
      <c r="A93" s="203" t="n">
        <v>38777</v>
      </c>
      <c r="B93" s="204" t="n">
        <v>3.105</v>
      </c>
      <c r="C93" s="204" t="n"/>
      <c r="D93" s="204" t="n"/>
      <c r="E93" s="204" t="n"/>
      <c r="F93" s="204" t="n"/>
      <c r="G93" s="204" t="n">
        <v>3.756</v>
      </c>
      <c r="H93" s="204" t="n">
        <v>3.106</v>
      </c>
      <c r="I93" s="204" t="n"/>
      <c r="J93" s="204" t="n">
        <v>4</v>
      </c>
      <c r="K93" s="204" t="n">
        <v>6</v>
      </c>
      <c r="L93" s="204" t="n">
        <v>5</v>
      </c>
      <c r="M93" s="204" t="n">
        <v>9.25</v>
      </c>
    </row>
    <row r="94">
      <c r="A94" s="203" t="n">
        <v>38808</v>
      </c>
      <c r="B94" s="204" t="n">
        <v>3.221</v>
      </c>
      <c r="C94" s="204" t="n"/>
      <c r="D94" s="204" t="n"/>
      <c r="E94" s="204" t="n"/>
      <c r="F94" s="204" t="n"/>
      <c r="G94" s="204" t="n">
        <v>3.852</v>
      </c>
      <c r="H94" s="204" t="n">
        <v>3.219</v>
      </c>
      <c r="I94" s="204" t="n"/>
      <c r="J94" s="204" t="n">
        <v>4</v>
      </c>
      <c r="K94" s="204" t="n">
        <v>6</v>
      </c>
      <c r="L94" s="204" t="n">
        <v>5</v>
      </c>
      <c r="M94" s="204" t="n">
        <v>9.25</v>
      </c>
    </row>
    <row r="95">
      <c r="A95" s="203" t="n">
        <v>38838</v>
      </c>
      <c r="B95" s="204" t="n">
        <v>3.308</v>
      </c>
      <c r="C95" s="204" t="n"/>
      <c r="D95" s="204" t="n"/>
      <c r="E95" s="204" t="n"/>
      <c r="F95" s="204" t="n"/>
      <c r="G95" s="204" t="n">
        <v>4.048</v>
      </c>
      <c r="H95" s="204" t="n">
        <v>3.306</v>
      </c>
      <c r="I95" s="204" t="n"/>
      <c r="J95" s="204" t="n">
        <v>4</v>
      </c>
      <c r="K95" s="204" t="n">
        <v>6</v>
      </c>
      <c r="L95" s="204" t="n">
        <v>5</v>
      </c>
      <c r="M95" s="204" t="n">
        <v>9.25</v>
      </c>
    </row>
    <row r="96">
      <c r="A96" s="203" t="n">
        <v>38869</v>
      </c>
      <c r="B96" s="204" t="n">
        <v>3.401</v>
      </c>
      <c r="C96" s="204" t="n"/>
      <c r="D96" s="204" t="n"/>
      <c r="E96" s="204" t="n"/>
      <c r="F96" s="204" t="n"/>
      <c r="G96" s="204" t="n">
        <v>4.132</v>
      </c>
      <c r="H96" s="204" t="n">
        <v>3.399</v>
      </c>
      <c r="I96" s="204" t="n"/>
      <c r="J96" s="204" t="n">
        <v>4</v>
      </c>
      <c r="K96" s="204" t="n">
        <v>6</v>
      </c>
      <c r="L96" s="204" t="n">
        <v>5</v>
      </c>
      <c r="M96" s="204" t="n">
        <v>9.25</v>
      </c>
    </row>
    <row r="97">
      <c r="A97" s="203" t="n">
        <v>38899</v>
      </c>
      <c r="B97" s="204" t="n">
        <v>3.539</v>
      </c>
      <c r="C97" s="204" t="n"/>
      <c r="D97" s="204" t="n"/>
      <c r="E97" s="204" t="n"/>
      <c r="F97" s="204" t="n"/>
      <c r="G97" s="204" t="n">
        <v>4.229</v>
      </c>
      <c r="H97" s="204" t="n">
        <v>3.533</v>
      </c>
      <c r="I97" s="204" t="n"/>
      <c r="J97" s="204" t="n">
        <v>4</v>
      </c>
      <c r="K97" s="204" t="n">
        <v>6</v>
      </c>
      <c r="L97" s="204" t="n">
        <v>5</v>
      </c>
      <c r="M97" s="204" t="n">
        <v>9.83</v>
      </c>
    </row>
    <row r="98">
      <c r="A98" s="203" t="n">
        <v>38930</v>
      </c>
      <c r="B98" s="204" t="n">
        <v>3.615</v>
      </c>
      <c r="C98" s="204" t="n"/>
      <c r="D98" s="204" t="n"/>
      <c r="E98" s="204" t="n"/>
      <c r="F98" s="204" t="n"/>
      <c r="G98" s="204" t="n">
        <v>4.355</v>
      </c>
      <c r="H98" s="204" t="n">
        <v>3.614</v>
      </c>
      <c r="I98" s="204" t="n"/>
      <c r="J98" s="204" t="n">
        <v>4</v>
      </c>
      <c r="K98" s="204" t="n">
        <v>6</v>
      </c>
      <c r="L98" s="204" t="n">
        <v>5</v>
      </c>
      <c r="M98" s="204" t="n">
        <v>9.83</v>
      </c>
    </row>
    <row r="99">
      <c r="A99" s="203" t="n">
        <v>38961</v>
      </c>
      <c r="B99" s="204" t="n">
        <v>3.715</v>
      </c>
      <c r="C99" s="204" t="n"/>
      <c r="D99" s="204" t="n"/>
      <c r="E99" s="204" t="n"/>
      <c r="F99" s="204" t="n"/>
      <c r="G99" s="204" t="n">
        <v>4.451</v>
      </c>
      <c r="H99" s="204" t="n">
        <v>3.709</v>
      </c>
      <c r="I99" s="204" t="n"/>
      <c r="J99" s="204" t="n">
        <v>4</v>
      </c>
      <c r="K99" s="204" t="n">
        <v>6</v>
      </c>
      <c r="L99" s="204" t="n">
        <v>5</v>
      </c>
      <c r="M99" s="204" t="n">
        <v>9.83</v>
      </c>
    </row>
    <row r="100">
      <c r="A100" s="203" t="n">
        <v>38991</v>
      </c>
      <c r="B100" s="204" t="n">
        <v>3.799</v>
      </c>
      <c r="C100" s="204" t="n"/>
      <c r="D100" s="204" t="n"/>
      <c r="E100" s="204" t="n"/>
      <c r="F100" s="204" t="n"/>
      <c r="G100" s="204" t="n">
        <v>4.562</v>
      </c>
      <c r="H100" s="204" t="n">
        <v>3.791</v>
      </c>
      <c r="I100" s="204" t="n"/>
      <c r="J100" s="204" t="n">
        <v>4</v>
      </c>
      <c r="K100" s="204" t="n">
        <v>6</v>
      </c>
      <c r="L100" s="204" t="n">
        <v>5</v>
      </c>
      <c r="M100" s="204" t="n">
        <v>9.83</v>
      </c>
    </row>
    <row r="101">
      <c r="A101" s="203" t="n">
        <v>39022</v>
      </c>
      <c r="B101" s="204" t="n">
        <v>3.864</v>
      </c>
      <c r="C101" s="204" t="n"/>
      <c r="D101" s="204" t="n"/>
      <c r="E101" s="204" t="n"/>
      <c r="F101" s="204" t="n"/>
      <c r="G101" s="204" t="n">
        <v>4.645</v>
      </c>
      <c r="H101" s="204" t="n">
        <v>3.858</v>
      </c>
      <c r="I101" s="204" t="n"/>
      <c r="J101" s="204" t="n">
        <v>4</v>
      </c>
      <c r="K101" s="204" t="n">
        <v>6</v>
      </c>
      <c r="L101" s="204" t="n">
        <v>5</v>
      </c>
      <c r="M101" s="204" t="n">
        <v>9.83</v>
      </c>
    </row>
    <row r="102">
      <c r="A102" s="203" t="n">
        <v>39052</v>
      </c>
      <c r="B102" s="204" t="n">
        <v>3.921</v>
      </c>
      <c r="C102" s="204" t="n"/>
      <c r="D102" s="204" t="n"/>
      <c r="E102" s="204" t="n"/>
      <c r="F102" s="204" t="n"/>
      <c r="G102" s="204" t="n">
        <v>4.753</v>
      </c>
      <c r="H102" s="204" t="n">
        <v>3.915</v>
      </c>
      <c r="I102" s="204" t="n"/>
      <c r="J102" s="204" t="n">
        <v>4</v>
      </c>
      <c r="K102" s="204" t="n">
        <v>6</v>
      </c>
      <c r="L102" s="204" t="n">
        <v>5</v>
      </c>
      <c r="M102" s="204" t="n">
        <v>9.83</v>
      </c>
    </row>
    <row r="103">
      <c r="A103" s="203" t="n">
        <v>39083</v>
      </c>
      <c r="B103" s="204" t="n">
        <v>4.064</v>
      </c>
      <c r="C103" s="204" t="n"/>
      <c r="D103" s="204" t="n"/>
      <c r="E103" s="204" t="n"/>
      <c r="F103" s="204" t="n"/>
      <c r="G103" s="204" t="n">
        <v>4.811</v>
      </c>
      <c r="H103" s="204" t="n">
        <v>4.052</v>
      </c>
      <c r="I103" s="204" t="n"/>
      <c r="J103" s="204" t="n">
        <v>5</v>
      </c>
      <c r="K103" s="204" t="n">
        <v>7</v>
      </c>
      <c r="L103" s="204" t="n">
        <v>6.25</v>
      </c>
      <c r="M103" s="204" t="n">
        <v>10.58</v>
      </c>
    </row>
    <row r="104">
      <c r="A104" s="203" t="n">
        <v>39114</v>
      </c>
      <c r="B104" s="204" t="n">
        <v>4.094</v>
      </c>
      <c r="C104" s="204" t="n"/>
      <c r="D104" s="204" t="n"/>
      <c r="E104" s="204" t="n"/>
      <c r="F104" s="204" t="n"/>
      <c r="G104" s="204" t="n">
        <v>4.89</v>
      </c>
      <c r="H104" s="204" t="n">
        <v>4.093</v>
      </c>
      <c r="I104" s="204" t="n"/>
      <c r="J104" s="204" t="n">
        <v>5</v>
      </c>
      <c r="K104" s="204" t="n">
        <v>7</v>
      </c>
      <c r="L104" s="204" t="n">
        <v>6.25</v>
      </c>
      <c r="M104" s="204" t="n">
        <v>10.58</v>
      </c>
    </row>
    <row r="105">
      <c r="A105" s="203" t="n">
        <v>39142</v>
      </c>
      <c r="B105" s="204" t="n">
        <v>4.106</v>
      </c>
      <c r="C105" s="204" t="n"/>
      <c r="D105" s="204" t="n"/>
      <c r="E105" s="204" t="n"/>
      <c r="F105" s="204" t="n"/>
      <c r="G105" s="204" t="n">
        <v>4.975</v>
      </c>
      <c r="H105" s="204" t="n">
        <v>4.104</v>
      </c>
      <c r="I105" s="204" t="n"/>
      <c r="J105" s="204" t="n">
        <v>5</v>
      </c>
      <c r="K105" s="204" t="n">
        <v>7</v>
      </c>
      <c r="L105" s="204" t="n">
        <v>6.25</v>
      </c>
      <c r="M105" s="204" t="n">
        <v>10.58</v>
      </c>
    </row>
    <row r="106">
      <c r="A106" s="203" t="n">
        <v>39173</v>
      </c>
      <c r="B106" s="204" t="n">
        <v>4.253</v>
      </c>
      <c r="C106" s="204" t="n"/>
      <c r="D106" s="204" t="n"/>
      <c r="E106" s="204" t="n"/>
      <c r="F106" s="204" t="n"/>
      <c r="G106" s="204" t="n">
        <v>5.008</v>
      </c>
      <c r="H106" s="204" t="n">
        <v>4.248</v>
      </c>
      <c r="I106" s="204" t="n"/>
      <c r="J106" s="204" t="n">
        <v>5</v>
      </c>
      <c r="K106" s="204" t="n">
        <v>7</v>
      </c>
      <c r="L106" s="204" t="n">
        <v>6.25</v>
      </c>
      <c r="M106" s="204" t="n">
        <v>10.58</v>
      </c>
    </row>
    <row r="107">
      <c r="A107" s="203" t="n">
        <v>39203</v>
      </c>
      <c r="B107" s="204" t="n">
        <v>4.373</v>
      </c>
      <c r="C107" s="204" t="n"/>
      <c r="D107" s="204" t="n"/>
      <c r="E107" s="204" t="n"/>
      <c r="F107" s="204" t="n"/>
      <c r="G107" s="204" t="n">
        <v>5.092</v>
      </c>
      <c r="H107" s="204" t="n">
        <v>4.37</v>
      </c>
      <c r="I107" s="204" t="n"/>
      <c r="J107" s="204" t="n">
        <v>5</v>
      </c>
      <c r="K107" s="204" t="n">
        <v>7</v>
      </c>
      <c r="L107" s="204" t="n">
        <v>6.25</v>
      </c>
      <c r="M107" s="204" t="n">
        <v>10.58</v>
      </c>
    </row>
    <row r="108">
      <c r="A108" s="203" t="n">
        <v>39234</v>
      </c>
      <c r="B108" s="204" t="n">
        <v>4.505</v>
      </c>
      <c r="C108" s="204" t="n"/>
      <c r="D108" s="204" t="n"/>
      <c r="E108" s="204" t="n"/>
      <c r="F108" s="204" t="n"/>
      <c r="G108" s="204" t="n">
        <v>5.19</v>
      </c>
      <c r="H108" s="204" t="n">
        <v>4.498</v>
      </c>
      <c r="I108" s="204" t="n"/>
      <c r="J108" s="204" t="n">
        <v>5</v>
      </c>
      <c r="K108" s="204" t="n">
        <v>7</v>
      </c>
      <c r="L108" s="204" t="n">
        <v>6.25</v>
      </c>
      <c r="M108" s="204" t="n">
        <v>10.58</v>
      </c>
    </row>
    <row r="109">
      <c r="A109" s="203" t="n">
        <v>39264</v>
      </c>
      <c r="B109" s="204" t="n">
        <v>4.564</v>
      </c>
      <c r="C109" s="204" t="n"/>
      <c r="D109" s="204" t="n"/>
      <c r="E109" s="204" t="n"/>
      <c r="F109" s="204" t="n"/>
      <c r="G109" s="204" t="n">
        <v>5.326</v>
      </c>
      <c r="H109" s="204" t="n">
        <v>4.563</v>
      </c>
      <c r="I109" s="204" t="n"/>
      <c r="J109" s="204" t="n">
        <v>5</v>
      </c>
      <c r="K109" s="204" t="n">
        <v>7</v>
      </c>
      <c r="L109" s="204" t="n">
        <v>6.25</v>
      </c>
      <c r="M109" s="204" t="n">
        <v>11.07</v>
      </c>
    </row>
    <row r="110">
      <c r="A110" s="203" t="n">
        <v>39295</v>
      </c>
      <c r="B110" s="204" t="n">
        <v>4.666</v>
      </c>
      <c r="C110" s="204" t="n"/>
      <c r="D110" s="204" t="n"/>
      <c r="E110" s="204" t="n"/>
      <c r="F110" s="204" t="n"/>
      <c r="G110" s="204" t="n">
        <v>5.422</v>
      </c>
      <c r="H110" s="204" t="n">
        <v>4.67</v>
      </c>
      <c r="I110" s="204" t="n"/>
      <c r="J110" s="204" t="n">
        <v>5</v>
      </c>
      <c r="K110" s="204" t="n">
        <v>7</v>
      </c>
      <c r="L110" s="204" t="n">
        <v>6.25</v>
      </c>
      <c r="M110" s="204" t="n">
        <v>11.07</v>
      </c>
    </row>
    <row r="111">
      <c r="A111" s="203" t="n">
        <v>39326</v>
      </c>
      <c r="B111" s="204" t="n">
        <v>4.724</v>
      </c>
      <c r="C111" s="204" t="n"/>
      <c r="D111" s="204" t="n"/>
      <c r="E111" s="204" t="n"/>
      <c r="F111" s="204" t="n"/>
      <c r="G111" s="204" t="n">
        <v>5.497</v>
      </c>
      <c r="H111" s="204" t="n">
        <v>4.725</v>
      </c>
      <c r="I111" s="204" t="n"/>
      <c r="J111" s="204" t="n">
        <v>5</v>
      </c>
      <c r="K111" s="204" t="n">
        <v>7</v>
      </c>
      <c r="L111" s="204" t="n">
        <v>6.25</v>
      </c>
      <c r="M111" s="204" t="n">
        <v>11.07</v>
      </c>
    </row>
    <row r="112">
      <c r="A112" s="203" t="n">
        <v>39356</v>
      </c>
      <c r="B112" s="204" t="n">
        <v>4.647</v>
      </c>
      <c r="C112" s="204" t="n"/>
      <c r="D112" s="204" t="n"/>
      <c r="E112" s="204" t="n"/>
      <c r="F112" s="204" t="n"/>
      <c r="G112" s="204" t="n">
        <v>5.551</v>
      </c>
      <c r="H112" s="204" t="n">
        <v>4.639</v>
      </c>
      <c r="I112" s="204" t="n"/>
      <c r="J112" s="204" t="n">
        <v>5</v>
      </c>
      <c r="K112" s="204" t="n">
        <v>7</v>
      </c>
      <c r="L112" s="204" t="n">
        <v>6.25</v>
      </c>
      <c r="M112" s="204" t="n">
        <v>11.07</v>
      </c>
    </row>
    <row r="113">
      <c r="A113" s="203" t="n">
        <v>39387</v>
      </c>
      <c r="B113" s="204" t="n">
        <v>4.607</v>
      </c>
      <c r="C113" s="204" t="n"/>
      <c r="D113" s="204" t="n"/>
      <c r="E113" s="204" t="n"/>
      <c r="F113" s="204" t="n"/>
      <c r="G113" s="204" t="n">
        <v>5.585</v>
      </c>
      <c r="H113" s="204" t="n">
        <v>4.596</v>
      </c>
      <c r="I113" s="204" t="n"/>
      <c r="J113" s="204" t="n">
        <v>5</v>
      </c>
      <c r="K113" s="204" t="n">
        <v>7</v>
      </c>
      <c r="L113" s="204" t="n">
        <v>6.25</v>
      </c>
      <c r="M113" s="204" t="n">
        <v>11.07</v>
      </c>
    </row>
    <row r="114">
      <c r="A114" s="203" t="n">
        <v>39417</v>
      </c>
      <c r="B114" s="204" t="n">
        <v>4.793</v>
      </c>
      <c r="C114" s="204" t="n"/>
      <c r="D114" s="204" t="n"/>
      <c r="E114" s="204" t="n"/>
      <c r="F114" s="204" t="n"/>
      <c r="G114" s="204" t="n">
        <v>5.562</v>
      </c>
      <c r="H114" s="204" t="n">
        <v>4.779</v>
      </c>
      <c r="I114" s="204" t="n"/>
      <c r="J114" s="204" t="n">
        <v>5</v>
      </c>
      <c r="K114" s="204" t="n">
        <v>7</v>
      </c>
      <c r="L114" s="204" t="n">
        <v>6.25</v>
      </c>
      <c r="M114" s="204" t="n">
        <v>11.07</v>
      </c>
    </row>
    <row r="115">
      <c r="A115" s="203" t="n">
        <v>39448</v>
      </c>
      <c r="B115" s="204" t="n">
        <v>4.498</v>
      </c>
      <c r="C115" s="204" t="n"/>
      <c r="D115" s="204" t="n"/>
      <c r="E115" s="204" t="n"/>
      <c r="F115" s="204" t="n"/>
      <c r="G115" s="204" t="n">
        <v>5.611</v>
      </c>
      <c r="H115" s="204" t="n">
        <v>4.504</v>
      </c>
      <c r="I115" s="204" t="n"/>
      <c r="J115" s="204" t="n">
        <v>5.5</v>
      </c>
      <c r="K115" s="204" t="n">
        <v>7.5</v>
      </c>
      <c r="L115" s="204" t="n">
        <v>7</v>
      </c>
      <c r="M115" s="204" t="n">
        <v>11.2</v>
      </c>
    </row>
    <row r="116">
      <c r="A116" s="203" t="n">
        <v>39479</v>
      </c>
      <c r="B116" s="204" t="n">
        <v>4.349</v>
      </c>
      <c r="C116" s="204" t="n"/>
      <c r="D116" s="204" t="n"/>
      <c r="E116" s="204" t="n"/>
      <c r="F116" s="204" t="n"/>
      <c r="G116" s="204" t="n">
        <v>5.582</v>
      </c>
      <c r="H116" s="204" t="n">
        <v>4.342</v>
      </c>
      <c r="I116" s="204" t="n"/>
      <c r="J116" s="204" t="n">
        <v>5.5</v>
      </c>
      <c r="K116" s="204" t="n">
        <v>7.5</v>
      </c>
      <c r="L116" s="204" t="n">
        <v>7</v>
      </c>
      <c r="M116" s="204" t="n">
        <v>11.2</v>
      </c>
    </row>
    <row r="117">
      <c r="A117" s="203" t="n">
        <v>39508</v>
      </c>
      <c r="B117" s="204" t="n">
        <v>4.59</v>
      </c>
      <c r="C117" s="204" t="n"/>
      <c r="D117" s="204" t="n"/>
      <c r="E117" s="204" t="n"/>
      <c r="F117" s="204" t="n"/>
      <c r="G117" s="204" t="n">
        <v>5.404</v>
      </c>
      <c r="H117" s="204" t="n">
        <v>4.581</v>
      </c>
      <c r="I117" s="204" t="n"/>
      <c r="J117" s="204" t="n">
        <v>5.5</v>
      </c>
      <c r="K117" s="204" t="n">
        <v>7.5</v>
      </c>
      <c r="L117" s="204" t="n">
        <v>7</v>
      </c>
      <c r="M117" s="204" t="n">
        <v>11.2</v>
      </c>
    </row>
    <row r="118">
      <c r="A118" s="203" t="n">
        <v>39539</v>
      </c>
      <c r="B118" s="204" t="n">
        <v>4.82</v>
      </c>
      <c r="C118" s="204" t="n"/>
      <c r="D118" s="204" t="n"/>
      <c r="E118" s="204" t="n"/>
      <c r="F118" s="204" t="n"/>
      <c r="G118" s="204" t="n">
        <v>5.418</v>
      </c>
      <c r="H118" s="204" t="n">
        <v>4.805</v>
      </c>
      <c r="I118" s="204" t="n"/>
      <c r="J118" s="204" t="n">
        <v>5.5</v>
      </c>
      <c r="K118" s="204" t="n">
        <v>7.5</v>
      </c>
      <c r="L118" s="204" t="n">
        <v>7</v>
      </c>
      <c r="M118" s="204" t="n">
        <v>11.2</v>
      </c>
    </row>
    <row r="119">
      <c r="A119" s="203" t="n">
        <v>39569</v>
      </c>
      <c r="B119" s="204" t="n">
        <v>4.994</v>
      </c>
      <c r="C119" s="204" t="n"/>
      <c r="D119" s="204" t="n"/>
      <c r="E119" s="204" t="n"/>
      <c r="F119" s="204" t="n"/>
      <c r="G119" s="204" t="n">
        <v>5.587</v>
      </c>
      <c r="H119" s="204" t="n">
        <v>4.976</v>
      </c>
      <c r="I119" s="204" t="n"/>
      <c r="J119" s="204" t="n">
        <v>5.5</v>
      </c>
      <c r="K119" s="204" t="n">
        <v>7.5</v>
      </c>
      <c r="L119" s="204" t="n">
        <v>7</v>
      </c>
      <c r="M119" s="204" t="n">
        <v>11.2</v>
      </c>
    </row>
    <row r="120">
      <c r="A120" s="203" t="n">
        <v>39600</v>
      </c>
      <c r="B120" s="204" t="n">
        <v>5.361</v>
      </c>
      <c r="C120" s="204" t="n"/>
      <c r="D120" s="204" t="n"/>
      <c r="E120" s="204" t="n"/>
      <c r="F120" s="204" t="n"/>
      <c r="G120" s="204" t="n">
        <v>5.794</v>
      </c>
      <c r="H120" s="204" t="n">
        <v>5.338</v>
      </c>
      <c r="I120" s="204" t="n"/>
      <c r="J120" s="204" t="n">
        <v>5.5</v>
      </c>
      <c r="K120" s="204" t="n">
        <v>7.5</v>
      </c>
      <c r="L120" s="204" t="n">
        <v>7</v>
      </c>
      <c r="M120" s="204" t="n">
        <v>11.2</v>
      </c>
    </row>
    <row r="121">
      <c r="A121" s="203" t="n">
        <v>39630</v>
      </c>
      <c r="B121" s="204" t="n">
        <v>5.393</v>
      </c>
      <c r="C121" s="204" t="n"/>
      <c r="D121" s="204" t="n"/>
      <c r="E121" s="204" t="n"/>
      <c r="F121" s="204" t="n"/>
      <c r="G121" s="204" t="n">
        <v>6.006</v>
      </c>
      <c r="H121" s="204" t="n">
        <v>5.361</v>
      </c>
      <c r="I121" s="204" t="n"/>
      <c r="J121" s="204" t="n">
        <v>5.5</v>
      </c>
      <c r="K121" s="204" t="n">
        <v>7.5</v>
      </c>
      <c r="L121" s="204" t="n">
        <v>7</v>
      </c>
      <c r="M121" s="204" t="n">
        <v>11.07</v>
      </c>
    </row>
    <row r="122">
      <c r="A122" s="203" t="n">
        <v>39661</v>
      </c>
      <c r="B122" s="204" t="n">
        <v>5.323</v>
      </c>
      <c r="C122" s="204" t="n"/>
      <c r="D122" s="204" t="n"/>
      <c r="E122" s="204" t="n"/>
      <c r="F122" s="204" t="n"/>
      <c r="G122" s="204" t="n">
        <v>6.218</v>
      </c>
      <c r="H122" s="204" t="n">
        <v>5.292</v>
      </c>
      <c r="I122" s="204" t="n"/>
      <c r="J122" s="204" t="n">
        <v>5.5</v>
      </c>
      <c r="K122" s="204" t="n">
        <v>7.5</v>
      </c>
      <c r="L122" s="204" t="n">
        <v>7</v>
      </c>
      <c r="M122" s="204" t="n">
        <v>11.07</v>
      </c>
    </row>
    <row r="123">
      <c r="A123" s="203" t="n">
        <v>39692</v>
      </c>
      <c r="B123" s="204" t="n">
        <v>5.384</v>
      </c>
      <c r="C123" s="204" t="n"/>
      <c r="D123" s="204" t="n"/>
      <c r="E123" s="204" t="n"/>
      <c r="F123" s="204" t="n"/>
      <c r="G123" s="204" t="n">
        <v>6.265</v>
      </c>
      <c r="H123" s="204" t="n">
        <v>5.334</v>
      </c>
      <c r="I123" s="204" t="n"/>
      <c r="J123" s="204" t="n">
        <v>5.5</v>
      </c>
      <c r="K123" s="204" t="n">
        <v>7.5</v>
      </c>
      <c r="L123" s="204" t="n">
        <v>7</v>
      </c>
      <c r="M123" s="204" t="n">
        <v>11.07</v>
      </c>
    </row>
    <row r="124">
      <c r="A124" s="203" t="n">
        <v>39722</v>
      </c>
      <c r="B124" s="204" t="n">
        <v>5.248</v>
      </c>
      <c r="C124" s="204" t="n"/>
      <c r="D124" s="204" t="n"/>
      <c r="E124" s="204" t="n"/>
      <c r="F124" s="204" t="n"/>
      <c r="G124" s="204" t="n">
        <v>6.253</v>
      </c>
      <c r="H124" s="204" t="n">
        <v>5.277</v>
      </c>
      <c r="I124" s="204" t="n"/>
      <c r="J124" s="204" t="n">
        <v>5.5</v>
      </c>
      <c r="K124" s="204" t="n">
        <v>7.5</v>
      </c>
      <c r="L124" s="204" t="n">
        <v>7</v>
      </c>
      <c r="M124" s="204" t="n">
        <v>11.07</v>
      </c>
    </row>
    <row r="125">
      <c r="A125" s="203" t="n">
        <v>39753</v>
      </c>
      <c r="B125" s="204" t="n">
        <v>4.35</v>
      </c>
      <c r="C125" s="204" t="n"/>
      <c r="D125" s="204" t="n"/>
      <c r="E125" s="204" t="n"/>
      <c r="F125" s="204" t="n"/>
      <c r="G125" s="204" t="n">
        <v>6.258</v>
      </c>
      <c r="H125" s="204" t="n">
        <v>4.424</v>
      </c>
      <c r="I125" s="204" t="n"/>
      <c r="J125" s="204" t="n">
        <v>5.5</v>
      </c>
      <c r="K125" s="204" t="n">
        <v>7.5</v>
      </c>
      <c r="L125" s="204" t="n">
        <v>7</v>
      </c>
      <c r="M125" s="204" t="n">
        <v>11.07</v>
      </c>
    </row>
    <row r="126">
      <c r="A126" s="203" t="n">
        <v>39783</v>
      </c>
      <c r="B126" s="204" t="n">
        <v>3.452</v>
      </c>
      <c r="C126" s="204" t="n"/>
      <c r="D126" s="204" t="n"/>
      <c r="E126" s="204" t="n"/>
      <c r="F126" s="204" t="n"/>
      <c r="G126" s="204" t="n">
        <v>5.891</v>
      </c>
      <c r="H126" s="204" t="n">
        <v>3.455</v>
      </c>
      <c r="I126" s="204" t="n"/>
      <c r="J126" s="204" t="n">
        <v>5.5</v>
      </c>
      <c r="K126" s="204" t="n">
        <v>7.5</v>
      </c>
      <c r="L126" s="204" t="n">
        <v>7</v>
      </c>
      <c r="M126" s="204" t="n">
        <v>11.07</v>
      </c>
    </row>
    <row r="127">
      <c r="A127" s="203" t="n">
        <v>39814</v>
      </c>
      <c r="B127" s="204" t="n">
        <v>2.622</v>
      </c>
      <c r="C127" s="204" t="n"/>
      <c r="D127" s="204" t="n"/>
      <c r="E127" s="204" t="n"/>
      <c r="F127" s="204" t="n"/>
      <c r="G127" s="204" t="n">
        <v>4.983</v>
      </c>
      <c r="H127" s="204" t="n">
        <v>2.625</v>
      </c>
      <c r="I127" s="204" t="n"/>
      <c r="J127" s="204" t="n">
        <v>5.5</v>
      </c>
      <c r="K127" s="204" t="n">
        <v>7.5</v>
      </c>
      <c r="L127" s="204" t="n">
        <v>7</v>
      </c>
      <c r="M127" s="204" t="n">
        <v>9.5</v>
      </c>
    </row>
    <row r="128">
      <c r="A128" s="203" t="n">
        <v>39845</v>
      </c>
      <c r="B128" s="204" t="n">
        <v>2.135</v>
      </c>
      <c r="C128" s="204" t="n"/>
      <c r="D128" s="204" t="n"/>
      <c r="E128" s="204" t="n"/>
      <c r="F128" s="204" t="n"/>
      <c r="G128" s="204" t="n">
        <v>4.324</v>
      </c>
      <c r="H128" s="204" t="n">
        <v>2.134</v>
      </c>
      <c r="I128" s="204" t="n"/>
      <c r="J128" s="204" t="n">
        <v>5.5</v>
      </c>
      <c r="K128" s="204" t="n">
        <v>7.5</v>
      </c>
      <c r="L128" s="204" t="n">
        <v>7</v>
      </c>
      <c r="M128" s="204" t="n">
        <v>9.5</v>
      </c>
    </row>
    <row r="129">
      <c r="A129" s="203" t="n">
        <v>39873</v>
      </c>
      <c r="B129" s="204" t="n">
        <v>1.909</v>
      </c>
      <c r="C129" s="204" t="n"/>
      <c r="D129" s="204" t="n"/>
      <c r="E129" s="204" t="n"/>
      <c r="F129" s="204" t="n"/>
      <c r="G129" s="204" t="n">
        <v>3.821</v>
      </c>
      <c r="H129" s="204" t="n">
        <v>1.908</v>
      </c>
      <c r="I129" s="204" t="n"/>
      <c r="J129" s="204" t="n">
        <v>5.5</v>
      </c>
      <c r="K129" s="204" t="n">
        <v>7.5</v>
      </c>
      <c r="L129" s="204" t="n">
        <v>7</v>
      </c>
      <c r="M129" s="204" t="n">
        <v>9.5</v>
      </c>
    </row>
    <row r="130">
      <c r="A130" s="203" t="n">
        <v>39904</v>
      </c>
      <c r="B130" s="204" t="n">
        <v>1.771</v>
      </c>
      <c r="C130" s="204" t="n"/>
      <c r="D130" s="204" t="n"/>
      <c r="E130" s="204" t="n"/>
      <c r="F130" s="204" t="n"/>
      <c r="G130" s="204" t="n">
        <v>3.573</v>
      </c>
      <c r="H130" s="204" t="n">
        <v>1.771</v>
      </c>
      <c r="I130" s="204" t="n"/>
      <c r="J130" s="204" t="n">
        <v>4</v>
      </c>
      <c r="K130" s="204" t="n">
        <v>6</v>
      </c>
      <c r="L130" s="204" t="n">
        <v>5</v>
      </c>
      <c r="M130" s="204" t="n">
        <v>9.5</v>
      </c>
    </row>
    <row r="131">
      <c r="A131" s="203" t="n">
        <v>39934</v>
      </c>
      <c r="B131" s="204" t="n">
        <v>1.644</v>
      </c>
      <c r="C131" s="204" t="n"/>
      <c r="D131" s="204" t="n"/>
      <c r="E131" s="204" t="n"/>
      <c r="F131" s="204" t="n"/>
      <c r="G131" s="204" t="n">
        <v>3.411</v>
      </c>
      <c r="H131" s="204" t="n">
        <v>1.644</v>
      </c>
      <c r="I131" s="204" t="n"/>
      <c r="J131" s="204" t="n">
        <v>4</v>
      </c>
      <c r="K131" s="204" t="n">
        <v>6</v>
      </c>
      <c r="L131" s="204" t="n">
        <v>5</v>
      </c>
      <c r="M131" s="204" t="n">
        <v>9.5</v>
      </c>
    </row>
    <row r="132">
      <c r="A132" s="203" t="n">
        <v>39965</v>
      </c>
      <c r="B132" s="204" t="n">
        <v>1.61</v>
      </c>
      <c r="C132" s="204" t="n"/>
      <c r="D132" s="204" t="n"/>
      <c r="E132" s="204" t="n"/>
      <c r="F132" s="204" t="n"/>
      <c r="G132" s="204" t="n">
        <v>3.294</v>
      </c>
      <c r="H132" s="204" t="n">
        <v>1.61</v>
      </c>
      <c r="I132" s="204" t="n"/>
      <c r="J132" s="204" t="n">
        <v>4</v>
      </c>
      <c r="K132" s="204" t="n">
        <v>6</v>
      </c>
      <c r="L132" s="204" t="n">
        <v>5</v>
      </c>
      <c r="M132" s="204" t="n">
        <v>9.5</v>
      </c>
    </row>
    <row r="133">
      <c r="A133" s="203" t="n">
        <v>39995</v>
      </c>
      <c r="B133" s="204" t="n">
        <v>1.412</v>
      </c>
      <c r="C133" s="204" t="n"/>
      <c r="D133" s="204" t="n"/>
      <c r="E133" s="204" t="n"/>
      <c r="F133" s="204" t="n"/>
      <c r="G133" s="204" t="n">
        <v>3.187</v>
      </c>
      <c r="H133" s="204" t="n">
        <v>1.412</v>
      </c>
      <c r="I133" s="204" t="n"/>
      <c r="J133" s="204" t="n">
        <v>4</v>
      </c>
      <c r="K133" s="204" t="n">
        <v>6</v>
      </c>
      <c r="L133" s="204" t="n">
        <v>5</v>
      </c>
      <c r="M133" s="204" t="n">
        <v>8</v>
      </c>
    </row>
    <row r="134">
      <c r="A134" s="203" t="n">
        <v>40026</v>
      </c>
      <c r="B134" s="204" t="n">
        <v>1.334</v>
      </c>
      <c r="C134" s="204" t="n"/>
      <c r="D134" s="204" t="n"/>
      <c r="E134" s="204" t="n"/>
      <c r="F134" s="204" t="n"/>
      <c r="G134" s="204" t="n">
        <v>3.084</v>
      </c>
      <c r="H134" s="204" t="n">
        <v>1.334</v>
      </c>
      <c r="I134" s="204" t="n"/>
      <c r="J134" s="204" t="n">
        <v>4</v>
      </c>
      <c r="K134" s="204" t="n">
        <v>6</v>
      </c>
      <c r="L134" s="204" t="n">
        <v>5</v>
      </c>
      <c r="M134" s="204" t="n">
        <v>8</v>
      </c>
    </row>
    <row r="135">
      <c r="A135" s="203" t="n">
        <v>40057</v>
      </c>
      <c r="B135" s="204" t="n">
        <v>1.261</v>
      </c>
      <c r="C135" s="204" t="n"/>
      <c r="D135" s="204" t="n"/>
      <c r="E135" s="204" t="n"/>
      <c r="F135" s="204" t="n"/>
      <c r="G135" s="204" t="n">
        <v>2.99</v>
      </c>
      <c r="H135" s="204" t="n">
        <v>1.261</v>
      </c>
      <c r="I135" s="204" t="n"/>
      <c r="J135" s="204" t="n">
        <v>4</v>
      </c>
      <c r="K135" s="204" t="n">
        <v>6</v>
      </c>
      <c r="L135" s="204" t="n">
        <v>5</v>
      </c>
      <c r="M135" s="204" t="n">
        <v>8</v>
      </c>
    </row>
    <row r="136">
      <c r="A136" s="203" t="n">
        <v>40087</v>
      </c>
      <c r="B136" s="204" t="n">
        <v>1.243</v>
      </c>
      <c r="C136" s="204" t="n"/>
      <c r="D136" s="204" t="n"/>
      <c r="E136" s="204" t="n"/>
      <c r="F136" s="204" t="n"/>
      <c r="G136" s="204" t="n">
        <v>2.921</v>
      </c>
      <c r="H136" s="204" t="n">
        <v>1.243</v>
      </c>
      <c r="I136" s="204" t="n"/>
      <c r="J136" s="204" t="n">
        <v>4</v>
      </c>
      <c r="K136" s="204" t="n">
        <v>6</v>
      </c>
      <c r="L136" s="204" t="n">
        <v>5</v>
      </c>
      <c r="M136" s="204" t="n">
        <v>8</v>
      </c>
    </row>
    <row r="137">
      <c r="A137" s="203" t="n">
        <v>40118</v>
      </c>
      <c r="B137" s="204" t="n">
        <v>1.231</v>
      </c>
      <c r="C137" s="204" t="n"/>
      <c r="D137" s="204" t="n"/>
      <c r="E137" s="204" t="n"/>
      <c r="F137" s="204" t="n"/>
      <c r="G137" s="204" t="n">
        <v>2.859</v>
      </c>
      <c r="H137" s="204" t="n">
        <v>1.231</v>
      </c>
      <c r="I137" s="204" t="n"/>
      <c r="J137" s="204" t="n">
        <v>4</v>
      </c>
      <c r="K137" s="204" t="n">
        <v>6</v>
      </c>
      <c r="L137" s="204" t="n">
        <v>5</v>
      </c>
      <c r="M137" s="204" t="n">
        <v>8</v>
      </c>
    </row>
    <row r="138">
      <c r="A138" s="203" t="n">
        <v>40148</v>
      </c>
      <c r="B138" s="204" t="n">
        <v>1.242</v>
      </c>
      <c r="C138" s="204" t="n"/>
      <c r="D138" s="204" t="n"/>
      <c r="E138" s="204" t="n"/>
      <c r="F138" s="204" t="n"/>
      <c r="G138" s="204" t="n">
        <v>2.819</v>
      </c>
      <c r="H138" s="204" t="n">
        <v>1.241</v>
      </c>
      <c r="I138" s="204" t="n"/>
      <c r="J138" s="204" t="n">
        <v>4</v>
      </c>
      <c r="K138" s="204" t="n">
        <v>6</v>
      </c>
      <c r="L138" s="204" t="n">
        <v>5</v>
      </c>
      <c r="M138" s="204" t="n">
        <v>8</v>
      </c>
    </row>
    <row r="139">
      <c r="A139" s="203" t="n">
        <v>40179</v>
      </c>
      <c r="B139" s="204" t="n">
        <v>1.232</v>
      </c>
      <c r="C139" s="204" t="n"/>
      <c r="D139" s="204" t="n"/>
      <c r="E139" s="204" t="n"/>
      <c r="F139" s="204" t="n"/>
      <c r="G139" s="204" t="n">
        <v>2.81</v>
      </c>
      <c r="H139" s="204" t="n">
        <v>1.232</v>
      </c>
      <c r="I139" s="204" t="n"/>
      <c r="J139" s="204" t="n">
        <v>4</v>
      </c>
      <c r="K139" s="204" t="n">
        <v>6</v>
      </c>
      <c r="L139" s="204" t="n">
        <v>5</v>
      </c>
      <c r="M139" s="204" t="n">
        <v>8</v>
      </c>
    </row>
    <row r="140">
      <c r="A140" s="203" t="n">
        <v>40210</v>
      </c>
      <c r="B140" s="204" t="n">
        <v>1.225</v>
      </c>
      <c r="C140" s="204" t="n"/>
      <c r="D140" s="204" t="n"/>
      <c r="E140" s="204" t="n"/>
      <c r="F140" s="204" t="n"/>
      <c r="G140" s="204" t="n">
        <v>2.813</v>
      </c>
      <c r="H140" s="204" t="n">
        <v>1.253</v>
      </c>
      <c r="I140" s="204" t="n"/>
      <c r="J140" s="204" t="n">
        <v>4</v>
      </c>
      <c r="K140" s="204" t="n">
        <v>6</v>
      </c>
      <c r="L140" s="204" t="n">
        <v>5</v>
      </c>
      <c r="M140" s="204" t="n">
        <v>8</v>
      </c>
    </row>
    <row r="141">
      <c r="A141" s="203" t="n">
        <v>40238</v>
      </c>
      <c r="B141" s="204" t="n">
        <v>1.215</v>
      </c>
      <c r="C141" s="204" t="n"/>
      <c r="D141" s="204" t="n"/>
      <c r="E141" s="204" t="n"/>
      <c r="F141" s="204" t="n"/>
      <c r="G141" s="204" t="n">
        <v>2.78</v>
      </c>
      <c r="H141" s="204" t="n">
        <v>1.199</v>
      </c>
      <c r="I141" s="204" t="n"/>
      <c r="J141" s="204" t="n">
        <v>4</v>
      </c>
      <c r="K141" s="204" t="n">
        <v>6</v>
      </c>
      <c r="L141" s="204" t="n">
        <v>5</v>
      </c>
      <c r="M141" s="204" t="n">
        <v>8</v>
      </c>
    </row>
    <row r="142">
      <c r="A142" s="203" t="n">
        <v>40269</v>
      </c>
      <c r="B142" s="204" t="n">
        <v>1.225</v>
      </c>
      <c r="C142" s="204" t="n"/>
      <c r="D142" s="204" t="n"/>
      <c r="E142" s="204" t="n"/>
      <c r="F142" s="204" t="n"/>
      <c r="G142" s="204" t="n">
        <v>2.786</v>
      </c>
      <c r="H142" s="204" t="n">
        <v>1.222</v>
      </c>
      <c r="I142" s="204" t="n"/>
      <c r="J142" s="204" t="n">
        <v>4</v>
      </c>
      <c r="K142" s="204" t="n">
        <v>6</v>
      </c>
      <c r="L142" s="204" t="n">
        <v>5</v>
      </c>
      <c r="M142" s="204" t="n">
        <v>8</v>
      </c>
    </row>
    <row r="143">
      <c r="A143" s="203" t="n">
        <v>40299</v>
      </c>
      <c r="B143" s="204" t="n">
        <v>1.249</v>
      </c>
      <c r="C143" s="204" t="n"/>
      <c r="D143" s="204" t="n"/>
      <c r="E143" s="204" t="n"/>
      <c r="F143" s="204" t="n"/>
      <c r="G143" s="204" t="n">
        <v>2.674</v>
      </c>
      <c r="H143" s="204" t="n">
        <v>1.249</v>
      </c>
      <c r="I143" s="204" t="n"/>
      <c r="J143" s="204" t="n">
        <v>4</v>
      </c>
      <c r="K143" s="204" t="n">
        <v>6</v>
      </c>
      <c r="L143" s="204" t="n">
        <v>5</v>
      </c>
      <c r="M143" s="204" t="n">
        <v>8</v>
      </c>
    </row>
    <row r="144">
      <c r="A144" s="203" t="n">
        <v>40330</v>
      </c>
      <c r="B144" s="204" t="n">
        <v>1.281</v>
      </c>
      <c r="C144" s="204" t="n"/>
      <c r="D144" s="204" t="n"/>
      <c r="E144" s="204" t="n"/>
      <c r="F144" s="204" t="n"/>
      <c r="G144" s="204" t="n">
        <v>2.709</v>
      </c>
      <c r="H144" s="204" t="n">
        <v>1.281</v>
      </c>
      <c r="I144" s="204" t="n"/>
      <c r="J144" s="204" t="n">
        <v>4</v>
      </c>
      <c r="K144" s="204" t="n">
        <v>6</v>
      </c>
      <c r="L144" s="204" t="n">
        <v>5</v>
      </c>
      <c r="M144" s="204" t="n">
        <v>8</v>
      </c>
    </row>
    <row r="145">
      <c r="A145" s="203" t="n">
        <v>40360</v>
      </c>
      <c r="B145" s="204" t="n">
        <v>1.373</v>
      </c>
      <c r="C145" s="204" t="n"/>
      <c r="D145" s="204" t="n"/>
      <c r="E145" s="204" t="n"/>
      <c r="F145" s="204" t="n"/>
      <c r="G145" s="204" t="n">
        <v>2.705</v>
      </c>
      <c r="H145" s="204" t="n">
        <v>1.373</v>
      </c>
      <c r="I145" s="204" t="n"/>
      <c r="J145" s="204" t="n">
        <v>4</v>
      </c>
      <c r="K145" s="204" t="n">
        <v>6</v>
      </c>
      <c r="L145" s="204" t="n">
        <v>5</v>
      </c>
      <c r="M145" s="204" t="n">
        <v>8</v>
      </c>
    </row>
    <row r="146">
      <c r="A146" s="203" t="n">
        <v>40391</v>
      </c>
      <c r="B146" s="204" t="n">
        <v>1.421</v>
      </c>
      <c r="C146" s="204" t="n"/>
      <c r="D146" s="204" t="n"/>
      <c r="E146" s="204" t="n"/>
      <c r="F146" s="204" t="n"/>
      <c r="G146" s="204" t="n">
        <v>2.766</v>
      </c>
      <c r="H146" s="204" t="n">
        <v>1.421</v>
      </c>
      <c r="I146" s="204" t="n"/>
      <c r="J146" s="204" t="n">
        <v>4</v>
      </c>
      <c r="K146" s="204" t="n">
        <v>6</v>
      </c>
      <c r="L146" s="204" t="n">
        <v>5</v>
      </c>
      <c r="M146" s="204" t="n">
        <v>8</v>
      </c>
    </row>
    <row r="147">
      <c r="A147" s="203" t="n">
        <v>40422</v>
      </c>
      <c r="B147" s="204" t="n">
        <v>1.42</v>
      </c>
      <c r="C147" s="204" t="n"/>
      <c r="D147" s="204" t="n"/>
      <c r="E147" s="204" t="n"/>
      <c r="F147" s="204" t="n"/>
      <c r="G147" s="204" t="n">
        <v>2.799</v>
      </c>
      <c r="H147" s="204" t="n">
        <v>1.418</v>
      </c>
      <c r="I147" s="204" t="n"/>
      <c r="J147" s="204" t="n">
        <v>4</v>
      </c>
      <c r="K147" s="204" t="n">
        <v>6</v>
      </c>
      <c r="L147" s="204" t="n">
        <v>5</v>
      </c>
      <c r="M147" s="204" t="n">
        <v>8</v>
      </c>
    </row>
    <row r="148">
      <c r="A148" s="203" t="n">
        <v>40452</v>
      </c>
      <c r="B148" s="204" t="n">
        <v>1.495</v>
      </c>
      <c r="C148" s="204" t="n"/>
      <c r="D148" s="204" t="n"/>
      <c r="E148" s="204" t="n"/>
      <c r="F148" s="204" t="n"/>
      <c r="G148" s="204" t="n">
        <v>2.795</v>
      </c>
      <c r="H148" s="204" t="n">
        <v>1.491</v>
      </c>
      <c r="I148" s="204" t="n"/>
      <c r="J148" s="204" t="n">
        <v>4</v>
      </c>
      <c r="K148" s="204" t="n">
        <v>6</v>
      </c>
      <c r="L148" s="204" t="n">
        <v>5</v>
      </c>
      <c r="M148" s="204" t="n">
        <v>8</v>
      </c>
    </row>
    <row r="149">
      <c r="A149" s="203" t="n">
        <v>40483</v>
      </c>
      <c r="B149" s="204" t="n">
        <v>1.54</v>
      </c>
      <c r="C149" s="204" t="n"/>
      <c r="D149" s="204" t="n"/>
      <c r="E149" s="204" t="n"/>
      <c r="F149" s="204" t="n"/>
      <c r="G149" s="204" t="n">
        <v>2.825</v>
      </c>
      <c r="H149" s="204" t="n">
        <v>1.541</v>
      </c>
      <c r="I149" s="204" t="n"/>
      <c r="J149" s="204" t="n">
        <v>4</v>
      </c>
      <c r="K149" s="204" t="n">
        <v>6</v>
      </c>
      <c r="L149" s="204" t="n">
        <v>5</v>
      </c>
      <c r="M149" s="204" t="n">
        <v>8</v>
      </c>
    </row>
    <row r="150">
      <c r="A150" s="203" t="n">
        <v>40513</v>
      </c>
      <c r="B150" s="204" t="n">
        <v>1.526</v>
      </c>
      <c r="C150" s="204" t="n"/>
      <c r="D150" s="204" t="n"/>
      <c r="E150" s="204" t="n"/>
      <c r="F150" s="204" t="n"/>
      <c r="G150" s="204" t="n">
        <v>2.774</v>
      </c>
      <c r="H150" s="204" t="n">
        <v>1.525</v>
      </c>
      <c r="I150" s="204" t="n"/>
      <c r="J150" s="204" t="n">
        <v>4</v>
      </c>
      <c r="K150" s="204" t="n">
        <v>6</v>
      </c>
      <c r="L150" s="204" t="n">
        <v>5</v>
      </c>
      <c r="M150" s="204" t="n">
        <v>8</v>
      </c>
    </row>
    <row r="151">
      <c r="A151" s="203" t="n">
        <v>40544</v>
      </c>
      <c r="B151" s="204" t="n">
        <v>1.55</v>
      </c>
      <c r="C151" s="204" t="n"/>
      <c r="D151" s="204" t="n"/>
      <c r="E151" s="204" t="n"/>
      <c r="F151" s="204" t="n"/>
      <c r="G151" s="204" t="n">
        <v>2.918</v>
      </c>
      <c r="H151" s="204" t="n">
        <v>1.55</v>
      </c>
      <c r="I151" s="204" t="n"/>
      <c r="J151" s="204" t="n">
        <v>4</v>
      </c>
      <c r="K151" s="204" t="n">
        <v>6</v>
      </c>
      <c r="L151" s="204" t="n">
        <v>5</v>
      </c>
      <c r="M151" s="204" t="n">
        <v>8</v>
      </c>
    </row>
    <row r="152">
      <c r="A152" s="203" t="n">
        <v>40575</v>
      </c>
      <c r="B152" s="204" t="n">
        <v>1.714</v>
      </c>
      <c r="C152" s="204" t="n"/>
      <c r="D152" s="204" t="n"/>
      <c r="E152" s="204" t="n"/>
      <c r="F152" s="204" t="n"/>
      <c r="G152" s="204" t="n">
        <v>2.962</v>
      </c>
      <c r="H152" s="204" t="n">
        <v>1.714</v>
      </c>
      <c r="I152" s="204" t="n"/>
      <c r="J152" s="204" t="n">
        <v>4</v>
      </c>
      <c r="K152" s="204" t="n">
        <v>6</v>
      </c>
      <c r="L152" s="204" t="n">
        <v>5</v>
      </c>
      <c r="M152" s="204" t="n">
        <v>8</v>
      </c>
    </row>
    <row r="153">
      <c r="A153" s="203" t="n">
        <v>40603</v>
      </c>
      <c r="B153" s="204" t="n">
        <v>1.924</v>
      </c>
      <c r="C153" s="204" t="n"/>
      <c r="D153" s="204" t="n"/>
      <c r="E153" s="204" t="n"/>
      <c r="F153" s="204" t="n"/>
      <c r="G153" s="204" t="n">
        <v>3.12</v>
      </c>
      <c r="H153" s="204" t="n">
        <v>1.924</v>
      </c>
      <c r="I153" s="204" t="n"/>
      <c r="J153" s="204" t="n">
        <v>4</v>
      </c>
      <c r="K153" s="204" t="n">
        <v>6</v>
      </c>
      <c r="L153" s="204" t="n">
        <v>5</v>
      </c>
      <c r="M153" s="204" t="n">
        <v>8</v>
      </c>
    </row>
    <row r="154">
      <c r="A154" s="203" t="n">
        <v>40634</v>
      </c>
      <c r="B154" s="204" t="n">
        <v>2.086</v>
      </c>
      <c r="C154" s="204" t="n"/>
      <c r="D154" s="204" t="n"/>
      <c r="E154" s="204" t="n"/>
      <c r="F154" s="204" t="n"/>
      <c r="G154" s="204" t="n">
        <v>3.226</v>
      </c>
      <c r="H154" s="204" t="n">
        <v>2.085</v>
      </c>
      <c r="I154" s="204" t="n"/>
      <c r="J154" s="204" t="n">
        <v>4</v>
      </c>
      <c r="K154" s="204" t="n">
        <v>6</v>
      </c>
      <c r="L154" s="204" t="n">
        <v>5</v>
      </c>
      <c r="M154" s="204" t="n">
        <v>8</v>
      </c>
    </row>
    <row r="155">
      <c r="A155" s="203" t="n">
        <v>40664</v>
      </c>
      <c r="B155" s="204" t="n">
        <v>2.147</v>
      </c>
      <c r="C155" s="204" t="n"/>
      <c r="D155" s="204" t="n"/>
      <c r="E155" s="204" t="n"/>
      <c r="F155" s="204" t="n"/>
      <c r="G155" s="204" t="n">
        <v>3.355</v>
      </c>
      <c r="H155" s="204" t="n">
        <v>2.154</v>
      </c>
      <c r="I155" s="204" t="n"/>
      <c r="J155" s="204" t="n">
        <v>4</v>
      </c>
      <c r="K155" s="204" t="n">
        <v>6</v>
      </c>
      <c r="L155" s="204" t="n">
        <v>5</v>
      </c>
      <c r="M155" s="204" t="n">
        <v>8</v>
      </c>
    </row>
    <row r="156">
      <c r="A156" s="203" t="n">
        <v>40695</v>
      </c>
      <c r="B156" s="204" t="n">
        <v>2.144</v>
      </c>
      <c r="C156" s="204" t="n"/>
      <c r="D156" s="204" t="n"/>
      <c r="E156" s="204" t="n"/>
      <c r="F156" s="204" t="n"/>
      <c r="G156" s="204" t="n">
        <v>3.458</v>
      </c>
      <c r="H156" s="204" t="n">
        <v>2.144</v>
      </c>
      <c r="I156" s="204" t="n"/>
      <c r="J156" s="204" t="n">
        <v>4</v>
      </c>
      <c r="K156" s="204" t="n">
        <v>6</v>
      </c>
      <c r="L156" s="204" t="n">
        <v>5</v>
      </c>
      <c r="M156" s="204" t="n">
        <v>8</v>
      </c>
    </row>
    <row r="157">
      <c r="A157" s="203" t="n">
        <v>40725</v>
      </c>
      <c r="B157" s="204" t="n">
        <v>2.183</v>
      </c>
      <c r="C157" s="204" t="n"/>
      <c r="D157" s="204" t="n"/>
      <c r="E157" s="204" t="n"/>
      <c r="F157" s="204" t="n"/>
      <c r="G157" s="204" t="n">
        <v>3.54</v>
      </c>
      <c r="H157" s="204" t="n">
        <v>2.226</v>
      </c>
      <c r="I157" s="204" t="n"/>
      <c r="J157" s="204" t="n">
        <v>4</v>
      </c>
      <c r="K157" s="204" t="n">
        <v>6</v>
      </c>
      <c r="L157" s="204" t="n">
        <v>5</v>
      </c>
      <c r="M157" s="204" t="n">
        <v>8.25</v>
      </c>
    </row>
    <row r="158">
      <c r="A158" s="203" t="n">
        <v>40756</v>
      </c>
      <c r="B158" s="204" t="n">
        <v>2.097</v>
      </c>
      <c r="C158" s="204" t="n"/>
      <c r="D158" s="204" t="n"/>
      <c r="E158" s="204" t="n"/>
      <c r="F158" s="204" t="n"/>
      <c r="G158" s="204" t="n">
        <v>3.533</v>
      </c>
      <c r="H158" s="204" t="n">
        <v>2.137</v>
      </c>
      <c r="I158" s="204" t="n"/>
      <c r="J158" s="204" t="n">
        <v>4</v>
      </c>
      <c r="K158" s="204" t="n">
        <v>6</v>
      </c>
      <c r="L158" s="204" t="n">
        <v>5</v>
      </c>
      <c r="M158" s="204" t="n">
        <v>8.25</v>
      </c>
    </row>
    <row r="159">
      <c r="A159" s="203" t="n">
        <v>40787</v>
      </c>
      <c r="B159" s="204" t="n">
        <v>2.067</v>
      </c>
      <c r="C159" s="204" t="n"/>
      <c r="D159" s="204" t="n"/>
      <c r="E159" s="204" t="n"/>
      <c r="F159" s="204" t="n"/>
      <c r="G159" s="204" t="n">
        <v>3.57</v>
      </c>
      <c r="H159" s="204" t="n">
        <v>2.208</v>
      </c>
      <c r="I159" s="204" t="n"/>
      <c r="J159" s="204" t="n">
        <v>4</v>
      </c>
      <c r="K159" s="204" t="n">
        <v>6</v>
      </c>
      <c r="L159" s="204" t="n">
        <v>5</v>
      </c>
      <c r="M159" s="204" t="n">
        <v>8.25</v>
      </c>
    </row>
    <row r="160">
      <c r="A160" s="203" t="n">
        <v>40817</v>
      </c>
      <c r="B160" s="204" t="n">
        <v>2.11</v>
      </c>
      <c r="C160" s="204" t="n"/>
      <c r="D160" s="204" t="n"/>
      <c r="E160" s="204" t="n"/>
      <c r="F160" s="204" t="n"/>
      <c r="G160" s="204" t="n">
        <v>3.586</v>
      </c>
      <c r="H160" s="204" t="n">
        <v>2.11</v>
      </c>
      <c r="I160" s="204" t="n"/>
      <c r="J160" s="204" t="n">
        <v>4</v>
      </c>
      <c r="K160" s="204" t="n">
        <v>6</v>
      </c>
      <c r="L160" s="204" t="n">
        <v>5</v>
      </c>
      <c r="M160" s="204" t="n">
        <v>8.25</v>
      </c>
    </row>
    <row r="161">
      <c r="A161" s="203" t="n">
        <v>40848</v>
      </c>
      <c r="B161" s="204" t="n">
        <v>2.044</v>
      </c>
      <c r="C161" s="204" t="n"/>
      <c r="D161" s="204" t="n"/>
      <c r="E161" s="204" t="n"/>
      <c r="F161" s="204" t="n"/>
      <c r="G161" s="204" t="n">
        <v>3.696</v>
      </c>
      <c r="H161" s="204" t="n">
        <v>2.092</v>
      </c>
      <c r="I161" s="204" t="n"/>
      <c r="J161" s="204" t="n">
        <v>4</v>
      </c>
      <c r="K161" s="204" t="n">
        <v>6</v>
      </c>
      <c r="L161" s="204" t="n">
        <v>5</v>
      </c>
      <c r="M161" s="204" t="n">
        <v>8.25</v>
      </c>
    </row>
    <row r="162">
      <c r="A162" s="203" t="n">
        <v>40878</v>
      </c>
      <c r="B162" s="204" t="n">
        <v>2.004</v>
      </c>
      <c r="C162" s="204" t="n"/>
      <c r="D162" s="204" t="n"/>
      <c r="E162" s="204" t="n"/>
      <c r="F162" s="204" t="n"/>
      <c r="G162" s="204" t="n">
        <v>3.626</v>
      </c>
      <c r="H162" s="204" t="n">
        <v>2.004</v>
      </c>
      <c r="I162" s="204" t="n"/>
      <c r="J162" s="204" t="n">
        <v>4</v>
      </c>
      <c r="K162" s="204" t="n">
        <v>6</v>
      </c>
      <c r="L162" s="204" t="n">
        <v>5</v>
      </c>
      <c r="M162" s="204" t="n">
        <v>8.25</v>
      </c>
    </row>
    <row r="163">
      <c r="A163" s="203" t="n">
        <v>40909</v>
      </c>
      <c r="B163" s="204" t="n">
        <v>1.837</v>
      </c>
      <c r="C163" s="204" t="n"/>
      <c r="D163" s="204" t="n"/>
      <c r="E163" s="204" t="n"/>
      <c r="F163" s="204" t="n"/>
      <c r="G163" s="204" t="n">
        <v>3.716</v>
      </c>
      <c r="H163" s="204" t="n">
        <v>1.837</v>
      </c>
      <c r="I163" s="204" t="n"/>
      <c r="J163" s="204" t="n">
        <v>4</v>
      </c>
      <c r="K163" s="204" t="n">
        <v>6</v>
      </c>
      <c r="L163" s="204" t="n">
        <v>5</v>
      </c>
      <c r="M163" s="204" t="n">
        <v>8</v>
      </c>
    </row>
    <row r="164">
      <c r="A164" s="203" t="n">
        <v>40940</v>
      </c>
      <c r="B164" s="204" t="n">
        <v>1.678</v>
      </c>
      <c r="C164" s="204" t="n"/>
      <c r="D164" s="204" t="n"/>
      <c r="E164" s="204" t="n"/>
      <c r="F164" s="204" t="n"/>
      <c r="G164" s="204" t="n">
        <v>3.737</v>
      </c>
      <c r="H164" s="204" t="n">
        <v>1.679</v>
      </c>
      <c r="I164" s="204" t="n"/>
      <c r="J164" s="204" t="n">
        <v>4</v>
      </c>
      <c r="K164" s="204" t="n">
        <v>6</v>
      </c>
      <c r="L164" s="204" t="n">
        <v>5</v>
      </c>
      <c r="M164" s="204" t="n">
        <v>8</v>
      </c>
    </row>
    <row r="165">
      <c r="A165" s="203" t="n">
        <v>40969</v>
      </c>
      <c r="B165" s="204" t="n">
        <v>1.499</v>
      </c>
      <c r="C165" s="204" t="n"/>
      <c r="D165" s="204" t="n"/>
      <c r="E165" s="204" t="n"/>
      <c r="F165" s="204" t="n"/>
      <c r="G165" s="204" t="n">
        <v>3.624</v>
      </c>
      <c r="H165" s="204" t="n">
        <v>1.498</v>
      </c>
      <c r="I165" s="204" t="n"/>
      <c r="J165" s="204" t="n">
        <v>4</v>
      </c>
      <c r="K165" s="204" t="n">
        <v>6</v>
      </c>
      <c r="L165" s="204" t="n">
        <v>5</v>
      </c>
      <c r="M165" s="204" t="n">
        <v>8</v>
      </c>
    </row>
    <row r="166">
      <c r="A166" s="203" t="n">
        <v>41000</v>
      </c>
      <c r="B166" s="204" t="n">
        <v>1.368</v>
      </c>
      <c r="C166" s="204" t="n"/>
      <c r="D166" s="204" t="n"/>
      <c r="E166" s="204" t="n"/>
      <c r="F166" s="204" t="n"/>
      <c r="G166" s="204" t="n">
        <v>3.617</v>
      </c>
      <c r="H166" s="204" t="n">
        <v>1.368</v>
      </c>
      <c r="I166" s="204" t="n"/>
      <c r="J166" s="204" t="n">
        <v>4</v>
      </c>
      <c r="K166" s="204" t="n">
        <v>6</v>
      </c>
      <c r="L166" s="204" t="n">
        <v>5</v>
      </c>
      <c r="M166" s="204" t="n">
        <v>8</v>
      </c>
    </row>
    <row r="167">
      <c r="A167" s="203" t="n">
        <v>41030</v>
      </c>
      <c r="B167" s="204" t="n">
        <v>1.266</v>
      </c>
      <c r="C167" s="204" t="n"/>
      <c r="D167" s="204" t="n"/>
      <c r="E167" s="204" t="n"/>
      <c r="F167" s="204" t="n"/>
      <c r="G167" s="204" t="n">
        <v>3.453</v>
      </c>
      <c r="H167" s="204" t="n">
        <v>1.266</v>
      </c>
      <c r="I167" s="204" t="n"/>
      <c r="J167" s="204" t="n">
        <v>4</v>
      </c>
      <c r="K167" s="204" t="n">
        <v>6</v>
      </c>
      <c r="L167" s="204" t="n">
        <v>5</v>
      </c>
      <c r="M167" s="204" t="n">
        <v>8</v>
      </c>
    </row>
    <row r="168">
      <c r="A168" s="203" t="n">
        <v>41061</v>
      </c>
      <c r="B168" s="204" t="n">
        <v>1.219</v>
      </c>
      <c r="C168" s="204" t="n"/>
      <c r="D168" s="204" t="n"/>
      <c r="E168" s="204" t="n"/>
      <c r="F168" s="204" t="n"/>
      <c r="G168" s="204" t="n">
        <v>3.481</v>
      </c>
      <c r="H168" s="204" t="n">
        <v>1.219</v>
      </c>
      <c r="I168" s="204" t="n"/>
      <c r="J168" s="204" t="n">
        <v>4</v>
      </c>
      <c r="K168" s="204" t="n">
        <v>6</v>
      </c>
      <c r="L168" s="204" t="n">
        <v>5</v>
      </c>
      <c r="M168" s="204" t="n">
        <v>8</v>
      </c>
    </row>
    <row r="169">
      <c r="A169" s="203" t="n">
        <v>41091</v>
      </c>
      <c r="B169" s="204" t="n">
        <v>1.061</v>
      </c>
      <c r="C169" s="204" t="n"/>
      <c r="D169" s="204" t="n"/>
      <c r="E169" s="204" t="n"/>
      <c r="F169" s="204" t="n"/>
      <c r="G169" s="204" t="n">
        <v>3.488</v>
      </c>
      <c r="H169" s="204" t="n">
        <v>1.061</v>
      </c>
      <c r="I169" s="204" t="n"/>
      <c r="J169" s="204" t="n">
        <v>4</v>
      </c>
      <c r="K169" s="204" t="n">
        <v>6</v>
      </c>
      <c r="L169" s="204" t="n">
        <v>5</v>
      </c>
      <c r="M169" s="204" t="n">
        <v>8</v>
      </c>
    </row>
    <row r="170">
      <c r="A170" s="203" t="n">
        <v>41122</v>
      </c>
      <c r="B170" s="204" t="n">
        <v>0.877</v>
      </c>
      <c r="C170" s="204" t="n"/>
      <c r="D170" s="204" t="n"/>
      <c r="E170" s="204" t="n"/>
      <c r="F170" s="204" t="n"/>
      <c r="G170" s="204" t="n">
        <v>3.43</v>
      </c>
      <c r="H170" s="204" t="n">
        <v>0.877</v>
      </c>
      <c r="I170" s="204" t="n"/>
      <c r="J170" s="204" t="n">
        <v>4</v>
      </c>
      <c r="K170" s="204" t="n">
        <v>6</v>
      </c>
      <c r="L170" s="204" t="n">
        <v>5</v>
      </c>
      <c r="M170" s="204" t="n">
        <v>8</v>
      </c>
    </row>
    <row r="171">
      <c r="A171" s="203" t="n">
        <v>41153</v>
      </c>
      <c r="B171" s="204" t="n">
        <v>0.74</v>
      </c>
      <c r="C171" s="204" t="n"/>
      <c r="D171" s="204" t="n"/>
      <c r="E171" s="204" t="n"/>
      <c r="F171" s="204" t="n"/>
      <c r="G171" s="204" t="n">
        <v>3.347</v>
      </c>
      <c r="H171" s="204" t="n">
        <v>0.74</v>
      </c>
      <c r="I171" s="204" t="n"/>
      <c r="J171" s="204" t="n">
        <v>4</v>
      </c>
      <c r="K171" s="204" t="n">
        <v>6</v>
      </c>
      <c r="L171" s="204" t="n">
        <v>5</v>
      </c>
      <c r="M171" s="204" t="n">
        <v>8</v>
      </c>
    </row>
    <row r="172">
      <c r="A172" s="203" t="n">
        <v>41183</v>
      </c>
      <c r="B172" s="204" t="n">
        <v>0.65</v>
      </c>
      <c r="C172" s="204" t="n"/>
      <c r="D172" s="204" t="n"/>
      <c r="E172" s="204" t="n"/>
      <c r="F172" s="204" t="n"/>
      <c r="G172" s="204" t="n">
        <v>3.078</v>
      </c>
      <c r="H172" s="204" t="n">
        <v>0.65</v>
      </c>
      <c r="I172" s="204" t="n"/>
      <c r="J172" s="204" t="n">
        <v>4</v>
      </c>
      <c r="K172" s="204" t="n">
        <v>6</v>
      </c>
      <c r="L172" s="204" t="n">
        <v>5</v>
      </c>
      <c r="M172" s="204" t="n">
        <v>8</v>
      </c>
    </row>
    <row r="173">
      <c r="A173" s="203" t="n">
        <v>41214</v>
      </c>
      <c r="B173" s="204" t="n">
        <v>0.588</v>
      </c>
      <c r="C173" s="204" t="n"/>
      <c r="D173" s="204" t="n"/>
      <c r="E173" s="204" t="n"/>
      <c r="F173" s="204" t="n"/>
      <c r="G173" s="204" t="n">
        <v>2.992</v>
      </c>
      <c r="H173" s="204" t="n">
        <v>0.588</v>
      </c>
      <c r="I173" s="204" t="n"/>
      <c r="J173" s="204" t="n">
        <v>4</v>
      </c>
      <c r="K173" s="204" t="n">
        <v>6</v>
      </c>
      <c r="L173" s="204" t="n">
        <v>5</v>
      </c>
      <c r="M173" s="204" t="n">
        <v>8</v>
      </c>
    </row>
    <row r="174">
      <c r="A174" s="203" t="n">
        <v>41244</v>
      </c>
      <c r="B174" s="204" t="n">
        <v>0.549</v>
      </c>
      <c r="C174" s="204" t="n"/>
      <c r="D174" s="204" t="n"/>
      <c r="E174" s="204" t="n"/>
      <c r="F174" s="204" t="n"/>
      <c r="G174" s="204" t="n">
        <v>3.023</v>
      </c>
      <c r="H174" s="204" t="n">
        <v>0.549</v>
      </c>
      <c r="I174" s="204" t="n"/>
      <c r="J174" s="204" t="n">
        <v>4</v>
      </c>
      <c r="K174" s="204" t="n">
        <v>6</v>
      </c>
      <c r="L174" s="204" t="n">
        <v>5</v>
      </c>
      <c r="M174" s="204" t="n">
        <v>8</v>
      </c>
    </row>
    <row r="175">
      <c r="A175" s="203" t="n">
        <v>41275</v>
      </c>
      <c r="B175" s="204" t="n">
        <v>0.575</v>
      </c>
      <c r="C175" s="204" t="n"/>
      <c r="D175" s="204" t="n"/>
      <c r="E175" s="204" t="n"/>
      <c r="F175" s="204" t="n"/>
      <c r="G175" s="204" t="n">
        <v>3.216</v>
      </c>
      <c r="H175" s="204" t="n">
        <v>0.575</v>
      </c>
      <c r="I175" s="204" t="n"/>
      <c r="J175" s="204" t="n">
        <v>4</v>
      </c>
      <c r="K175" s="204" t="n">
        <v>6</v>
      </c>
      <c r="L175" s="204" t="n">
        <v>5</v>
      </c>
      <c r="M175" s="204" t="n">
        <v>7.75</v>
      </c>
    </row>
    <row r="176">
      <c r="A176" s="203" t="n">
        <v>41306</v>
      </c>
      <c r="B176" s="204" t="n">
        <v>0.594</v>
      </c>
      <c r="C176" s="204" t="n"/>
      <c r="D176" s="204" t="n"/>
      <c r="E176" s="204" t="n"/>
      <c r="F176" s="204" t="n"/>
      <c r="G176" s="204" t="n">
        <v>3.219</v>
      </c>
      <c r="H176" s="204" t="n">
        <v>0.594</v>
      </c>
      <c r="I176" s="204" t="n"/>
      <c r="J176" s="204" t="n">
        <v>4</v>
      </c>
      <c r="K176" s="204" t="n">
        <v>6</v>
      </c>
      <c r="L176" s="204" t="n">
        <v>5</v>
      </c>
      <c r="M176" s="204" t="n">
        <v>7.75</v>
      </c>
    </row>
    <row r="177">
      <c r="A177" s="203" t="n">
        <v>41334</v>
      </c>
      <c r="B177" s="204" t="n">
        <v>0.545</v>
      </c>
      <c r="C177" s="204" t="n"/>
      <c r="D177" s="204" t="n"/>
      <c r="E177" s="204" t="n"/>
      <c r="F177" s="204" t="n"/>
      <c r="G177" s="204" t="n">
        <v>3.415</v>
      </c>
      <c r="H177" s="204" t="n">
        <v>0.545</v>
      </c>
      <c r="I177" s="204" t="n"/>
      <c r="J177" s="204" t="n">
        <v>4</v>
      </c>
      <c r="K177" s="204" t="n">
        <v>6</v>
      </c>
      <c r="L177" s="204" t="n">
        <v>5</v>
      </c>
      <c r="M177" s="204" t="n">
        <v>8.75</v>
      </c>
    </row>
    <row r="178">
      <c r="A178" s="203" t="n">
        <v>41365</v>
      </c>
      <c r="B178" s="204" t="n">
        <v>0.528</v>
      </c>
      <c r="C178" s="204" t="n"/>
      <c r="D178" s="204" t="n"/>
      <c r="E178" s="204" t="n"/>
      <c r="F178" s="204" t="n"/>
      <c r="G178" s="204" t="n">
        <v>3.378</v>
      </c>
      <c r="H178" s="204" t="n">
        <v>0.528</v>
      </c>
      <c r="I178" s="204" t="n"/>
      <c r="J178" s="204" t="n">
        <v>4</v>
      </c>
      <c r="K178" s="204" t="n">
        <v>6</v>
      </c>
      <c r="L178" s="204" t="n">
        <v>5</v>
      </c>
      <c r="M178" s="204" t="n">
        <v>8.75</v>
      </c>
    </row>
    <row r="179">
      <c r="A179" s="203" t="n">
        <v>41395</v>
      </c>
      <c r="B179" s="204" t="n">
        <v>0.484</v>
      </c>
      <c r="C179" s="204" t="n"/>
      <c r="D179" s="204" t="n"/>
      <c r="E179" s="204" t="n"/>
      <c r="F179" s="204" t="n"/>
      <c r="G179" s="204" t="n">
        <v>3.331</v>
      </c>
      <c r="H179" s="204" t="n">
        <v>0.484</v>
      </c>
      <c r="I179" s="204" t="n"/>
      <c r="J179" s="204" t="n">
        <v>4</v>
      </c>
      <c r="K179" s="204" t="n">
        <v>6</v>
      </c>
      <c r="L179" s="204" t="n">
        <v>5</v>
      </c>
      <c r="M179" s="204" t="n">
        <v>8.75</v>
      </c>
    </row>
    <row r="180">
      <c r="A180" s="203" t="n">
        <v>41426</v>
      </c>
      <c r="B180" s="204" t="n">
        <v>0.507</v>
      </c>
      <c r="C180" s="204" t="n"/>
      <c r="D180" s="204" t="n"/>
      <c r="E180" s="204" t="n"/>
      <c r="F180" s="204" t="n"/>
      <c r="G180" s="204" t="n">
        <v>3.363</v>
      </c>
      <c r="H180" s="204" t="n">
        <v>0.507</v>
      </c>
      <c r="I180" s="204" t="n"/>
      <c r="J180" s="204" t="n">
        <v>4</v>
      </c>
      <c r="K180" s="204" t="n">
        <v>6</v>
      </c>
      <c r="L180" s="204" t="n">
        <v>5</v>
      </c>
      <c r="M180" s="204" t="n">
        <v>8.75</v>
      </c>
    </row>
    <row r="181">
      <c r="A181" s="203" t="n">
        <v>41456</v>
      </c>
      <c r="B181" s="204" t="n">
        <v>0.525</v>
      </c>
      <c r="C181" s="204" t="n"/>
      <c r="D181" s="204" t="n"/>
      <c r="E181" s="204" t="n"/>
      <c r="F181" s="204" t="n"/>
      <c r="G181" s="204" t="n">
        <v>3.438</v>
      </c>
      <c r="H181" s="204" t="n">
        <v>0.526</v>
      </c>
      <c r="I181" s="204" t="n"/>
      <c r="J181" s="204" t="n">
        <v>4</v>
      </c>
      <c r="K181" s="204" t="n">
        <v>6</v>
      </c>
      <c r="L181" s="204" t="n">
        <v>5</v>
      </c>
      <c r="M181" s="204" t="n">
        <v>8.5</v>
      </c>
    </row>
    <row r="182">
      <c r="A182" s="203" t="n">
        <v>41487</v>
      </c>
      <c r="B182" s="204" t="n">
        <v>0.542</v>
      </c>
      <c r="C182" s="204" t="n"/>
      <c r="D182" s="204" t="n"/>
      <c r="E182" s="204" t="n"/>
      <c r="F182" s="204" t="n"/>
      <c r="G182" s="204" t="n">
        <v>3.474</v>
      </c>
      <c r="H182" s="204" t="n">
        <v>0.542</v>
      </c>
      <c r="I182" s="204" t="n"/>
      <c r="J182" s="204" t="n">
        <v>4</v>
      </c>
      <c r="K182" s="204" t="n">
        <v>6</v>
      </c>
      <c r="L182" s="204" t="n">
        <v>5</v>
      </c>
      <c r="M182" s="204" t="n">
        <v>8.5</v>
      </c>
    </row>
    <row r="183">
      <c r="A183" s="203" t="n">
        <v>41518</v>
      </c>
      <c r="B183" s="204" t="n">
        <v>0.543</v>
      </c>
      <c r="C183" s="204" t="n"/>
      <c r="D183" s="204" t="n"/>
      <c r="E183" s="204" t="n"/>
      <c r="F183" s="204" t="n"/>
      <c r="G183" s="204" t="n">
        <v>3.467</v>
      </c>
      <c r="H183" s="204" t="n">
        <v>0.543</v>
      </c>
      <c r="I183" s="204" t="n"/>
      <c r="J183" s="204" t="n">
        <v>4</v>
      </c>
      <c r="K183" s="204" t="n">
        <v>6</v>
      </c>
      <c r="L183" s="204" t="n">
        <v>5</v>
      </c>
      <c r="M183" s="204" t="n">
        <v>8.5</v>
      </c>
    </row>
    <row r="184">
      <c r="A184" s="203" t="n">
        <v>41548</v>
      </c>
      <c r="B184" s="204" t="n">
        <v>0.541</v>
      </c>
      <c r="C184" s="204" t="n"/>
      <c r="D184" s="204" t="n"/>
      <c r="E184" s="204" t="n"/>
      <c r="F184" s="204" t="n"/>
      <c r="G184" s="204" t="n">
        <v>3.252</v>
      </c>
      <c r="H184" s="204" t="n">
        <v>0.541</v>
      </c>
      <c r="I184" s="204" t="n"/>
      <c r="J184" s="204" t="n">
        <v>4</v>
      </c>
      <c r="K184" s="204" t="n">
        <v>6</v>
      </c>
      <c r="L184" s="204" t="n">
        <v>5</v>
      </c>
      <c r="M184" s="204" t="n">
        <v>8.5</v>
      </c>
    </row>
    <row r="185">
      <c r="A185" s="203" t="n">
        <v>41579</v>
      </c>
      <c r="B185" s="204" t="n">
        <v>0.506</v>
      </c>
      <c r="C185" s="204" t="n"/>
      <c r="D185" s="204" t="n"/>
      <c r="E185" s="204" t="n"/>
      <c r="F185" s="204" t="n"/>
      <c r="G185" s="204" t="n">
        <v>3.393</v>
      </c>
      <c r="H185" s="204" t="n">
        <v>0.506</v>
      </c>
      <c r="I185" s="204" t="n"/>
      <c r="J185" s="204" t="n">
        <v>4</v>
      </c>
      <c r="K185" s="204" t="n">
        <v>6</v>
      </c>
      <c r="L185" s="204" t="n">
        <v>5</v>
      </c>
      <c r="M185" s="204" t="n">
        <v>8.5</v>
      </c>
    </row>
    <row r="186">
      <c r="A186" s="203" t="n">
        <v>41609</v>
      </c>
      <c r="B186" s="204" t="n">
        <v>0.543</v>
      </c>
      <c r="C186" s="204" t="n"/>
      <c r="D186" s="204" t="n"/>
      <c r="E186" s="204" t="n"/>
      <c r="F186" s="204" t="n"/>
      <c r="G186" s="204" t="n">
        <v>3.287</v>
      </c>
      <c r="H186" s="204" t="n">
        <v>0.543</v>
      </c>
      <c r="I186" s="204" t="n"/>
      <c r="J186" s="204" t="n">
        <v>4</v>
      </c>
      <c r="K186" s="204" t="n">
        <v>6</v>
      </c>
      <c r="L186" s="204" t="n">
        <v>5</v>
      </c>
      <c r="M186" s="204" t="n">
        <v>8.5</v>
      </c>
    </row>
    <row r="187">
      <c r="A187" s="203" t="n">
        <v>41640</v>
      </c>
      <c r="B187" s="204" t="n">
        <v>0.5620000000000001</v>
      </c>
      <c r="C187" s="204" t="n"/>
      <c r="D187" s="204" t="n"/>
      <c r="E187" s="204" t="n"/>
      <c r="F187" s="204" t="n"/>
      <c r="G187" s="204" t="n">
        <v>3.274</v>
      </c>
      <c r="H187" s="204" t="n">
        <v>0.5620000000000001</v>
      </c>
      <c r="I187" s="204" t="n"/>
      <c r="J187" s="204" t="n">
        <v>4</v>
      </c>
      <c r="K187" s="204" t="n">
        <v>6</v>
      </c>
      <c r="L187" s="204" t="n">
        <v>5</v>
      </c>
      <c r="M187" s="204" t="n">
        <v>8.25</v>
      </c>
    </row>
    <row r="188">
      <c r="A188" s="203" t="n">
        <v>41671</v>
      </c>
      <c r="B188" s="204" t="n">
        <v>0.549</v>
      </c>
      <c r="C188" s="204" t="n"/>
      <c r="D188" s="204" t="n"/>
      <c r="E188" s="204" t="n"/>
      <c r="F188" s="204" t="n"/>
      <c r="G188" s="204" t="n">
        <v>3.199</v>
      </c>
      <c r="H188" s="204" t="n">
        <v>0.549</v>
      </c>
      <c r="I188" s="204" t="n"/>
      <c r="J188" s="204" t="n">
        <v>4</v>
      </c>
      <c r="K188" s="204" t="n">
        <v>6</v>
      </c>
      <c r="L188" s="204" t="n">
        <v>5</v>
      </c>
      <c r="M188" s="204" t="n">
        <v>8.25</v>
      </c>
    </row>
    <row r="189">
      <c r="A189" s="203" t="n">
        <v>41699</v>
      </c>
      <c r="B189" s="204" t="n">
        <v>0.577</v>
      </c>
      <c r="C189" s="204" t="n"/>
      <c r="D189" s="204" t="n"/>
      <c r="E189" s="204" t="n"/>
      <c r="F189" s="204" t="n"/>
      <c r="G189" s="204" t="n">
        <v>3.177</v>
      </c>
      <c r="H189" s="204" t="n">
        <v>0.577</v>
      </c>
      <c r="I189" s="204" t="n"/>
      <c r="J189" s="204" t="n">
        <v>4</v>
      </c>
      <c r="K189" s="204" t="n">
        <v>6</v>
      </c>
      <c r="L189" s="204" t="n">
        <v>5</v>
      </c>
      <c r="M189" s="204" t="n">
        <v>8.25</v>
      </c>
    </row>
    <row r="190">
      <c r="A190" s="203" t="n">
        <v>41730</v>
      </c>
      <c r="B190" s="204" t="n">
        <v>0.604</v>
      </c>
      <c r="C190" s="204" t="n"/>
      <c r="D190" s="204" t="n"/>
      <c r="E190" s="204" t="n"/>
      <c r="F190" s="204" t="n"/>
      <c r="G190" s="204" t="n">
        <v>3.181</v>
      </c>
      <c r="H190" s="204" t="n">
        <v>0.604</v>
      </c>
      <c r="I190" s="204" t="n"/>
      <c r="J190" s="204" t="n">
        <v>4</v>
      </c>
      <c r="K190" s="204" t="n">
        <v>6</v>
      </c>
      <c r="L190" s="204" t="n">
        <v>5</v>
      </c>
      <c r="M190" s="204" t="n">
        <v>8.25</v>
      </c>
    </row>
    <row r="191">
      <c r="A191" s="203" t="n">
        <v>41760</v>
      </c>
      <c r="B191" s="204" t="n">
        <v>0.592</v>
      </c>
      <c r="C191" s="204" t="n"/>
      <c r="D191" s="204" t="n"/>
      <c r="E191" s="204" t="n"/>
      <c r="F191" s="204" t="n"/>
      <c r="G191" s="204" t="n">
        <v>3.164</v>
      </c>
      <c r="H191" s="204" t="n">
        <v>0.592</v>
      </c>
      <c r="I191" s="204" t="n"/>
      <c r="J191" s="204" t="n">
        <v>4</v>
      </c>
      <c r="K191" s="204" t="n">
        <v>6</v>
      </c>
      <c r="L191" s="204" t="n">
        <v>5</v>
      </c>
      <c r="M191" s="204" t="n">
        <v>8.25</v>
      </c>
    </row>
    <row r="192">
      <c r="A192" s="203" t="n">
        <v>41791</v>
      </c>
      <c r="B192" s="204" t="n">
        <v>0.513</v>
      </c>
      <c r="C192" s="204" t="n"/>
      <c r="D192" s="204" t="n"/>
      <c r="E192" s="204" t="n"/>
      <c r="F192" s="204" t="n"/>
      <c r="G192" s="204" t="n">
        <v>3.064</v>
      </c>
      <c r="H192" s="204" t="n">
        <v>0.513</v>
      </c>
      <c r="I192" s="204" t="n"/>
      <c r="J192" s="204" t="n">
        <v>4</v>
      </c>
      <c r="K192" s="204" t="n">
        <v>6</v>
      </c>
      <c r="L192" s="204" t="n">
        <v>5</v>
      </c>
      <c r="M192" s="204" t="n">
        <v>8.25</v>
      </c>
    </row>
    <row r="193">
      <c r="A193" s="203" t="n">
        <v>41821</v>
      </c>
      <c r="B193" s="204" t="n">
        <v>0.488</v>
      </c>
      <c r="C193" s="204" t="n"/>
      <c r="D193" s="204" t="n"/>
      <c r="E193" s="204" t="n"/>
      <c r="F193" s="204" t="n"/>
      <c r="G193" s="204" t="n">
        <v>3.033</v>
      </c>
      <c r="H193" s="204" t="n">
        <v>0.488</v>
      </c>
      <c r="I193" s="204" t="n"/>
      <c r="J193" s="204" t="n">
        <v>4</v>
      </c>
      <c r="K193" s="204" t="n">
        <v>6</v>
      </c>
      <c r="L193" s="204" t="n">
        <v>5</v>
      </c>
      <c r="M193" s="204" t="n">
        <v>8.15</v>
      </c>
    </row>
    <row r="194">
      <c r="A194" s="203" t="n">
        <v>41852</v>
      </c>
      <c r="B194" s="204" t="n">
        <v>0.469</v>
      </c>
      <c r="C194" s="204" t="n"/>
      <c r="D194" s="204" t="n"/>
      <c r="E194" s="204" t="n"/>
      <c r="F194" s="204" t="n"/>
      <c r="G194" s="204" t="n">
        <v>3.021</v>
      </c>
      <c r="H194" s="204" t="n">
        <v>0.469</v>
      </c>
      <c r="I194" s="204" t="n"/>
      <c r="J194" s="204" t="n">
        <v>4</v>
      </c>
      <c r="K194" s="204" t="n">
        <v>6</v>
      </c>
      <c r="L194" s="204" t="n">
        <v>5</v>
      </c>
      <c r="M194" s="204" t="n">
        <v>8.15</v>
      </c>
    </row>
    <row r="195">
      <c r="A195" s="203" t="n">
        <v>41883</v>
      </c>
      <c r="B195" s="204" t="n">
        <v>0.362</v>
      </c>
      <c r="C195" s="204" t="n"/>
      <c r="D195" s="204" t="n"/>
      <c r="E195" s="204" t="n"/>
      <c r="F195" s="204" t="n"/>
      <c r="G195" s="204" t="n">
        <v>2.949</v>
      </c>
      <c r="H195" s="204" t="n">
        <v>0.362</v>
      </c>
      <c r="I195" s="204" t="n"/>
      <c r="J195" s="204" t="n">
        <v>4</v>
      </c>
      <c r="K195" s="204" t="n">
        <v>6</v>
      </c>
      <c r="L195" s="204" t="n">
        <v>5</v>
      </c>
      <c r="M195" s="204" t="n">
        <v>8.15</v>
      </c>
    </row>
    <row r="196">
      <c r="A196" s="203" t="n">
        <v>41913</v>
      </c>
      <c r="B196" s="204" t="n">
        <v>0.338</v>
      </c>
      <c r="C196" s="204" t="n"/>
      <c r="D196" s="204" t="n"/>
      <c r="E196" s="204" t="n"/>
      <c r="F196" s="204" t="n"/>
      <c r="G196" s="204" t="n">
        <v>2.819</v>
      </c>
      <c r="H196" s="204" t="n">
        <v>0.338</v>
      </c>
      <c r="I196" s="204" t="n"/>
      <c r="J196" s="204" t="n">
        <v>4</v>
      </c>
      <c r="K196" s="204" t="n">
        <v>6</v>
      </c>
      <c r="L196" s="204" t="n">
        <v>5</v>
      </c>
      <c r="M196" s="204" t="n">
        <v>8.15</v>
      </c>
    </row>
    <row r="197">
      <c r="A197" s="203" t="n">
        <v>41944</v>
      </c>
      <c r="B197" s="204" t="n">
        <v>0.335</v>
      </c>
      <c r="C197" s="204" t="n"/>
      <c r="D197" s="204" t="n"/>
      <c r="E197" s="204" t="n"/>
      <c r="F197" s="204" t="n"/>
      <c r="G197" s="204" t="n">
        <v>2.606</v>
      </c>
      <c r="H197" s="204" t="n">
        <v>0.335</v>
      </c>
      <c r="I197" s="204" t="n"/>
      <c r="J197" s="204" t="n">
        <v>4</v>
      </c>
      <c r="K197" s="204" t="n">
        <v>6</v>
      </c>
      <c r="L197" s="204" t="n">
        <v>5</v>
      </c>
      <c r="M197" s="204" t="n">
        <v>8.15</v>
      </c>
    </row>
    <row r="198">
      <c r="A198" s="203" t="n">
        <v>41974</v>
      </c>
      <c r="B198" s="204" t="n">
        <v>0.329</v>
      </c>
      <c r="C198" s="204" t="n"/>
      <c r="D198" s="204" t="n"/>
      <c r="E198" s="204" t="n"/>
      <c r="F198" s="204" t="n"/>
      <c r="G198" s="204" t="n">
        <v>2.557</v>
      </c>
      <c r="H198" s="204" t="n">
        <v>0.329</v>
      </c>
      <c r="I198" s="204" t="n"/>
      <c r="J198" s="204" t="n">
        <v>4</v>
      </c>
      <c r="K198" s="204" t="n">
        <v>6</v>
      </c>
      <c r="L198" s="204" t="n">
        <v>5</v>
      </c>
      <c r="M198" s="204" t="n">
        <v>8.15</v>
      </c>
    </row>
    <row r="199">
      <c r="A199" s="203" t="n">
        <v>42005</v>
      </c>
      <c r="B199" s="204" t="n">
        <v>0.298</v>
      </c>
      <c r="C199" s="204" t="n"/>
      <c r="D199" s="204" t="n"/>
      <c r="E199" s="204" t="n"/>
      <c r="F199" s="204" t="n"/>
      <c r="G199" s="204" t="n">
        <v>2.436</v>
      </c>
      <c r="H199" s="204" t="n">
        <v>0.298</v>
      </c>
      <c r="I199" s="204" t="n"/>
      <c r="J199" s="204" t="n">
        <v>3.5</v>
      </c>
      <c r="K199" s="204" t="n">
        <v>5.5</v>
      </c>
      <c r="L199" s="204" t="n">
        <v>4.375</v>
      </c>
      <c r="M199" s="204" t="n">
        <v>8.050000000000001</v>
      </c>
    </row>
    <row r="200">
      <c r="A200" s="203" t="n">
        <v>42036</v>
      </c>
      <c r="B200" s="204" t="n">
        <v>0.255</v>
      </c>
      <c r="C200" s="204" t="n"/>
      <c r="D200" s="204" t="n"/>
      <c r="E200" s="204" t="n"/>
      <c r="F200" s="204" t="n"/>
      <c r="G200" s="204" t="n">
        <v>2.457</v>
      </c>
      <c r="H200" s="204" t="n">
        <v>0.255</v>
      </c>
      <c r="I200" s="204" t="n"/>
      <c r="J200" s="204" t="n">
        <v>3.5</v>
      </c>
      <c r="K200" s="204" t="n">
        <v>5.5</v>
      </c>
      <c r="L200" s="204" t="n">
        <v>4.375</v>
      </c>
      <c r="M200" s="204" t="n">
        <v>8.050000000000001</v>
      </c>
    </row>
    <row r="201">
      <c r="A201" s="203" t="n">
        <v>42064</v>
      </c>
      <c r="B201" s="204" t="n">
        <v>0.212</v>
      </c>
      <c r="C201" s="204" t="n"/>
      <c r="D201" s="204" t="n"/>
      <c r="E201" s="204" t="n"/>
      <c r="F201" s="204" t="n"/>
      <c r="G201" s="204" t="n">
        <v>2.324</v>
      </c>
      <c r="H201" s="204" t="n">
        <v>0.212</v>
      </c>
      <c r="I201" s="204" t="n"/>
      <c r="J201" s="204" t="n">
        <v>3.5</v>
      </c>
      <c r="K201" s="204" t="n">
        <v>5.5</v>
      </c>
      <c r="L201" s="204" t="n">
        <v>4.375</v>
      </c>
      <c r="M201" s="204" t="n">
        <v>8.050000000000001</v>
      </c>
    </row>
    <row r="202">
      <c r="A202" s="203" t="n">
        <v>42095</v>
      </c>
      <c r="B202" s="204" t="n">
        <v>0.18</v>
      </c>
      <c r="C202" s="204" t="n"/>
      <c r="D202" s="204" t="n"/>
      <c r="E202" s="204" t="n"/>
      <c r="F202" s="204" t="n"/>
      <c r="G202" s="204" t="n">
        <v>2.251</v>
      </c>
      <c r="H202" s="204" t="n">
        <v>0.18</v>
      </c>
      <c r="I202" s="204" t="n"/>
      <c r="J202" s="204" t="n">
        <v>3.5</v>
      </c>
      <c r="K202" s="204" t="n">
        <v>5.5</v>
      </c>
      <c r="L202" s="204" t="n">
        <v>4.375</v>
      </c>
      <c r="M202" s="204" t="n">
        <v>8.050000000000001</v>
      </c>
    </row>
    <row r="203">
      <c r="A203" s="203" t="n">
        <v>42125</v>
      </c>
      <c r="B203" s="204" t="n">
        <v>0.165</v>
      </c>
      <c r="C203" s="204" t="n"/>
      <c r="D203" s="204" t="n"/>
      <c r="E203" s="204" t="n"/>
      <c r="F203" s="204" t="n"/>
      <c r="G203" s="204" t="n">
        <v>2.156</v>
      </c>
      <c r="H203" s="204" t="n">
        <v>0.165</v>
      </c>
      <c r="I203" s="204" t="n"/>
      <c r="J203" s="204" t="n">
        <v>3.5</v>
      </c>
      <c r="K203" s="204" t="n">
        <v>5.5</v>
      </c>
      <c r="L203" s="204" t="n">
        <v>4.375</v>
      </c>
      <c r="M203" s="204" t="n">
        <v>8.050000000000001</v>
      </c>
    </row>
    <row r="204">
      <c r="A204" s="203" t="n">
        <v>42156</v>
      </c>
      <c r="B204" s="204" t="n">
        <v>0.163</v>
      </c>
      <c r="C204" s="204" t="n"/>
      <c r="D204" s="204" t="n"/>
      <c r="E204" s="204" t="n"/>
      <c r="F204" s="204" t="n"/>
      <c r="G204" s="204" t="n">
        <v>2.161</v>
      </c>
      <c r="H204" s="204" t="n">
        <v>0.163</v>
      </c>
      <c r="I204" s="204" t="n"/>
      <c r="J204" s="204" t="n">
        <v>3.5</v>
      </c>
      <c r="K204" s="204" t="n">
        <v>5.5</v>
      </c>
      <c r="L204" s="204" t="n">
        <v>4.375</v>
      </c>
      <c r="M204" s="204" t="n">
        <v>8.050000000000001</v>
      </c>
    </row>
    <row r="205">
      <c r="A205" s="203" t="n">
        <v>42186</v>
      </c>
      <c r="B205" s="204" t="n">
        <v>0.167</v>
      </c>
      <c r="C205" s="204" t="n"/>
      <c r="D205" s="204" t="n"/>
      <c r="E205" s="204" t="n"/>
      <c r="F205" s="204" t="n"/>
      <c r="G205" s="204" t="n">
        <v>2.152</v>
      </c>
      <c r="H205" s="204" t="n">
        <v>0.167</v>
      </c>
      <c r="I205" s="204" t="n"/>
      <c r="J205" s="204" t="n">
        <v>3.5</v>
      </c>
      <c r="K205" s="204" t="n">
        <v>5.5</v>
      </c>
      <c r="L205" s="204" t="n">
        <v>4.375</v>
      </c>
      <c r="M205" s="204" t="n">
        <v>8.050000000000001</v>
      </c>
    </row>
    <row r="206">
      <c r="A206" s="203" t="n">
        <v>42217</v>
      </c>
      <c r="B206" s="204" t="n">
        <v>0.161</v>
      </c>
      <c r="C206" s="204" t="n"/>
      <c r="D206" s="204" t="n"/>
      <c r="E206" s="204" t="n"/>
      <c r="F206" s="204" t="n"/>
      <c r="G206" s="204" t="n">
        <v>2.182</v>
      </c>
      <c r="H206" s="204" t="n">
        <v>0.161</v>
      </c>
      <c r="I206" s="204" t="n"/>
      <c r="J206" s="204" t="n">
        <v>3.5</v>
      </c>
      <c r="K206" s="204" t="n">
        <v>5.5</v>
      </c>
      <c r="L206" s="204" t="n">
        <v>4.375</v>
      </c>
      <c r="M206" s="204" t="n">
        <v>8.050000000000001</v>
      </c>
    </row>
    <row r="207">
      <c r="A207" s="203" t="n">
        <v>42248</v>
      </c>
      <c r="B207" s="204" t="n">
        <v>0.154</v>
      </c>
      <c r="C207" s="204" t="n"/>
      <c r="D207" s="204" t="n"/>
      <c r="E207" s="204" t="n"/>
      <c r="F207" s="204" t="n"/>
      <c r="G207" s="204" t="n">
        <v>2.117</v>
      </c>
      <c r="H207" s="204" t="n">
        <v>0.154</v>
      </c>
      <c r="I207" s="204" t="n"/>
      <c r="J207" s="204" t="n">
        <v>3.5</v>
      </c>
      <c r="K207" s="204" t="n">
        <v>5.5</v>
      </c>
      <c r="L207" s="204" t="n">
        <v>4.375</v>
      </c>
      <c r="M207" s="204" t="n">
        <v>8.050000000000001</v>
      </c>
    </row>
    <row r="208">
      <c r="A208" s="203" t="n">
        <v>42278</v>
      </c>
      <c r="B208" s="204" t="n">
        <v>0.128</v>
      </c>
      <c r="C208" s="204" t="n"/>
      <c r="D208" s="204" t="n"/>
      <c r="E208" s="204" t="n"/>
      <c r="F208" s="204" t="n"/>
      <c r="G208" s="204" t="n">
        <v>2.127</v>
      </c>
      <c r="H208" s="204" t="n">
        <v>0.128</v>
      </c>
      <c r="I208" s="204" t="n"/>
      <c r="J208" s="204" t="n">
        <v>3.5</v>
      </c>
      <c r="K208" s="204" t="n">
        <v>5.5</v>
      </c>
      <c r="L208" s="204" t="n">
        <v>4.375</v>
      </c>
      <c r="M208" s="204" t="n">
        <v>8.050000000000001</v>
      </c>
    </row>
    <row r="209">
      <c r="A209" s="203" t="n">
        <v>42309</v>
      </c>
      <c r="B209" s="204" t="n">
        <v>0.079</v>
      </c>
      <c r="C209" s="204" t="n"/>
      <c r="D209" s="204" t="n"/>
      <c r="E209" s="204" t="n"/>
      <c r="F209" s="204" t="n"/>
      <c r="G209" s="204" t="n">
        <v>2.132</v>
      </c>
      <c r="H209" s="204" t="n">
        <v>0.079</v>
      </c>
      <c r="I209" s="204" t="n"/>
      <c r="J209" s="204" t="n">
        <v>3.5</v>
      </c>
      <c r="K209" s="204" t="n">
        <v>5.5</v>
      </c>
      <c r="L209" s="204" t="n">
        <v>4.375</v>
      </c>
      <c r="M209" s="204" t="n">
        <v>8.050000000000001</v>
      </c>
    </row>
    <row r="210">
      <c r="A210" s="203" t="n">
        <v>42339</v>
      </c>
      <c r="B210" s="204" t="n">
        <v>0.059</v>
      </c>
      <c r="C210" s="204" t="n"/>
      <c r="D210" s="204" t="n"/>
      <c r="E210" s="204" t="n"/>
      <c r="F210" s="204" t="n"/>
      <c r="G210" s="204" t="n">
        <v>2.054</v>
      </c>
      <c r="H210" s="204" t="n">
        <v>0.059</v>
      </c>
      <c r="I210" s="204" t="n"/>
      <c r="J210" s="204" t="n">
        <v>3.5</v>
      </c>
      <c r="K210" s="204" t="n">
        <v>5.5</v>
      </c>
      <c r="L210" s="204" t="n">
        <v>4.375</v>
      </c>
      <c r="M210" s="204" t="n">
        <v>8.050000000000001</v>
      </c>
    </row>
    <row r="211">
      <c r="A211" s="203" t="n">
        <v>42370</v>
      </c>
      <c r="B211" s="204" t="n">
        <v>0.042</v>
      </c>
      <c r="C211" s="204" t="n"/>
      <c r="D211" s="204" t="n"/>
      <c r="E211" s="204" t="n"/>
      <c r="F211" s="204" t="n"/>
      <c r="G211" s="204" t="n">
        <v>2.014</v>
      </c>
      <c r="H211" s="204" t="n">
        <v>0.042</v>
      </c>
      <c r="I211" s="204" t="n"/>
      <c r="J211" s="204" t="n">
        <v>3</v>
      </c>
      <c r="K211" s="204" t="n">
        <v>5</v>
      </c>
      <c r="L211" s="204" t="n">
        <v>3.75</v>
      </c>
      <c r="M211" s="204" t="n">
        <v>8.050000000000001</v>
      </c>
    </row>
    <row r="212">
      <c r="A212" s="203" t="n">
        <v>42401</v>
      </c>
      <c r="B212" s="204" t="n">
        <v>-0.008</v>
      </c>
      <c r="C212" s="204" t="n"/>
      <c r="D212" s="204" t="n"/>
      <c r="E212" s="204" t="n"/>
      <c r="F212" s="204" t="n"/>
      <c r="G212" s="204" t="n">
        <v>2.007</v>
      </c>
      <c r="H212" s="204" t="n">
        <v>-0.008</v>
      </c>
      <c r="I212" s="204" t="n"/>
      <c r="J212" s="204" t="n">
        <v>3</v>
      </c>
      <c r="K212" s="204" t="n">
        <v>5</v>
      </c>
      <c r="L212" s="204" t="n">
        <v>3.75</v>
      </c>
      <c r="M212" s="204" t="n">
        <v>8.050000000000001</v>
      </c>
    </row>
    <row r="213">
      <c r="A213" s="203" t="n">
        <v>42430</v>
      </c>
      <c r="B213" s="204" t="n">
        <v>-0.012</v>
      </c>
      <c r="C213" s="204" t="n"/>
      <c r="D213" s="204" t="n"/>
      <c r="E213" s="204" t="n"/>
      <c r="F213" s="204" t="n"/>
      <c r="G213" s="204" t="n">
        <v>1.919</v>
      </c>
      <c r="H213" s="204" t="n">
        <v>-0.012</v>
      </c>
      <c r="I213" s="204" t="n"/>
      <c r="J213" s="204" t="n">
        <v>3</v>
      </c>
      <c r="K213" s="204" t="n">
        <v>5</v>
      </c>
      <c r="L213" s="204" t="n">
        <v>3.75</v>
      </c>
      <c r="M213" s="204" t="n">
        <v>8.050000000000001</v>
      </c>
    </row>
    <row r="214">
      <c r="A214" s="203" t="n">
        <v>42461</v>
      </c>
      <c r="B214" s="204" t="n">
        <v>-0.01</v>
      </c>
      <c r="C214" s="204" t="n"/>
      <c r="D214" s="204" t="n"/>
      <c r="E214" s="204" t="n"/>
      <c r="F214" s="204" t="n"/>
      <c r="G214" s="204" t="n">
        <v>2.03</v>
      </c>
      <c r="H214" s="204" t="n">
        <v>-0.01</v>
      </c>
      <c r="I214" s="204" t="n"/>
      <c r="J214" s="204" t="n">
        <v>3</v>
      </c>
      <c r="K214" s="204" t="n">
        <v>5</v>
      </c>
      <c r="L214" s="204" t="n">
        <v>3.75</v>
      </c>
      <c r="M214" s="204" t="n">
        <v>8.050000000000001</v>
      </c>
    </row>
    <row r="215">
      <c r="A215" s="203" t="n">
        <v>42491</v>
      </c>
      <c r="B215" s="204" t="n">
        <v>-0.013</v>
      </c>
      <c r="C215" s="204" t="n"/>
      <c r="D215" s="204" t="n"/>
      <c r="E215" s="204" t="n"/>
      <c r="F215" s="204" t="n"/>
      <c r="G215" s="204" t="n">
        <v>1.89</v>
      </c>
      <c r="H215" s="204" t="n">
        <v>-0.013</v>
      </c>
      <c r="I215" s="204" t="n"/>
      <c r="J215" s="204" t="n">
        <v>3</v>
      </c>
      <c r="K215" s="204" t="n">
        <v>5</v>
      </c>
      <c r="L215" s="204" t="n">
        <v>3.75</v>
      </c>
      <c r="M215" s="204" t="n">
        <v>8.050000000000001</v>
      </c>
    </row>
    <row r="216">
      <c r="A216" s="203" t="n">
        <v>42522</v>
      </c>
      <c r="B216" s="204" t="n">
        <v>-0.028</v>
      </c>
      <c r="C216" s="204" t="n"/>
      <c r="D216" s="204" t="n"/>
      <c r="E216" s="204" t="n"/>
      <c r="F216" s="204" t="n"/>
      <c r="G216" s="204" t="n">
        <v>1.97</v>
      </c>
      <c r="H216" s="204" t="n">
        <v>-0.028</v>
      </c>
      <c r="I216" s="204" t="n"/>
      <c r="J216" s="204" t="n">
        <v>3</v>
      </c>
      <c r="K216" s="204" t="n">
        <v>5</v>
      </c>
      <c r="L216" s="204" t="n">
        <v>3.75</v>
      </c>
      <c r="M216" s="204" t="n">
        <v>8.050000000000001</v>
      </c>
    </row>
    <row r="217">
      <c r="A217" s="203" t="n">
        <v>42552</v>
      </c>
      <c r="B217" s="204" t="n">
        <v>-0.056</v>
      </c>
      <c r="C217" s="204" t="n"/>
      <c r="D217" s="204" t="n"/>
      <c r="E217" s="204" t="n"/>
      <c r="F217" s="204" t="n"/>
      <c r="G217" s="204" t="n">
        <v>2.007</v>
      </c>
      <c r="H217" s="204" t="n">
        <v>-0.056</v>
      </c>
      <c r="I217" s="204" t="n"/>
      <c r="J217" s="204" t="n">
        <v>3</v>
      </c>
      <c r="K217" s="204" t="n">
        <v>5</v>
      </c>
      <c r="L217" s="204" t="n">
        <v>3.75</v>
      </c>
      <c r="M217" s="204" t="n">
        <v>8</v>
      </c>
    </row>
    <row r="218">
      <c r="A218" s="203" t="n">
        <v>42583</v>
      </c>
      <c r="B218" s="204" t="n">
        <v>-0.048</v>
      </c>
      <c r="C218" s="204" t="n"/>
      <c r="D218" s="204" t="n"/>
      <c r="E218" s="204" t="n"/>
      <c r="F218" s="204" t="n"/>
      <c r="G218" s="204" t="n">
        <v>1.957</v>
      </c>
      <c r="H218" s="204" t="n">
        <v>-0.048</v>
      </c>
      <c r="I218" s="204" t="n"/>
      <c r="J218" s="204" t="n">
        <v>3</v>
      </c>
      <c r="K218" s="204" t="n">
        <v>5</v>
      </c>
      <c r="L218" s="204" t="n">
        <v>3.75</v>
      </c>
      <c r="M218" s="204" t="n">
        <v>8</v>
      </c>
    </row>
    <row r="219">
      <c r="A219" s="203" t="n">
        <v>42614</v>
      </c>
      <c r="B219" s="204" t="n">
        <v>-0.057</v>
      </c>
      <c r="C219" s="204" t="n"/>
      <c r="D219" s="204" t="n"/>
      <c r="E219" s="204" t="n"/>
      <c r="F219" s="204" t="n"/>
      <c r="G219" s="204" t="n">
        <v>1.903</v>
      </c>
      <c r="H219" s="204" t="n">
        <v>-0.057</v>
      </c>
      <c r="I219" s="204" t="n"/>
      <c r="J219" s="204" t="n">
        <v>3</v>
      </c>
      <c r="K219" s="204" t="n">
        <v>5</v>
      </c>
      <c r="L219" s="204" t="n">
        <v>3.75</v>
      </c>
      <c r="M219" s="204" t="n">
        <v>8</v>
      </c>
    </row>
    <row r="220">
      <c r="A220" s="203" t="n">
        <v>42644</v>
      </c>
      <c r="B220" s="204" t="n">
        <v>-0.06900000000000001</v>
      </c>
      <c r="C220" s="204" t="n"/>
      <c r="D220" s="204" t="n"/>
      <c r="E220" s="204" t="n"/>
      <c r="F220" s="204" t="n"/>
      <c r="G220" s="204" t="n">
        <v>1.921</v>
      </c>
      <c r="H220" s="204" t="n">
        <v>-0.06900000000000001</v>
      </c>
      <c r="I220" s="204" t="n"/>
      <c r="J220" s="204" t="n">
        <v>3</v>
      </c>
      <c r="K220" s="204" t="n">
        <v>5</v>
      </c>
      <c r="L220" s="204" t="n">
        <v>3.75</v>
      </c>
      <c r="M220" s="204" t="n">
        <v>8</v>
      </c>
    </row>
    <row r="221">
      <c r="A221" s="203" t="n">
        <v>42675</v>
      </c>
      <c r="B221" s="204" t="n">
        <v>-0.074</v>
      </c>
      <c r="C221" s="204" t="n"/>
      <c r="D221" s="204" t="n"/>
      <c r="E221" s="204" t="n"/>
      <c r="F221" s="204" t="n"/>
      <c r="G221" s="204" t="n">
        <v>1.936</v>
      </c>
      <c r="H221" s="204" t="n">
        <v>-0.074</v>
      </c>
      <c r="I221" s="204" t="n"/>
      <c r="J221" s="204" t="n">
        <v>3</v>
      </c>
      <c r="K221" s="204" t="n">
        <v>5</v>
      </c>
      <c r="L221" s="204" t="n">
        <v>3.75</v>
      </c>
      <c r="M221" s="204" t="n">
        <v>8</v>
      </c>
    </row>
    <row r="222">
      <c r="A222" s="203" t="n">
        <v>42705</v>
      </c>
      <c r="B222" s="204" t="n">
        <v>-0.08</v>
      </c>
      <c r="C222" s="204" t="n"/>
      <c r="D222" s="204" t="n"/>
      <c r="E222" s="204" t="n"/>
      <c r="F222" s="204" t="n"/>
      <c r="G222" s="204" t="n">
        <v>1.874</v>
      </c>
      <c r="H222" s="204" t="n">
        <v>-0.08</v>
      </c>
      <c r="I222" s="204" t="n"/>
      <c r="J222" s="204" t="n">
        <v>3</v>
      </c>
      <c r="K222" s="204" t="n">
        <v>5</v>
      </c>
      <c r="L222" s="204" t="n">
        <v>3.75</v>
      </c>
      <c r="M222" s="204" t="n">
        <v>8</v>
      </c>
    </row>
    <row r="223">
      <c r="A223" s="203" t="n">
        <v>42736</v>
      </c>
      <c r="B223" s="204" t="n">
        <v>-0.095</v>
      </c>
      <c r="C223" s="204" t="n"/>
      <c r="D223" s="204" t="n"/>
      <c r="E223" s="204" t="n"/>
      <c r="F223" s="204" t="n"/>
      <c r="G223" s="204" t="n">
        <v>1.928</v>
      </c>
      <c r="H223" s="204" t="n">
        <v>-0.095</v>
      </c>
      <c r="I223" s="204" t="n"/>
      <c r="J223" s="204" t="n">
        <v>3</v>
      </c>
      <c r="K223" s="204" t="n">
        <v>5</v>
      </c>
      <c r="L223" s="204" t="n">
        <v>3.75</v>
      </c>
      <c r="M223" s="204" t="n">
        <v>8</v>
      </c>
    </row>
    <row r="224">
      <c r="A224" s="203" t="n">
        <v>42767</v>
      </c>
      <c r="B224" s="204" t="n">
        <v>-0.106</v>
      </c>
      <c r="C224" s="204" t="n"/>
      <c r="D224" s="204" t="n"/>
      <c r="E224" s="204" t="n"/>
      <c r="F224" s="204" t="n"/>
      <c r="G224" s="204" t="n">
        <v>1.881</v>
      </c>
      <c r="H224" s="204" t="n">
        <v>-0.106</v>
      </c>
      <c r="I224" s="204" t="n"/>
      <c r="J224" s="204" t="n">
        <v>3</v>
      </c>
      <c r="K224" s="204" t="n">
        <v>5</v>
      </c>
      <c r="L224" s="204" t="n">
        <v>3.75</v>
      </c>
      <c r="M224" s="204" t="n">
        <v>8</v>
      </c>
    </row>
    <row r="225">
      <c r="A225" s="203" t="n">
        <v>42795</v>
      </c>
      <c r="B225" s="204" t="n">
        <v>-0.11</v>
      </c>
      <c r="C225" s="204" t="n"/>
      <c r="D225" s="204" t="n"/>
      <c r="E225" s="204" t="n"/>
      <c r="F225" s="204" t="n"/>
      <c r="G225" s="204" t="n">
        <v>1.879</v>
      </c>
      <c r="H225" s="204" t="n">
        <v>-0.11</v>
      </c>
      <c r="I225" s="204" t="n"/>
      <c r="J225" s="204" t="n">
        <v>3</v>
      </c>
      <c r="K225" s="204" t="n">
        <v>5</v>
      </c>
      <c r="L225" s="204" t="n">
        <v>3.75</v>
      </c>
      <c r="M225" s="204" t="n">
        <v>8</v>
      </c>
    </row>
    <row r="226">
      <c r="A226" s="203" t="n">
        <v>42826</v>
      </c>
      <c r="B226" s="204" t="n">
        <v>-0.119</v>
      </c>
      <c r="C226" s="204" t="n"/>
      <c r="D226" s="204" t="n"/>
      <c r="E226" s="204" t="n"/>
      <c r="F226" s="204" t="n"/>
      <c r="G226" s="204" t="n">
        <v>1.906</v>
      </c>
      <c r="H226" s="204" t="n">
        <v>-0.119</v>
      </c>
      <c r="I226" s="204" t="n"/>
      <c r="J226" s="204" t="n">
        <v>3</v>
      </c>
      <c r="K226" s="204" t="n">
        <v>5</v>
      </c>
      <c r="L226" s="204" t="n">
        <v>3.75</v>
      </c>
      <c r="M226" s="204" t="n">
        <v>8</v>
      </c>
    </row>
    <row r="227">
      <c r="A227" s="203" t="n">
        <v>42856</v>
      </c>
      <c r="B227" s="204" t="n">
        <v>-0.127</v>
      </c>
      <c r="C227" s="204" t="n"/>
      <c r="D227" s="204" t="n"/>
      <c r="E227" s="204" t="n"/>
      <c r="F227" s="204" t="n"/>
      <c r="G227" s="204" t="n">
        <v>1.947</v>
      </c>
      <c r="H227" s="204" t="n">
        <v>-0.127</v>
      </c>
      <c r="I227" s="204" t="n"/>
      <c r="J227" s="204" t="n">
        <v>3</v>
      </c>
      <c r="K227" s="204" t="n">
        <v>5</v>
      </c>
      <c r="L227" s="204" t="n">
        <v>3.75</v>
      </c>
      <c r="M227" s="204" t="n">
        <v>8</v>
      </c>
    </row>
    <row r="228">
      <c r="A228" s="203" t="n">
        <v>42887</v>
      </c>
      <c r="B228" s="204" t="n">
        <v>-0.149</v>
      </c>
      <c r="C228" s="204" t="n"/>
      <c r="D228" s="204" t="n"/>
      <c r="E228" s="204" t="n"/>
      <c r="F228" s="204" t="n"/>
      <c r="G228" s="204" t="n">
        <v>1.913</v>
      </c>
      <c r="H228" s="204" t="n">
        <v>-0.149</v>
      </c>
      <c r="I228" s="204" t="n"/>
      <c r="J228" s="204" t="n">
        <v>3</v>
      </c>
      <c r="K228" s="204" t="n">
        <v>5</v>
      </c>
      <c r="L228" s="204" t="n">
        <v>3.75</v>
      </c>
      <c r="M228" s="204" t="n">
        <v>8</v>
      </c>
    </row>
    <row r="229">
      <c r="A229" s="203" t="n">
        <v>42917</v>
      </c>
      <c r="B229" s="204" t="n">
        <v>-0.154</v>
      </c>
      <c r="C229" s="204" t="n"/>
      <c r="D229" s="204" t="n"/>
      <c r="E229" s="204" t="n"/>
      <c r="F229" s="204" t="n"/>
      <c r="G229" s="204" t="n">
        <v>1.929</v>
      </c>
      <c r="H229" s="204" t="n">
        <v>-0.154</v>
      </c>
      <c r="I229" s="204" t="n"/>
      <c r="J229" s="204" t="n">
        <v>3</v>
      </c>
      <c r="K229" s="204" t="n">
        <v>5</v>
      </c>
      <c r="L229" s="204" t="n">
        <v>3.75</v>
      </c>
      <c r="M229" s="204" t="n">
        <v>8</v>
      </c>
    </row>
    <row r="230">
      <c r="A230" s="203" t="n">
        <v>42948</v>
      </c>
      <c r="B230" s="204" t="n">
        <v>-0.156</v>
      </c>
      <c r="C230" s="204" t="n"/>
      <c r="D230" s="204" t="n"/>
      <c r="E230" s="204" t="n"/>
      <c r="F230" s="204" t="n"/>
      <c r="G230" s="204" t="n">
        <v>1.953</v>
      </c>
      <c r="H230" s="204" t="n">
        <v>-0.156</v>
      </c>
      <c r="I230" s="204" t="n"/>
      <c r="J230" s="204" t="n">
        <v>3</v>
      </c>
      <c r="K230" s="204" t="n">
        <v>5</v>
      </c>
      <c r="L230" s="204" t="n">
        <v>3.75</v>
      </c>
      <c r="M230" s="204" t="n">
        <v>8</v>
      </c>
    </row>
    <row r="231">
      <c r="A231" s="203" t="n">
        <v>42979</v>
      </c>
      <c r="B231" s="204" t="n">
        <v>-0.168</v>
      </c>
      <c r="C231" s="204" t="n"/>
      <c r="D231" s="204" t="n"/>
      <c r="E231" s="204" t="n"/>
      <c r="F231" s="204" t="n"/>
      <c r="G231" s="204" t="n">
        <v>1.873</v>
      </c>
      <c r="H231" s="204" t="n">
        <v>-0.168</v>
      </c>
      <c r="I231" s="204" t="n"/>
      <c r="J231" s="204" t="n">
        <v>3</v>
      </c>
      <c r="K231" s="204" t="n">
        <v>5</v>
      </c>
      <c r="L231" s="204" t="n">
        <v>3.75</v>
      </c>
      <c r="M231" s="204" t="n">
        <v>8</v>
      </c>
    </row>
    <row r="232">
      <c r="A232" s="203" t="n">
        <v>43009</v>
      </c>
      <c r="B232" s="204" t="n">
        <v>-0.18</v>
      </c>
      <c r="C232" s="204" t="n"/>
      <c r="D232" s="204" t="n"/>
      <c r="E232" s="204" t="n"/>
      <c r="F232" s="204" t="n"/>
      <c r="G232" s="204" t="n">
        <v>1.904</v>
      </c>
      <c r="H232" s="204" t="n">
        <v>-0.18</v>
      </c>
      <c r="I232" s="204" t="n"/>
      <c r="J232" s="204" t="n">
        <v>3</v>
      </c>
      <c r="K232" s="204" t="n">
        <v>5</v>
      </c>
      <c r="L232" s="204" t="n">
        <v>3.75</v>
      </c>
      <c r="M232" s="204" t="n">
        <v>8</v>
      </c>
    </row>
    <row r="233">
      <c r="A233" s="203" t="n">
        <v>43040</v>
      </c>
      <c r="B233" s="204" t="n">
        <v>-0.189</v>
      </c>
      <c r="C233" s="204" t="n"/>
      <c r="D233" s="204" t="n"/>
      <c r="E233" s="204" t="n"/>
      <c r="F233" s="204" t="n"/>
      <c r="G233" s="204" t="n">
        <v>1.91</v>
      </c>
      <c r="H233" s="204" t="n">
        <v>-0.189</v>
      </c>
      <c r="I233" s="204" t="n"/>
      <c r="J233" s="204" t="n">
        <v>3</v>
      </c>
      <c r="K233" s="204" t="n">
        <v>5</v>
      </c>
      <c r="L233" s="204" t="n">
        <v>3.75</v>
      </c>
      <c r="M233" s="204" t="n">
        <v>8</v>
      </c>
    </row>
    <row r="234">
      <c r="A234" s="203" t="n">
        <v>43070</v>
      </c>
      <c r="B234" s="204" t="n">
        <v>-0.19</v>
      </c>
      <c r="C234" s="204" t="n"/>
      <c r="D234" s="204" t="n"/>
      <c r="E234" s="204" t="n"/>
      <c r="F234" s="204" t="n"/>
      <c r="G234" s="204" t="n">
        <v>1.902</v>
      </c>
      <c r="H234" s="204" t="n">
        <v>-0.19</v>
      </c>
      <c r="I234" s="204" t="n"/>
      <c r="J234" s="204" t="n">
        <v>3</v>
      </c>
      <c r="K234" s="204" t="n">
        <v>5</v>
      </c>
      <c r="L234" s="204" t="n">
        <v>3.75</v>
      </c>
      <c r="M234" s="204" t="n">
        <v>8</v>
      </c>
    </row>
    <row r="235">
      <c r="A235" s="203" t="n">
        <v>43101</v>
      </c>
      <c r="B235" s="204" t="n">
        <v>-0.189</v>
      </c>
      <c r="C235" s="204" t="n"/>
      <c r="D235" s="204" t="n"/>
      <c r="E235" s="204" t="n"/>
      <c r="F235" s="204" t="n"/>
      <c r="G235" s="204" t="n">
        <v>1.938</v>
      </c>
      <c r="H235" s="204" t="n">
        <v>-0.189</v>
      </c>
      <c r="I235" s="204" t="n"/>
      <c r="J235" s="204" t="n">
        <v>3</v>
      </c>
      <c r="K235" s="204" t="n">
        <v>5</v>
      </c>
      <c r="L235" s="204" t="n">
        <v>3.75</v>
      </c>
      <c r="M235" s="204" t="n">
        <v>8</v>
      </c>
    </row>
    <row r="236">
      <c r="A236" s="203" t="n">
        <v>43132</v>
      </c>
      <c r="B236" s="204" t="n">
        <v>-0.191</v>
      </c>
      <c r="C236" s="204" t="n"/>
      <c r="D236" s="204" t="n"/>
      <c r="E236" s="204" t="n"/>
      <c r="F236" s="204" t="n"/>
      <c r="G236" s="204" t="n">
        <v>1.9</v>
      </c>
      <c r="H236" s="204" t="n">
        <v>-0.191</v>
      </c>
      <c r="I236" s="204" t="n"/>
      <c r="J236" s="204" t="n">
        <v>3</v>
      </c>
      <c r="K236" s="204" t="n">
        <v>5</v>
      </c>
      <c r="L236" s="204" t="n">
        <v>3.75</v>
      </c>
      <c r="M236" s="204" t="n">
        <v>8</v>
      </c>
    </row>
    <row r="237">
      <c r="A237" s="203" t="n">
        <v>43160</v>
      </c>
      <c r="B237" s="204" t="n">
        <v>-0.191</v>
      </c>
      <c r="C237" s="204" t="n"/>
      <c r="D237" s="204" t="n"/>
      <c r="E237" s="204" t="n"/>
      <c r="F237" s="204" t="n"/>
      <c r="G237" s="204" t="n">
        <v>1.895</v>
      </c>
      <c r="H237" s="204" t="n">
        <v>-0.191</v>
      </c>
      <c r="I237" s="204" t="n"/>
      <c r="J237" s="204" t="n">
        <v>3</v>
      </c>
      <c r="K237" s="204" t="n">
        <v>5</v>
      </c>
      <c r="L237" s="204" t="n">
        <v>3.75</v>
      </c>
      <c r="M237" s="204" t="n">
        <v>8</v>
      </c>
    </row>
    <row r="238">
      <c r="A238" s="203" t="n">
        <v>43191</v>
      </c>
      <c r="B238" s="204" t="n">
        <v>-0.19</v>
      </c>
      <c r="C238" s="204" t="n"/>
      <c r="D238" s="204" t="n"/>
      <c r="E238" s="204" t="n"/>
      <c r="F238" s="204" t="n"/>
      <c r="G238" s="204" t="n">
        <v>1.905</v>
      </c>
      <c r="H238" s="204" t="n">
        <v>-0.19</v>
      </c>
      <c r="I238" s="204" t="n"/>
      <c r="J238" s="204" t="n">
        <v>3</v>
      </c>
      <c r="K238" s="204" t="n">
        <v>5</v>
      </c>
      <c r="L238" s="204" t="n">
        <v>3.75</v>
      </c>
      <c r="M238" s="204" t="n">
        <v>8</v>
      </c>
    </row>
    <row r="239">
      <c r="A239" s="203" t="n">
        <v>43221</v>
      </c>
      <c r="B239" s="204" t="n">
        <v>-0.188</v>
      </c>
      <c r="C239" s="204" t="n"/>
      <c r="D239" s="204" t="n"/>
      <c r="E239" s="204" t="n"/>
      <c r="F239" s="204" t="n"/>
      <c r="G239" s="204" t="n">
        <v>1.892</v>
      </c>
      <c r="H239" s="204" t="n">
        <v>-0.188</v>
      </c>
      <c r="I239" s="204" t="n"/>
      <c r="J239" s="204" t="n">
        <v>3</v>
      </c>
      <c r="K239" s="204" t="n">
        <v>5</v>
      </c>
      <c r="L239" s="204" t="n">
        <v>3.75</v>
      </c>
      <c r="M239" s="204" t="n">
        <v>8</v>
      </c>
    </row>
    <row r="240">
      <c r="A240" s="203" t="n">
        <v>43252</v>
      </c>
      <c r="B240" s="204" t="n">
        <v>-0.181</v>
      </c>
      <c r="C240" s="204" t="n"/>
      <c r="D240" s="204" t="n"/>
      <c r="E240" s="204" t="n"/>
      <c r="F240" s="204" t="n"/>
      <c r="G240" s="204" t="n">
        <v>1.862</v>
      </c>
      <c r="H240" s="204" t="n">
        <v>-0.181</v>
      </c>
      <c r="I240" s="204" t="n"/>
      <c r="J240" s="204" t="n">
        <v>3</v>
      </c>
      <c r="K240" s="204" t="n">
        <v>5</v>
      </c>
      <c r="L240" s="204" t="n">
        <v>3.75</v>
      </c>
      <c r="M240" s="204" t="n">
        <v>8</v>
      </c>
    </row>
    <row r="241">
      <c r="A241" s="203" t="n">
        <v>43282</v>
      </c>
      <c r="B241" s="204" t="n">
        <v>-0.18</v>
      </c>
      <c r="C241" s="204" t="n"/>
      <c r="D241" s="204" t="n"/>
      <c r="E241" s="204" t="n"/>
      <c r="F241" s="204" t="n"/>
      <c r="G241" s="204" t="n">
        <v>1.854</v>
      </c>
      <c r="H241" s="204" t="n">
        <v>-0.18</v>
      </c>
      <c r="I241" s="204" t="n"/>
      <c r="J241" s="204" t="n">
        <v>3</v>
      </c>
      <c r="K241" s="204" t="n">
        <v>5</v>
      </c>
      <c r="L241" s="204" t="n">
        <v>3.75</v>
      </c>
      <c r="M241" s="204" t="n">
        <v>8</v>
      </c>
    </row>
    <row r="242">
      <c r="A242" s="203" t="n">
        <v>43313</v>
      </c>
      <c r="B242" s="204" t="n">
        <v>-0.169</v>
      </c>
      <c r="C242" s="204" t="n"/>
      <c r="D242" s="204" t="n"/>
      <c r="E242" s="204" t="n"/>
      <c r="F242" s="204" t="n"/>
      <c r="G242" s="204" t="n">
        <v>1.932</v>
      </c>
      <c r="H242" s="204" t="n">
        <v>-0.169</v>
      </c>
      <c r="I242" s="204" t="n"/>
      <c r="J242" s="204" t="n">
        <v>3</v>
      </c>
      <c r="K242" s="204" t="n">
        <v>5</v>
      </c>
      <c r="L242" s="204" t="n">
        <v>3.75</v>
      </c>
      <c r="M242" s="204" t="n">
        <v>8</v>
      </c>
    </row>
    <row r="243">
      <c r="A243" s="203" t="n">
        <v>43344</v>
      </c>
      <c r="B243" s="204" t="n">
        <v>-0.166</v>
      </c>
      <c r="C243" s="204" t="n"/>
      <c r="D243" s="204" t="n"/>
      <c r="E243" s="204" t="n"/>
      <c r="F243" s="204" t="n"/>
      <c r="G243" s="204" t="n">
        <v>1.891</v>
      </c>
      <c r="H243" s="204" t="n">
        <v>-0.166</v>
      </c>
      <c r="I243" s="204" t="n"/>
      <c r="J243" s="204" t="n">
        <v>3</v>
      </c>
      <c r="K243" s="204" t="n">
        <v>5</v>
      </c>
      <c r="L243" s="204" t="n">
        <v>3.75</v>
      </c>
      <c r="M243" s="204" t="n">
        <v>8</v>
      </c>
    </row>
    <row r="244">
      <c r="A244" s="203" t="n">
        <v>43374</v>
      </c>
      <c r="B244" s="204" t="n">
        <v>-0.154</v>
      </c>
      <c r="C244" s="204" t="n"/>
      <c r="D244" s="204" t="n"/>
      <c r="E244" s="204" t="n"/>
      <c r="F244" s="204" t="n"/>
      <c r="G244" s="204" t="n">
        <v>1.932</v>
      </c>
      <c r="H244" s="204" t="n">
        <v>-0.154</v>
      </c>
      <c r="I244" s="204" t="n"/>
      <c r="J244" s="204" t="n">
        <v>3</v>
      </c>
      <c r="K244" s="204" t="n">
        <v>5</v>
      </c>
      <c r="L244" s="204" t="n">
        <v>3.75</v>
      </c>
      <c r="M244" s="204" t="n">
        <v>8</v>
      </c>
    </row>
    <row r="245">
      <c r="A245" s="203" t="n">
        <v>43405</v>
      </c>
      <c r="B245" s="204" t="n">
        <v>-0.147</v>
      </c>
      <c r="C245" s="204" t="n"/>
      <c r="D245" s="204" t="n"/>
      <c r="E245" s="204" t="n"/>
      <c r="F245" s="204" t="n"/>
      <c r="G245" s="204" t="n">
        <v>2.009</v>
      </c>
      <c r="H245" s="204" t="n">
        <v>-0.147</v>
      </c>
      <c r="I245" s="204" t="n"/>
      <c r="J245" s="204" t="n">
        <v>3</v>
      </c>
      <c r="K245" s="204" t="n">
        <v>5</v>
      </c>
      <c r="L245" s="204" t="n">
        <v>3.75</v>
      </c>
      <c r="M245" s="204" t="n">
        <v>8</v>
      </c>
    </row>
    <row r="246">
      <c r="A246" s="203" t="n">
        <v>43435</v>
      </c>
      <c r="B246" s="204" t="n">
        <v>-0.129</v>
      </c>
      <c r="C246" s="204" t="n"/>
      <c r="D246" s="204" t="n"/>
      <c r="E246" s="204" t="n"/>
      <c r="F246" s="204" t="n"/>
      <c r="G246" s="204" t="n">
        <v>2.037</v>
      </c>
      <c r="H246" s="204" t="n">
        <v>-0.129</v>
      </c>
      <c r="I246" s="204" t="n"/>
      <c r="J246" s="204" t="n">
        <v>3</v>
      </c>
      <c r="K246" s="204" t="n">
        <v>5</v>
      </c>
      <c r="L246" s="204" t="n">
        <v>3.75</v>
      </c>
      <c r="M246" s="204" t="n">
        <v>8</v>
      </c>
    </row>
    <row r="247">
      <c r="A247" s="203" t="n">
        <v>43466</v>
      </c>
      <c r="B247" s="204" t="n">
        <v>-0.116</v>
      </c>
      <c r="C247" s="204" t="n"/>
      <c r="D247" s="204" t="n"/>
      <c r="E247" s="204" t="n"/>
      <c r="F247" s="204" t="n"/>
      <c r="G247" s="204" t="n">
        <v>2.022</v>
      </c>
      <c r="H247" s="204" t="n">
        <v>-0.116</v>
      </c>
      <c r="I247" s="204" t="n"/>
      <c r="J247" s="204" t="n">
        <v>3</v>
      </c>
      <c r="K247" s="204" t="n">
        <v>5</v>
      </c>
      <c r="L247" s="204" t="n">
        <v>3.75</v>
      </c>
      <c r="M247" s="204" t="n">
        <v>8</v>
      </c>
    </row>
    <row r="248">
      <c r="A248" s="203" t="n">
        <v>43497</v>
      </c>
      <c r="B248" s="204" t="n">
        <v>-0.108</v>
      </c>
      <c r="C248" s="204" t="n"/>
      <c r="D248" s="204" t="n"/>
      <c r="E248" s="204" t="n"/>
      <c r="F248" s="204" t="n"/>
      <c r="G248" s="204" t="n">
        <v>2.056</v>
      </c>
      <c r="H248" s="204" t="n">
        <v>-0.108</v>
      </c>
      <c r="I248" s="204" t="n"/>
      <c r="J248" s="204" t="n">
        <v>3</v>
      </c>
      <c r="K248" s="204" t="n">
        <v>5</v>
      </c>
      <c r="L248" s="204" t="n">
        <v>3.75</v>
      </c>
      <c r="M248" s="204" t="n">
        <v>8</v>
      </c>
    </row>
    <row r="249">
      <c r="A249" s="203" t="n">
        <v>43525</v>
      </c>
      <c r="B249" s="204" t="n">
        <v>-0.109</v>
      </c>
      <c r="C249" s="204" t="n"/>
      <c r="D249" s="204" t="n"/>
      <c r="E249" s="204" t="n"/>
      <c r="F249" s="204" t="n"/>
      <c r="G249" s="204" t="n">
        <v>2.039</v>
      </c>
      <c r="H249" s="204" t="n">
        <v>-0.109</v>
      </c>
      <c r="I249" s="204" t="n"/>
      <c r="J249" s="204" t="n">
        <v>3</v>
      </c>
      <c r="K249" s="204" t="n">
        <v>5</v>
      </c>
      <c r="L249" s="204" t="n">
        <v>3.75</v>
      </c>
      <c r="M249" s="204" t="n">
        <v>8</v>
      </c>
    </row>
    <row r="250">
      <c r="A250" s="203" t="n">
        <v>43556</v>
      </c>
      <c r="B250" s="204" t="n">
        <v>-0.112</v>
      </c>
      <c r="C250" s="204" t="n"/>
      <c r="D250" s="204" t="n"/>
      <c r="E250" s="204" t="n"/>
      <c r="F250" s="204" t="n"/>
      <c r="G250" s="204" t="n">
        <v>2.017</v>
      </c>
      <c r="H250" s="204" t="n">
        <v>-0.112</v>
      </c>
      <c r="I250" s="204" t="n"/>
      <c r="J250" s="204" t="n">
        <v>3</v>
      </c>
      <c r="K250" s="204" t="n">
        <v>5</v>
      </c>
      <c r="L250" s="204" t="n">
        <v>3.75</v>
      </c>
      <c r="M250" s="204" t="n">
        <v>8</v>
      </c>
    </row>
    <row r="251">
      <c r="A251" s="203" t="n">
        <v>43586</v>
      </c>
      <c r="B251" s="204" t="n">
        <v>-0.134</v>
      </c>
      <c r="C251" s="204" t="n"/>
      <c r="D251" s="204" t="n"/>
      <c r="E251" s="204" t="n"/>
      <c r="F251" s="204" t="n"/>
      <c r="G251" s="204" t="n">
        <v>2.052</v>
      </c>
      <c r="H251" s="204" t="n">
        <v>-0.134</v>
      </c>
      <c r="I251" s="204" t="n"/>
      <c r="J251" s="204" t="n">
        <v>3</v>
      </c>
      <c r="K251" s="204" t="n">
        <v>5</v>
      </c>
      <c r="L251" s="204" t="n">
        <v>3.75</v>
      </c>
      <c r="M251" s="204" t="n">
        <v>8</v>
      </c>
    </row>
    <row r="252">
      <c r="A252" s="203" t="n">
        <v>43617</v>
      </c>
      <c r="B252" s="204" t="n">
        <v>-0.19</v>
      </c>
      <c r="C252" s="204" t="n"/>
      <c r="D252" s="204" t="n"/>
      <c r="E252" s="204" t="n"/>
      <c r="F252" s="204" t="n"/>
      <c r="G252" s="204" t="n">
        <v>2.041</v>
      </c>
      <c r="H252" s="204" t="n">
        <v>-0.19</v>
      </c>
      <c r="I252" s="204" t="n"/>
      <c r="J252" s="204" t="n">
        <v>3</v>
      </c>
      <c r="K252" s="204" t="n">
        <v>5</v>
      </c>
      <c r="L252" s="204" t="n">
        <v>3.75</v>
      </c>
      <c r="M252" s="204" t="n">
        <v>8</v>
      </c>
    </row>
    <row r="253">
      <c r="A253" s="203" t="n">
        <v>43647</v>
      </c>
      <c r="B253" s="204" t="n">
        <v>-0.283</v>
      </c>
      <c r="C253" s="204" t="n"/>
      <c r="D253" s="204" t="n"/>
      <c r="E253" s="204" t="n"/>
      <c r="F253" s="204" t="n"/>
      <c r="G253" s="204" t="n">
        <v>1.836</v>
      </c>
      <c r="H253" s="204" t="n">
        <v>-0.283</v>
      </c>
      <c r="I253" s="204" t="n"/>
      <c r="J253" s="204" t="n">
        <v>3</v>
      </c>
      <c r="K253" s="204" t="n">
        <v>5</v>
      </c>
      <c r="L253" s="204" t="n">
        <v>3.75</v>
      </c>
      <c r="M253" s="204" t="n">
        <v>8</v>
      </c>
    </row>
    <row r="254">
      <c r="A254" s="203" t="n">
        <v>43678</v>
      </c>
      <c r="B254" s="204" t="n">
        <v>-0.356</v>
      </c>
      <c r="C254" s="204" t="n"/>
      <c r="D254" s="204" t="n"/>
      <c r="E254" s="204" t="n"/>
      <c r="F254" s="204" t="n"/>
      <c r="G254" s="204" t="n">
        <v>1.913</v>
      </c>
      <c r="H254" s="204" t="n">
        <v>-0.356</v>
      </c>
      <c r="I254" s="204" t="n"/>
      <c r="J254" s="204" t="n">
        <v>3</v>
      </c>
      <c r="K254" s="204" t="n">
        <v>5</v>
      </c>
      <c r="L254" s="204" t="n">
        <v>3.75</v>
      </c>
      <c r="M254" s="204" t="n">
        <v>8</v>
      </c>
    </row>
    <row r="255">
      <c r="A255" s="203" t="n">
        <v>43709</v>
      </c>
      <c r="B255" s="204" t="n">
        <v>-0.339</v>
      </c>
      <c r="C255" s="204" t="n"/>
      <c r="D255" s="204" t="n"/>
      <c r="E255" s="204" t="n"/>
      <c r="F255" s="204" t="n"/>
      <c r="G255" s="204" t="n">
        <v>1.825</v>
      </c>
      <c r="H255" s="204" t="n">
        <v>-0.339</v>
      </c>
      <c r="I255" s="204" t="n"/>
      <c r="J255" s="204" t="n">
        <v>3</v>
      </c>
      <c r="K255" s="204" t="n">
        <v>5</v>
      </c>
      <c r="L255" s="204" t="n">
        <v>3.75</v>
      </c>
      <c r="M255" s="204" t="n">
        <v>8</v>
      </c>
    </row>
    <row r="256">
      <c r="A256" s="203" t="n">
        <v>43739</v>
      </c>
      <c r="B256" s="204" t="n">
        <v>-0.304</v>
      </c>
      <c r="C256" s="204" t="n"/>
      <c r="D256" s="204" t="n"/>
      <c r="E256" s="204" t="n"/>
      <c r="F256" s="204" t="n"/>
      <c r="G256" s="204" t="n">
        <v>1.806</v>
      </c>
      <c r="H256" s="204" t="n">
        <v>-0.304</v>
      </c>
      <c r="I256" s="204" t="n"/>
      <c r="J256" s="204" t="n">
        <v>3</v>
      </c>
      <c r="K256" s="204" t="n">
        <v>5</v>
      </c>
      <c r="L256" s="204" t="n">
        <v>3.75</v>
      </c>
      <c r="M256" s="204" t="n">
        <v>8</v>
      </c>
    </row>
    <row r="257">
      <c r="A257" s="203" t="n">
        <v>43770</v>
      </c>
      <c r="B257" s="204" t="n">
        <v>-0.272</v>
      </c>
      <c r="C257" s="204" t="n"/>
      <c r="D257" s="204" t="n"/>
      <c r="E257" s="204" t="n"/>
      <c r="F257" s="204" t="n"/>
      <c r="G257" s="204" t="n">
        <v>1.803</v>
      </c>
      <c r="H257" s="204" t="n">
        <v>-0.272</v>
      </c>
      <c r="I257" s="204" t="n"/>
      <c r="J257" s="204" t="n">
        <v>3</v>
      </c>
      <c r="K257" s="204" t="n">
        <v>5</v>
      </c>
      <c r="L257" s="204" t="n">
        <v>3.75</v>
      </c>
      <c r="M257" s="204" t="n">
        <v>8</v>
      </c>
    </row>
    <row r="258">
      <c r="A258" s="203" t="n">
        <v>43800</v>
      </c>
      <c r="B258" s="204" t="n">
        <v>-0.261</v>
      </c>
      <c r="C258" s="204" t="n"/>
      <c r="D258" s="204" t="n"/>
      <c r="E258" s="204" t="n"/>
      <c r="F258" s="204" t="n"/>
      <c r="G258" s="204" t="n">
        <v>1.807</v>
      </c>
      <c r="H258" s="204" t="n">
        <v>-0.261</v>
      </c>
      <c r="I258" s="204" t="n"/>
      <c r="J258" s="204" t="n">
        <v>3</v>
      </c>
      <c r="K258" s="204" t="n">
        <v>5</v>
      </c>
      <c r="L258" s="204" t="n">
        <v>3.75</v>
      </c>
      <c r="M258" s="204" t="n">
        <v>8</v>
      </c>
    </row>
    <row r="259">
      <c r="A259" s="203" t="n">
        <v>43831</v>
      </c>
      <c r="B259" s="204" t="n">
        <v>-0.253</v>
      </c>
      <c r="C259" s="204" t="n"/>
      <c r="D259" s="204" t="n"/>
      <c r="E259" s="204" t="n"/>
      <c r="F259" s="204" t="n"/>
      <c r="G259" s="204" t="n">
        <v>1.825</v>
      </c>
      <c r="H259" s="204" t="n">
        <v>-0.253</v>
      </c>
      <c r="I259" s="204" t="n"/>
      <c r="J259" s="204" t="n">
        <v>3</v>
      </c>
      <c r="K259" s="204" t="n">
        <v>5</v>
      </c>
      <c r="L259" s="204" t="n">
        <v>3.75</v>
      </c>
      <c r="M259" s="204" t="n">
        <v>8</v>
      </c>
    </row>
    <row r="260">
      <c r="A260" s="203" t="n">
        <v>43862</v>
      </c>
      <c r="B260" s="204" t="n">
        <v>-0.288</v>
      </c>
      <c r="C260" s="204" t="n"/>
      <c r="D260" s="204" t="n"/>
      <c r="E260" s="204" t="n"/>
      <c r="F260" s="204" t="n"/>
      <c r="G260" s="204" t="n">
        <v>1.816</v>
      </c>
      <c r="H260" s="204" t="n">
        <v>-0.288</v>
      </c>
      <c r="I260" s="204" t="n"/>
      <c r="J260" s="204" t="n">
        <v>3</v>
      </c>
      <c r="K260" s="204" t="n">
        <v>5</v>
      </c>
      <c r="L260" s="204" t="n">
        <v>3.75</v>
      </c>
      <c r="M260" s="204" t="n">
        <v>8</v>
      </c>
    </row>
    <row r="261">
      <c r="A261" s="203" t="n">
        <v>43891</v>
      </c>
      <c r="B261" s="204" t="n">
        <v>-0.266</v>
      </c>
      <c r="C261" s="204" t="n"/>
      <c r="D261" s="204" t="n"/>
      <c r="E261" s="204" t="n"/>
      <c r="F261" s="204" t="n"/>
      <c r="G261" s="204" t="n">
        <v>1.765</v>
      </c>
      <c r="H261" s="204" t="n">
        <v>-0.266</v>
      </c>
      <c r="I261" s="204" t="n"/>
      <c r="J261" s="204" t="n">
        <v>3</v>
      </c>
      <c r="K261" s="204" t="n">
        <v>5</v>
      </c>
      <c r="L261" s="204" t="n">
        <v>3.75</v>
      </c>
      <c r="M261" s="204" t="n">
        <v>8</v>
      </c>
    </row>
    <row r="262">
      <c r="A262" s="203" t="n">
        <v>43922</v>
      </c>
      <c r="B262" s="204" t="n">
        <v>-0.108</v>
      </c>
      <c r="C262" s="204" t="n"/>
      <c r="D262" s="204" t="n"/>
      <c r="E262" s="204" t="n"/>
      <c r="F262" s="204" t="n"/>
      <c r="G262" s="204" t="n">
        <v>1.754</v>
      </c>
      <c r="H262" s="204" t="n">
        <v>-0.108</v>
      </c>
      <c r="I262" s="204" t="n"/>
      <c r="J262" s="204" t="n">
        <v>3</v>
      </c>
      <c r="K262" s="204" t="n">
        <v>5</v>
      </c>
      <c r="L262" s="204" t="n">
        <v>3.75</v>
      </c>
      <c r="M262" s="204" t="n">
        <v>8</v>
      </c>
    </row>
    <row r="263">
      <c r="A263" s="203" t="n">
        <v>43952</v>
      </c>
      <c r="B263" s="204" t="n">
        <v>-0.081</v>
      </c>
      <c r="C263" s="204" t="n"/>
      <c r="D263" s="204" t="n"/>
      <c r="E263" s="204" t="n"/>
      <c r="F263" s="204" t="n"/>
      <c r="G263" s="204" t="n">
        <v>1.745</v>
      </c>
      <c r="H263" s="204" t="n">
        <v>-0.081</v>
      </c>
      <c r="I263" s="204" t="n"/>
      <c r="J263" s="204" t="n">
        <v>3</v>
      </c>
      <c r="K263" s="204" t="n">
        <v>5</v>
      </c>
      <c r="L263" s="204" t="n">
        <v>3.75</v>
      </c>
      <c r="M263" s="204" t="n">
        <v>8</v>
      </c>
    </row>
    <row r="264">
      <c r="A264" s="203" t="n">
        <v>43983</v>
      </c>
      <c r="B264" s="204" t="n">
        <v>-0.147</v>
      </c>
      <c r="C264" s="204" t="n"/>
      <c r="D264" s="204" t="n"/>
      <c r="E264" s="204" t="n"/>
      <c r="F264" s="204" t="n"/>
      <c r="G264" s="204" t="n">
        <v>1.744</v>
      </c>
      <c r="H264" s="204" t="n">
        <v>-0.147</v>
      </c>
      <c r="I264" s="204" t="n"/>
      <c r="J264" s="204" t="n">
        <v>3</v>
      </c>
      <c r="K264" s="204" t="n">
        <v>5</v>
      </c>
      <c r="L264" s="204" t="n">
        <v>3.75</v>
      </c>
      <c r="M264" s="204" t="n">
        <v>8</v>
      </c>
    </row>
    <row r="265">
      <c r="A265" s="203" t="n">
        <v>44013</v>
      </c>
      <c r="B265" s="204" t="n">
        <v>-0.279</v>
      </c>
      <c r="C265" s="204" t="n"/>
      <c r="D265" s="204" t="n"/>
      <c r="E265" s="204" t="n"/>
      <c r="F265" s="204" t="n"/>
      <c r="G265" s="204" t="n">
        <v>1.745</v>
      </c>
      <c r="H265" s="204" t="n">
        <v>-0.279</v>
      </c>
      <c r="I265" s="204" t="n"/>
      <c r="J265" s="204" t="n">
        <v>3</v>
      </c>
      <c r="K265" s="204" t="n">
        <v>5</v>
      </c>
      <c r="L265" s="204" t="n">
        <v>3.75</v>
      </c>
      <c r="M265" s="204" t="n">
        <v>8</v>
      </c>
    </row>
    <row r="266">
      <c r="A266" s="203" t="n">
        <v>44044</v>
      </c>
      <c r="B266" s="204" t="n">
        <v>-0.359</v>
      </c>
      <c r="C266" s="204" t="n"/>
      <c r="D266" s="204" t="n"/>
      <c r="E266" s="204" t="n"/>
      <c r="F266" s="204" t="n"/>
      <c r="G266" s="204" t="n">
        <v>1.743</v>
      </c>
      <c r="H266" s="204" t="n">
        <v>-0.359</v>
      </c>
      <c r="I266" s="204" t="n"/>
      <c r="J266" s="204" t="n">
        <v>3</v>
      </c>
      <c r="K266" s="204" t="n">
        <v>5</v>
      </c>
      <c r="L266" s="204" t="n">
        <v>3.75</v>
      </c>
      <c r="M266" s="204" t="n">
        <v>8</v>
      </c>
    </row>
    <row r="267">
      <c r="A267" s="203" t="n">
        <v>44075</v>
      </c>
      <c r="B267" s="204" t="n">
        <v>-0.415</v>
      </c>
      <c r="C267" s="204" t="n"/>
      <c r="D267" s="204" t="n"/>
      <c r="E267" s="204" t="n"/>
      <c r="F267" s="204" t="n"/>
      <c r="G267" s="204" t="n">
        <v>1.7</v>
      </c>
      <c r="H267" s="204" t="n">
        <v>-0.415</v>
      </c>
      <c r="I267" s="204" t="n"/>
      <c r="J267" s="204" t="n">
        <v>3</v>
      </c>
      <c r="K267" s="204" t="n">
        <v>5</v>
      </c>
      <c r="L267" s="204" t="n">
        <v>3.75</v>
      </c>
      <c r="M267" s="204" t="n">
        <v>8</v>
      </c>
    </row>
    <row r="268">
      <c r="A268" s="203" t="n">
        <v>44105</v>
      </c>
      <c r="B268" s="204" t="n">
        <v>-0.466</v>
      </c>
      <c r="C268" s="204" t="n"/>
      <c r="D268" s="204" t="n"/>
      <c r="E268" s="204" t="n"/>
      <c r="F268" s="204" t="n"/>
      <c r="G268" s="204" t="n">
        <v>1.663</v>
      </c>
      <c r="H268" s="204" t="n">
        <v>-0.466</v>
      </c>
      <c r="I268" s="204" t="n">
        <v>-0.553</v>
      </c>
      <c r="J268" s="204" t="n">
        <v>3</v>
      </c>
      <c r="K268" s="204" t="n">
        <v>5</v>
      </c>
      <c r="L268" s="204" t="n">
        <v>3.75</v>
      </c>
      <c r="M268" s="204" t="n">
        <v>8</v>
      </c>
    </row>
    <row r="269">
      <c r="A269" s="203" t="n">
        <v>44136</v>
      </c>
      <c r="B269" s="204" t="n">
        <v>-0.481</v>
      </c>
      <c r="C269" s="204" t="n"/>
      <c r="D269" s="204" t="n"/>
      <c r="E269" s="204" t="n"/>
      <c r="F269" s="204" t="n"/>
      <c r="G269" s="204" t="n">
        <v>1.661</v>
      </c>
      <c r="H269" s="204" t="n">
        <v>-0.481</v>
      </c>
      <c r="I269" s="204" t="n">
        <v>-0.556</v>
      </c>
      <c r="J269" s="204" t="n">
        <v>3</v>
      </c>
      <c r="K269" s="204" t="n">
        <v>5</v>
      </c>
      <c r="L269" s="204" t="n">
        <v>3.75</v>
      </c>
      <c r="M269" s="204" t="n">
        <v>8</v>
      </c>
    </row>
    <row r="270">
      <c r="A270" s="203" t="n">
        <v>44166</v>
      </c>
      <c r="B270" s="204" t="n">
        <v>-0.497</v>
      </c>
      <c r="C270" s="204" t="n"/>
      <c r="D270" s="204" t="n"/>
      <c r="E270" s="204" t="n"/>
      <c r="F270" s="204" t="n"/>
      <c r="G270" s="204" t="n">
        <v>1.563</v>
      </c>
      <c r="H270" s="204" t="n">
        <v>-0.497</v>
      </c>
      <c r="I270" s="204" t="n">
        <v>-0.555</v>
      </c>
      <c r="J270" s="204" t="n">
        <v>3</v>
      </c>
      <c r="K270" s="204" t="n">
        <v>5</v>
      </c>
      <c r="L270" s="204" t="n">
        <v>3.75</v>
      </c>
      <c r="M270" s="204" t="n">
        <v>8</v>
      </c>
    </row>
    <row r="271">
      <c r="A271" s="203" t="n">
        <v>44197</v>
      </c>
      <c r="B271" s="204" t="n">
        <v>-0.505</v>
      </c>
      <c r="C271" s="204" t="n">
        <v>-0.529</v>
      </c>
      <c r="D271" s="204" t="n">
        <v>-0.547</v>
      </c>
      <c r="E271" s="204" t="n">
        <v>-0.5620000000000001</v>
      </c>
      <c r="F271" s="204" t="n">
        <v>-0.5679999999999999</v>
      </c>
      <c r="G271" s="204" t="n">
        <v>1.558</v>
      </c>
      <c r="H271" s="204" t="n">
        <v>-0.505</v>
      </c>
      <c r="I271" s="204" t="n">
        <v>-0.5610000000000001</v>
      </c>
      <c r="J271" s="204" t="n">
        <v>3</v>
      </c>
      <c r="K271" s="204" t="n">
        <v>5</v>
      </c>
      <c r="L271" s="204" t="n">
        <v>3.75</v>
      </c>
      <c r="M271" s="204" t="n">
        <v>8</v>
      </c>
    </row>
    <row r="272">
      <c r="A272" s="203" t="n">
        <v>44228</v>
      </c>
      <c r="B272" s="204" t="n">
        <v>-0.501</v>
      </c>
      <c r="C272" s="204" t="n">
        <v>-0.521</v>
      </c>
      <c r="D272" s="204" t="n">
        <v>-0.541</v>
      </c>
      <c r="E272" s="204" t="n">
        <v>-0.553</v>
      </c>
      <c r="F272" s="204" t="n">
        <v>-0.5659999999999999</v>
      </c>
      <c r="G272" s="204" t="n">
        <v>1.565</v>
      </c>
      <c r="H272" s="204" t="n">
        <v>-0.501</v>
      </c>
      <c r="I272" s="204" t="n">
        <v>-0.5639999999999999</v>
      </c>
      <c r="J272" s="204" t="n">
        <v>3</v>
      </c>
      <c r="K272" s="204" t="n">
        <v>5</v>
      </c>
      <c r="L272" s="204" t="n">
        <v>3.75</v>
      </c>
      <c r="M272" s="204" t="n">
        <v>8</v>
      </c>
    </row>
    <row r="273">
      <c r="A273" s="203" t="n">
        <v>44256</v>
      </c>
      <c r="B273" s="204" t="n">
        <v>-0.487</v>
      </c>
      <c r="C273" s="204" t="n">
        <v>-0.516</v>
      </c>
      <c r="D273" s="204" t="n">
        <v>-0.539</v>
      </c>
      <c r="E273" s="204" t="n">
        <v>-0.553</v>
      </c>
      <c r="F273" s="204" t="n">
        <v>-0.5649999999999999</v>
      </c>
      <c r="G273" s="204" t="n">
        <v>1.571</v>
      </c>
      <c r="H273" s="204" t="n">
        <v>-0.487</v>
      </c>
      <c r="I273" s="204" t="n">
        <v>-0.5669999999999999</v>
      </c>
      <c r="J273" s="204" t="n">
        <v>3</v>
      </c>
      <c r="K273" s="204" t="n">
        <v>5</v>
      </c>
      <c r="L273" s="204" t="n">
        <v>3.75</v>
      </c>
      <c r="M273" s="204" t="n">
        <v>8</v>
      </c>
    </row>
    <row r="274">
      <c r="A274" s="203" t="n">
        <v>44287</v>
      </c>
      <c r="B274" s="204" t="n">
        <v>-0.484</v>
      </c>
      <c r="C274" s="204" t="n">
        <v>-0.516</v>
      </c>
      <c r="D274" s="204" t="n">
        <v>-0.538</v>
      </c>
      <c r="E274" s="204" t="n">
        <v>-0.555</v>
      </c>
      <c r="F274" s="204" t="n">
        <v>-0.5639999999999999</v>
      </c>
      <c r="G274" s="204" t="n">
        <v>1.48</v>
      </c>
      <c r="H274" s="204" t="n">
        <v>-0.484</v>
      </c>
      <c r="I274" s="204" t="n"/>
      <c r="J274" s="204" t="n">
        <v>3</v>
      </c>
      <c r="K274" s="204" t="n">
        <v>5</v>
      </c>
      <c r="L274" s="204" t="n">
        <v>3.75</v>
      </c>
      <c r="M274" s="204" t="n">
        <v>8</v>
      </c>
    </row>
    <row r="275">
      <c r="A275" s="203" t="n">
        <v>44317</v>
      </c>
      <c r="B275" s="204" t="n">
        <v>-0.481</v>
      </c>
      <c r="C275" s="204" t="n">
        <v>-0.513</v>
      </c>
      <c r="D275" s="204" t="n">
        <v>-0.54</v>
      </c>
      <c r="E275" s="204" t="n">
        <v>-0.5580000000000001</v>
      </c>
      <c r="F275" s="204" t="n">
        <v>-0.5649999999999999</v>
      </c>
      <c r="G275" s="204" t="n">
        <v>1.507</v>
      </c>
      <c r="H275" s="204" t="n">
        <v>-0.481</v>
      </c>
      <c r="I275" s="204" t="n">
        <v>-0.5649999999999999</v>
      </c>
      <c r="J275" s="204" t="n">
        <v>3</v>
      </c>
      <c r="K275" s="204" t="n">
        <v>5</v>
      </c>
      <c r="L275" s="204" t="n">
        <v>3.75</v>
      </c>
      <c r="M275" s="204" t="n">
        <v>8</v>
      </c>
    </row>
    <row r="276">
      <c r="A276" s="203" t="n">
        <v>44348</v>
      </c>
      <c r="B276" s="204" t="n">
        <v>-0.484</v>
      </c>
      <c r="C276" s="204" t="n">
        <v>-0.515</v>
      </c>
      <c r="D276" s="204" t="n">
        <v>-0.543</v>
      </c>
      <c r="E276" s="204" t="n">
        <v>-0.555</v>
      </c>
      <c r="F276" s="204" t="n">
        <v>-0.5669999999999999</v>
      </c>
      <c r="G276" s="204" t="n">
        <v>1.527</v>
      </c>
      <c r="H276" s="204" t="n">
        <v>-0.484</v>
      </c>
      <c r="I276" s="204" t="n">
        <v>-0.5649999999999999</v>
      </c>
      <c r="J276" s="204" t="n">
        <v>3</v>
      </c>
      <c r="K276" s="204" t="n">
        <v>5</v>
      </c>
      <c r="L276" s="204" t="n">
        <v>3.75</v>
      </c>
      <c r="M276" s="204" t="n">
        <v>8</v>
      </c>
    </row>
    <row r="277">
      <c r="A277" s="203" t="n">
        <v>44378</v>
      </c>
      <c r="B277" s="204" t="n">
        <v>-0.491</v>
      </c>
      <c r="C277" s="204" t="n">
        <v>-0.516</v>
      </c>
      <c r="D277" s="204" t="n">
        <v>-0.545</v>
      </c>
      <c r="E277" s="204" t="n">
        <v>-0.556</v>
      </c>
      <c r="F277" s="204" t="n">
        <v>-0.5659999999999999</v>
      </c>
      <c r="G277" s="204" t="n">
        <v>1.485</v>
      </c>
      <c r="H277" s="204" t="n">
        <v>-0.491</v>
      </c>
      <c r="I277" s="204" t="n">
        <v>-0.5659999999999999</v>
      </c>
      <c r="J277" s="204" t="n">
        <v>3</v>
      </c>
      <c r="K277" s="204" t="n">
        <v>5</v>
      </c>
      <c r="L277" s="204" t="n">
        <v>3.75</v>
      </c>
      <c r="M277" s="204" t="n">
        <v>8</v>
      </c>
    </row>
    <row r="278">
      <c r="A278" s="203" t="n">
        <v>44409</v>
      </c>
      <c r="B278" s="204" t="n">
        <v>-0.498</v>
      </c>
      <c r="C278" s="204" t="n">
        <v>-0.527</v>
      </c>
      <c r="D278" s="204" t="n">
        <v>-0.548</v>
      </c>
      <c r="E278" s="204" t="n">
        <v>-0.5600000000000001</v>
      </c>
      <c r="F278" s="204" t="n">
        <v>-0.571</v>
      </c>
      <c r="G278" s="204" t="n">
        <v>1.529</v>
      </c>
      <c r="H278" s="204" t="n">
        <v>-0.498</v>
      </c>
      <c r="I278" s="204" t="n">
        <v>-0.5679999999999999</v>
      </c>
      <c r="J278" s="204" t="n">
        <v>3</v>
      </c>
      <c r="K278" s="204" t="n">
        <v>5</v>
      </c>
      <c r="L278" s="204" t="n">
        <v>3.75</v>
      </c>
      <c r="M278" s="204" t="n">
        <v>8</v>
      </c>
    </row>
    <row r="279">
      <c r="A279" s="203" t="n">
        <v>44440</v>
      </c>
      <c r="B279" s="204" t="n">
        <v>-0.492</v>
      </c>
      <c r="C279" s="204" t="n">
        <v>-0.522</v>
      </c>
      <c r="D279" s="204" t="n">
        <v>-0.545</v>
      </c>
      <c r="E279" s="204" t="n">
        <v>-0.5580000000000001</v>
      </c>
      <c r="F279" s="204" t="n">
        <v>-0.57</v>
      </c>
      <c r="G279" s="204" t="n">
        <v>1.489</v>
      </c>
      <c r="H279" s="204" t="n">
        <v>-0.492</v>
      </c>
      <c r="I279" s="204" t="n">
        <v>-0.57</v>
      </c>
      <c r="J279" s="204" t="n">
        <v>3</v>
      </c>
      <c r="K279" s="204" t="n">
        <v>5</v>
      </c>
      <c r="L279" s="204" t="n">
        <v>3.75</v>
      </c>
      <c r="M279" s="204" t="n">
        <v>8</v>
      </c>
    </row>
    <row r="280">
      <c r="A280" s="203" t="n">
        <v>44470</v>
      </c>
      <c r="B280" s="204" t="n">
        <v>-0.477</v>
      </c>
      <c r="C280" s="204" t="n">
        <v>-0.527</v>
      </c>
      <c r="D280" s="204" t="n">
        <v>-0.55</v>
      </c>
      <c r="E280" s="204" t="n">
        <v>-0.5600000000000001</v>
      </c>
      <c r="F280" s="204" t="n">
        <v>-0.57</v>
      </c>
      <c r="G280" s="204" t="n">
        <v>1.467</v>
      </c>
      <c r="H280" s="204" t="n">
        <v>-0.477</v>
      </c>
      <c r="I280" s="204" t="n">
        <v>-0.571</v>
      </c>
      <c r="J280" s="204" t="n">
        <v>3</v>
      </c>
      <c r="K280" s="204" t="n">
        <v>5</v>
      </c>
      <c r="L280" s="204" t="n">
        <v>3.75</v>
      </c>
      <c r="M280" s="204" t="n">
        <v>8</v>
      </c>
    </row>
    <row r="281">
      <c r="A281" s="203" t="n">
        <v>44501</v>
      </c>
      <c r="B281" s="204" t="n">
        <v>-0.487</v>
      </c>
      <c r="C281" s="204" t="n">
        <v>-0.534</v>
      </c>
      <c r="D281" s="204" t="n">
        <v>-0.5669999999999999</v>
      </c>
      <c r="E281" s="204" t="n">
        <v>-0.5649999999999999</v>
      </c>
      <c r="F281" s="204" t="n">
        <v>-0.573</v>
      </c>
      <c r="G281" s="204" t="n">
        <v>1.412</v>
      </c>
      <c r="H281" s="204" t="n">
        <v>-0.487</v>
      </c>
      <c r="I281" s="204" t="n">
        <v>-0.573</v>
      </c>
      <c r="J281" s="204" t="n">
        <v>3</v>
      </c>
      <c r="K281" s="204" t="n">
        <v>5</v>
      </c>
      <c r="L281" s="204" t="n">
        <v>3.75</v>
      </c>
      <c r="M281" s="204" t="n">
        <v>8</v>
      </c>
    </row>
    <row r="282">
      <c r="A282" s="203" t="n">
        <v>44531</v>
      </c>
      <c r="B282" s="204" t="n">
        <v>-0.502</v>
      </c>
      <c r="C282" s="204" t="n">
        <v>-0.545</v>
      </c>
      <c r="D282" s="204" t="n">
        <v>-0.582</v>
      </c>
      <c r="E282" s="204" t="n">
        <v>-0.596</v>
      </c>
      <c r="F282" s="204" t="n">
        <v>-0.58</v>
      </c>
      <c r="G282" s="204" t="n">
        <v>1.448</v>
      </c>
      <c r="H282" s="204" t="n">
        <v>-0.502</v>
      </c>
      <c r="I282" s="204" t="n">
        <v>-0.578</v>
      </c>
      <c r="J282" s="204" t="n">
        <v>3</v>
      </c>
      <c r="K282" s="204" t="n">
        <v>5</v>
      </c>
      <c r="L282" s="204" t="n">
        <v>3.75</v>
      </c>
      <c r="M282" s="204" t="n">
        <v>8</v>
      </c>
    </row>
    <row r="283">
      <c r="A283" s="203" t="n">
        <v>44562</v>
      </c>
      <c r="B283" s="204" t="n">
        <v>-0.477</v>
      </c>
      <c r="C283" s="204" t="n">
        <v>-0.527</v>
      </c>
      <c r="D283" s="204" t="n">
        <v>-0.5600000000000001</v>
      </c>
      <c r="E283" s="204" t="n">
        <v>-0.5649999999999999</v>
      </c>
      <c r="F283" s="204" t="n">
        <v>-0.576</v>
      </c>
      <c r="G283" s="204" t="n">
        <v>1.485</v>
      </c>
      <c r="H283" s="204" t="n">
        <v>-0.477</v>
      </c>
      <c r="I283" s="204" t="n">
        <v>-0.575</v>
      </c>
      <c r="J283" s="204" t="n">
        <v>3</v>
      </c>
      <c r="K283" s="204" t="n">
        <v>5</v>
      </c>
      <c r="L283" s="204" t="n">
        <v>3.75</v>
      </c>
      <c r="M283" s="204" t="n">
        <v>8</v>
      </c>
    </row>
    <row r="284">
      <c r="A284" s="203" t="n">
        <v>44593</v>
      </c>
      <c r="B284" s="204" t="n">
        <v>-0.335</v>
      </c>
      <c r="C284" s="204" t="n">
        <v>-0.476</v>
      </c>
      <c r="D284" s="204" t="n">
        <v>-0.532</v>
      </c>
      <c r="E284" s="204" t="n">
        <v>-0.553</v>
      </c>
      <c r="F284" s="204" t="n">
        <v>-0.571</v>
      </c>
      <c r="G284" s="204" t="n">
        <v>1.481</v>
      </c>
      <c r="H284" s="204" t="n">
        <v>-0.335</v>
      </c>
      <c r="I284" s="204" t="n">
        <v>-0.575</v>
      </c>
      <c r="J284" s="204" t="n">
        <v>3</v>
      </c>
      <c r="K284" s="204" t="n">
        <v>5</v>
      </c>
      <c r="L284" s="204" t="n">
        <v>3.75</v>
      </c>
      <c r="M284" s="204" t="n">
        <v>8</v>
      </c>
    </row>
    <row r="285">
      <c r="A285" s="203" t="n">
        <v>44621</v>
      </c>
      <c r="B285" s="204" t="n">
        <v>-0.237</v>
      </c>
      <c r="C285" s="204" t="n">
        <v>-0.418</v>
      </c>
      <c r="D285" s="204" t="n">
        <v>-0.495</v>
      </c>
      <c r="E285" s="204" t="n">
        <v>-0.544</v>
      </c>
      <c r="F285" s="204" t="n">
        <v>-0.569</v>
      </c>
      <c r="G285" s="204" t="n">
        <v>1.513</v>
      </c>
      <c r="H285" s="204" t="n">
        <v>-0.237</v>
      </c>
      <c r="I285" s="204" t="n">
        <v>-0.58</v>
      </c>
      <c r="J285" s="204" t="n">
        <v>3</v>
      </c>
      <c r="K285" s="204" t="n">
        <v>5</v>
      </c>
      <c r="L285" s="204" t="n">
        <v>3.75</v>
      </c>
      <c r="M285" s="204" t="n">
        <v>8</v>
      </c>
    </row>
    <row r="286">
      <c r="A286" s="203" t="n">
        <v>44652</v>
      </c>
      <c r="B286" s="204" t="n">
        <v>0.013</v>
      </c>
      <c r="C286" s="204" t="n">
        <v>-0.311</v>
      </c>
      <c r="D286" s="204" t="n">
        <v>-0.448</v>
      </c>
      <c r="E286" s="204" t="n">
        <v>-0.537</v>
      </c>
      <c r="F286" s="204" t="n">
        <v>-0.569</v>
      </c>
      <c r="G286" s="204" t="n">
        <v>1.54</v>
      </c>
      <c r="H286" s="204" t="n">
        <v>0.013</v>
      </c>
      <c r="I286" s="204" t="n">
        <v>-0.583</v>
      </c>
      <c r="J286" s="204" t="n">
        <v>3</v>
      </c>
      <c r="K286" s="204" t="n">
        <v>5</v>
      </c>
      <c r="L286" s="204" t="n">
        <v>3.75</v>
      </c>
      <c r="M286" s="204" t="n">
        <v>8</v>
      </c>
    </row>
    <row r="287">
      <c r="A287" s="203" t="n">
        <v>44682</v>
      </c>
      <c r="B287" s="204" t="n">
        <v>0.287</v>
      </c>
      <c r="C287" s="204" t="n">
        <v>-0.144</v>
      </c>
      <c r="D287" s="204" t="n">
        <v>-0.386</v>
      </c>
      <c r="E287" s="204" t="n">
        <v>-0.546</v>
      </c>
      <c r="F287" s="204" t="n">
        <v>-0.5679999999999999</v>
      </c>
      <c r="G287" s="204" t="n">
        <v>1.624</v>
      </c>
      <c r="H287" s="204" t="n">
        <v>0.287</v>
      </c>
      <c r="I287" s="204" t="n">
        <v>-0.586</v>
      </c>
      <c r="J287" s="204" t="n">
        <v>3</v>
      </c>
      <c r="K287" s="204" t="n">
        <v>5</v>
      </c>
      <c r="L287" s="204" t="n">
        <v>3.75</v>
      </c>
      <c r="M287" s="204" t="n">
        <v>8</v>
      </c>
    </row>
    <row r="288">
      <c r="A288" s="203" t="n">
        <v>44713</v>
      </c>
      <c r="B288" s="204" t="n">
        <v>0.852</v>
      </c>
      <c r="C288" s="204" t="n">
        <v>0.162</v>
      </c>
      <c r="D288" s="204" t="n">
        <v>-0.239</v>
      </c>
      <c r="E288" s="204" t="n">
        <v>-0.525</v>
      </c>
      <c r="F288" s="204" t="n">
        <v>-0.57</v>
      </c>
      <c r="G288" s="204" t="n">
        <v>1.799</v>
      </c>
      <c r="H288" s="204" t="n">
        <v>0.852</v>
      </c>
      <c r="I288" s="204" t="n">
        <v>-0.579</v>
      </c>
      <c r="J288" s="204" t="n">
        <v>3</v>
      </c>
      <c r="K288" s="204" t="n">
        <v>5</v>
      </c>
      <c r="L288" s="204" t="n">
        <v>3.75</v>
      </c>
      <c r="M288" s="204" t="n">
        <v>8</v>
      </c>
    </row>
    <row r="289">
      <c r="A289" s="203" t="n">
        <v>44743</v>
      </c>
      <c r="B289" s="204" t="n">
        <v>0.992</v>
      </c>
      <c r="C289" s="204" t="n">
        <v>0.466</v>
      </c>
      <c r="D289" s="204" t="n">
        <v>0.037</v>
      </c>
      <c r="E289" s="204" t="n">
        <v>-0.306</v>
      </c>
      <c r="F289" s="204" t="n">
        <v>-0.457</v>
      </c>
      <c r="G289" s="204" t="n">
        <v>1.986</v>
      </c>
      <c r="H289" s="204" t="n">
        <v>0.992</v>
      </c>
      <c r="I289" s="204" t="n">
        <v>-0.44</v>
      </c>
      <c r="J289" s="204" t="n">
        <v>3</v>
      </c>
      <c r="K289" s="204" t="n">
        <v>5</v>
      </c>
      <c r="L289" s="204" t="n">
        <v>3.75</v>
      </c>
      <c r="M289" s="204" t="n">
        <v>8</v>
      </c>
    </row>
    <row r="290">
      <c r="A290" s="203" t="n">
        <v>44774</v>
      </c>
      <c r="B290" s="204" t="n">
        <v>1.249</v>
      </c>
      <c r="C290" s="204" t="n">
        <v>0.837</v>
      </c>
      <c r="D290" s="204" t="n">
        <v>0.395</v>
      </c>
      <c r="E290" s="204" t="n">
        <v>0.022</v>
      </c>
      <c r="F290" s="204" t="n">
        <v>-0.07099999999999999</v>
      </c>
      <c r="G290" s="204" t="n">
        <v>2.198</v>
      </c>
      <c r="H290" s="204" t="n">
        <v>1.249</v>
      </c>
      <c r="I290" s="204" t="n">
        <v>-0.081</v>
      </c>
      <c r="J290" s="204" t="n">
        <v>3</v>
      </c>
      <c r="K290" s="204" t="n">
        <v>5</v>
      </c>
      <c r="L290" s="204" t="n">
        <v>3.75</v>
      </c>
      <c r="M290" s="204" t="n">
        <v>8</v>
      </c>
    </row>
    <row r="291">
      <c r="A291" s="203" t="n">
        <v>44805</v>
      </c>
      <c r="B291" s="204" t="n">
        <v>2.233</v>
      </c>
      <c r="C291" s="204" t="n">
        <v>1.596</v>
      </c>
      <c r="D291" s="204" t="n">
        <v>1.011</v>
      </c>
      <c r="E291" s="204" t="n">
        <v>0.574</v>
      </c>
      <c r="F291" s="204" t="n">
        <v>0.424</v>
      </c>
      <c r="G291" s="204" t="n">
        <v>2.41</v>
      </c>
      <c r="H291" s="204" t="n">
        <v>2.233</v>
      </c>
      <c r="I291" s="204" t="n">
        <v>0.662</v>
      </c>
      <c r="J291" s="204" t="n">
        <v>3</v>
      </c>
      <c r="K291" s="204" t="n">
        <v>5</v>
      </c>
      <c r="L291" s="204" t="n">
        <v>3.75</v>
      </c>
      <c r="M291" s="204" t="n">
        <v>8</v>
      </c>
    </row>
    <row r="292">
      <c r="A292" s="203" t="n">
        <v>44835</v>
      </c>
      <c r="B292" s="204" t="n">
        <v>2.629</v>
      </c>
      <c r="C292" s="204" t="n">
        <v>1.997</v>
      </c>
      <c r="D292" s="204" t="n">
        <v>1.428</v>
      </c>
      <c r="E292" s="204" t="n">
        <v>0.915</v>
      </c>
      <c r="F292" s="204" t="n">
        <v>0.696</v>
      </c>
      <c r="G292" s="204" t="n">
        <v>2.666</v>
      </c>
      <c r="H292" s="204" t="n">
        <v>2.629</v>
      </c>
      <c r="I292" s="204" t="n">
        <v>0.656</v>
      </c>
      <c r="J292" s="204" t="n">
        <v>3</v>
      </c>
      <c r="K292" s="204" t="n">
        <v>5</v>
      </c>
      <c r="L292" s="204" t="n">
        <v>3.75</v>
      </c>
      <c r="M292" s="204" t="n">
        <v>8</v>
      </c>
    </row>
    <row r="293">
      <c r="A293" s="203" t="n">
        <v>44866</v>
      </c>
      <c r="B293" s="204" t="n">
        <v>2.828</v>
      </c>
      <c r="C293" s="204" t="n">
        <v>2.321</v>
      </c>
      <c r="D293" s="204" t="n">
        <v>1.825</v>
      </c>
      <c r="E293" s="204" t="n">
        <v>1.423</v>
      </c>
      <c r="F293" s="204" t="n">
        <v>1.375</v>
      </c>
      <c r="G293" s="204" t="n">
        <v>2.877</v>
      </c>
      <c r="H293" s="204" t="n">
        <v>2.828</v>
      </c>
      <c r="I293" s="204" t="n">
        <v>1.404</v>
      </c>
      <c r="J293" s="204" t="n">
        <v>3</v>
      </c>
      <c r="K293" s="204" t="n">
        <v>5</v>
      </c>
      <c r="L293" s="204" t="n">
        <v>3.75</v>
      </c>
      <c r="M293" s="204" t="n">
        <v>8</v>
      </c>
    </row>
    <row r="294">
      <c r="A294" s="203" t="n">
        <v>44896</v>
      </c>
      <c r="B294" s="204" t="n">
        <v>3.018</v>
      </c>
      <c r="C294" s="204" t="n">
        <v>2.56</v>
      </c>
      <c r="D294" s="204" t="n">
        <v>2.063</v>
      </c>
      <c r="E294" s="204" t="n">
        <v>1.724</v>
      </c>
      <c r="F294" s="204" t="n">
        <v>1.595</v>
      </c>
      <c r="G294" s="204" t="n">
        <v>3.116</v>
      </c>
      <c r="H294" s="204" t="n">
        <v>3.018</v>
      </c>
      <c r="I294" s="204" t="n">
        <v>1.907</v>
      </c>
      <c r="J294" s="204" t="n">
        <v>3</v>
      </c>
      <c r="K294" s="204" t="n">
        <v>5</v>
      </c>
      <c r="L294" s="204" t="n">
        <v>3.75</v>
      </c>
      <c r="M294" s="204" t="n">
        <v>8</v>
      </c>
    </row>
    <row r="295">
      <c r="A295" s="203" t="n">
        <v>44927</v>
      </c>
      <c r="B295" s="204" t="n">
        <v>3.337</v>
      </c>
      <c r="C295" s="204" t="n">
        <v>2.858</v>
      </c>
      <c r="D295" s="204" t="n">
        <v>2.345</v>
      </c>
      <c r="E295" s="204" t="n">
        <v>1.981</v>
      </c>
      <c r="F295" s="204" t="n">
        <v>1.888</v>
      </c>
      <c r="G295" s="204" t="n">
        <v>3.345</v>
      </c>
      <c r="H295" s="204" t="n">
        <v>3.337</v>
      </c>
      <c r="I295" s="204" t="n">
        <v>1.905</v>
      </c>
      <c r="J295" s="204" t="n">
        <v>3.25</v>
      </c>
      <c r="K295" s="204" t="n">
        <v>5.25</v>
      </c>
      <c r="L295" s="204" t="n">
        <v>4.0625</v>
      </c>
      <c r="M295" s="204" t="n">
        <v>10.5</v>
      </c>
    </row>
    <row r="296">
      <c r="A296" s="203" t="n">
        <v>44958</v>
      </c>
      <c r="B296" s="204" t="n">
        <v>3.534</v>
      </c>
      <c r="C296" s="204" t="n">
        <v>3.135</v>
      </c>
      <c r="D296" s="204" t="n">
        <v>2.64</v>
      </c>
      <c r="E296" s="204" t="n">
        <v>2.369</v>
      </c>
      <c r="F296" s="204" t="n">
        <v>2.297</v>
      </c>
      <c r="G296" s="204" t="n">
        <v>3.585</v>
      </c>
      <c r="H296" s="204" t="n">
        <v>3.534</v>
      </c>
      <c r="I296" s="204" t="n">
        <v>2.399</v>
      </c>
      <c r="J296" s="204" t="n">
        <v>3.25</v>
      </c>
      <c r="K296" s="204" t="n">
        <v>5.25</v>
      </c>
      <c r="L296" s="204" t="n">
        <v>4.0625</v>
      </c>
      <c r="M296" s="204" t="n">
        <v>10.5</v>
      </c>
    </row>
    <row r="297">
      <c r="A297" s="203" t="n">
        <v>44986</v>
      </c>
      <c r="B297" s="204" t="n">
        <v>3.647</v>
      </c>
      <c r="C297" s="204" t="n">
        <v>3.267</v>
      </c>
      <c r="D297" s="204" t="n">
        <v>2.911</v>
      </c>
      <c r="E297" s="204" t="n">
        <v>2.71</v>
      </c>
      <c r="F297" s="204" t="n">
        <v>2.573</v>
      </c>
      <c r="G297" s="204" t="n">
        <v>3.664</v>
      </c>
      <c r="H297" s="204" t="n">
        <v>3.647</v>
      </c>
      <c r="I297" s="204" t="n">
        <v>2.898</v>
      </c>
      <c r="J297" s="204" t="n">
        <v>3.25</v>
      </c>
      <c r="K297" s="204" t="n">
        <v>5.25</v>
      </c>
      <c r="L297" s="204" t="n">
        <v>4.0625</v>
      </c>
      <c r="M297" s="204" t="n">
        <v>10.5</v>
      </c>
    </row>
    <row r="298">
      <c r="A298" s="203" t="n">
        <v>45017</v>
      </c>
      <c r="B298" s="204" t="n">
        <v>3.757</v>
      </c>
      <c r="C298" s="204" t="n">
        <v>3.516</v>
      </c>
      <c r="D298" s="204" t="n">
        <v>3.179</v>
      </c>
      <c r="E298" s="204" t="n">
        <v>2.961</v>
      </c>
      <c r="F298" s="204" t="n">
        <v>2.883</v>
      </c>
      <c r="G298" s="204" t="n">
        <v>3.683</v>
      </c>
      <c r="H298" s="204" t="n">
        <v>3.757</v>
      </c>
      <c r="I298" s="204" t="n">
        <v>2.902</v>
      </c>
      <c r="J298" s="204" t="n">
        <v>3.25</v>
      </c>
      <c r="K298" s="204" t="n">
        <v>5.25</v>
      </c>
      <c r="L298" s="204" t="n">
        <v>4.0625</v>
      </c>
      <c r="M298" s="204" t="n">
        <v>10.5</v>
      </c>
    </row>
    <row r="299">
      <c r="A299" s="203" t="n">
        <v>45047</v>
      </c>
      <c r="B299" s="204" t="n">
        <v>3.862</v>
      </c>
      <c r="C299" s="204" t="n">
        <v>3.682</v>
      </c>
      <c r="D299" s="204" t="n">
        <v>3.372</v>
      </c>
      <c r="E299" s="204" t="n">
        <v>3.152</v>
      </c>
      <c r="F299" s="204" t="n">
        <v>3.085</v>
      </c>
      <c r="G299" s="204" t="n">
        <v>3.967</v>
      </c>
      <c r="H299" s="204" t="n">
        <v>3.862</v>
      </c>
      <c r="I299" s="204" t="n">
        <v>3.15</v>
      </c>
      <c r="J299" s="204" t="n">
        <v>3.25</v>
      </c>
      <c r="K299" s="204" t="n">
        <v>5.25</v>
      </c>
      <c r="L299" s="204" t="n">
        <v>4.0625</v>
      </c>
      <c r="M299" s="204" t="n">
        <v>10.5</v>
      </c>
    </row>
    <row r="300">
      <c r="A300" s="203" t="n">
        <v>45078</v>
      </c>
      <c r="B300" s="204" t="n">
        <v>4.007</v>
      </c>
      <c r="C300" s="204" t="n">
        <v>3.825</v>
      </c>
      <c r="D300" s="204" t="n">
        <v>3.536</v>
      </c>
      <c r="E300" s="204" t="n">
        <v>3.343</v>
      </c>
      <c r="F300" s="204" t="n">
        <v>3.248</v>
      </c>
      <c r="G300" s="204" t="n">
        <v>4.045</v>
      </c>
      <c r="H300" s="204" t="n">
        <v>4.007</v>
      </c>
      <c r="I300" s="204" t="n">
        <v>3.4</v>
      </c>
      <c r="J300" s="204" t="n">
        <v>3.25</v>
      </c>
      <c r="K300" s="204" t="n">
        <v>5.25</v>
      </c>
      <c r="L300" s="204" t="n">
        <v>4.0625</v>
      </c>
      <c r="M300" s="204" t="n">
        <v>10.5</v>
      </c>
    </row>
    <row r="301">
      <c r="A301" s="203" t="n">
        <v>45108</v>
      </c>
      <c r="B301" s="204" t="n">
        <v>4.149</v>
      </c>
      <c r="C301" s="204" t="n">
        <v>3.942</v>
      </c>
      <c r="D301" s="204" t="n">
        <v>3.672</v>
      </c>
      <c r="E301" s="204" t="n">
        <v>3.469</v>
      </c>
      <c r="F301" s="204" t="n">
        <v>3.399</v>
      </c>
      <c r="G301" s="204" t="n">
        <v>4.186</v>
      </c>
      <c r="H301" s="204" t="n">
        <v>4.149</v>
      </c>
      <c r="I301" s="204" t="n">
        <v>3.405</v>
      </c>
      <c r="J301" s="204" t="n">
        <v>3.25</v>
      </c>
      <c r="K301" s="204" t="n">
        <v>5.25</v>
      </c>
      <c r="L301" s="204" t="n">
        <v>4.0625</v>
      </c>
      <c r="M301" s="204" t="n">
        <v>12</v>
      </c>
    </row>
    <row r="302">
      <c r="A302" s="203" t="n">
        <v>45139</v>
      </c>
      <c r="B302" s="204" t="n">
        <v>4.073</v>
      </c>
      <c r="C302" s="204" t="n">
        <v>3.944</v>
      </c>
      <c r="D302" s="204" t="n">
        <v>3.78</v>
      </c>
      <c r="E302" s="204" t="n">
        <v>3.627</v>
      </c>
      <c r="F302" s="204" t="n">
        <v>3.632</v>
      </c>
      <c r="G302" s="204" t="n">
        <v>4.237</v>
      </c>
      <c r="H302" s="204" t="n">
        <v>4.073</v>
      </c>
      <c r="I302" s="204" t="n">
        <v>3.652</v>
      </c>
      <c r="J302" s="204" t="n">
        <v>3.25</v>
      </c>
      <c r="K302" s="204" t="n">
        <v>5.25</v>
      </c>
      <c r="L302" s="204" t="n">
        <v>4.0625</v>
      </c>
      <c r="M302" s="204" t="n">
        <v>12</v>
      </c>
    </row>
    <row r="303">
      <c r="A303" s="203" t="n">
        <v>45170</v>
      </c>
      <c r="B303" s="204" t="n">
        <v>4.149</v>
      </c>
      <c r="C303" s="204" t="n">
        <v>4.03</v>
      </c>
      <c r="D303" s="204" t="n">
        <v>3.88</v>
      </c>
      <c r="E303" s="204" t="n">
        <v>3.758</v>
      </c>
      <c r="F303" s="204" t="n">
        <v>3.746</v>
      </c>
      <c r="G303" s="204" t="n">
        <v>4.305</v>
      </c>
      <c r="H303" s="204" t="n">
        <v>4.149</v>
      </c>
      <c r="I303" s="204" t="n">
        <v>3.906</v>
      </c>
      <c r="J303" s="204" t="n">
        <v>3.25</v>
      </c>
      <c r="K303" s="204" t="n">
        <v>5.25</v>
      </c>
      <c r="L303" s="204" t="n">
        <v>4.0625</v>
      </c>
      <c r="M303" s="204" t="n">
        <v>12</v>
      </c>
    </row>
    <row r="304">
      <c r="A304" s="203" t="n">
        <v>45200</v>
      </c>
      <c r="B304" s="204" t="n">
        <v>4.16</v>
      </c>
      <c r="C304" s="204" t="n">
        <v>4.115</v>
      </c>
      <c r="D304" s="204" t="n">
        <v>3.968</v>
      </c>
      <c r="E304" s="204" t="n">
        <v>3.861</v>
      </c>
      <c r="F304" s="204" t="n">
        <v>3.882</v>
      </c>
      <c r="G304" s="204" t="n">
        <v>4.33</v>
      </c>
      <c r="H304" s="204" t="n">
        <v>4.16</v>
      </c>
      <c r="I304" s="204" t="n">
        <v>3.903</v>
      </c>
      <c r="J304" s="204" t="n">
        <v>3.25</v>
      </c>
      <c r="K304" s="204" t="n">
        <v>5.25</v>
      </c>
      <c r="L304" s="204" t="n">
        <v>4.0625</v>
      </c>
      <c r="M304" s="204" t="n">
        <v>12</v>
      </c>
    </row>
    <row r="305">
      <c r="A305" s="203" t="n">
        <v>45231</v>
      </c>
      <c r="B305" s="204" t="n">
        <v>4.022</v>
      </c>
      <c r="C305" s="204" t="n">
        <v>4.065</v>
      </c>
      <c r="D305" s="204" t="n">
        <v>3.972</v>
      </c>
      <c r="E305" s="204" t="n">
        <v>3.841</v>
      </c>
      <c r="F305" s="204" t="n">
        <v>3.874</v>
      </c>
      <c r="G305" s="204" t="n">
        <v>4.276</v>
      </c>
      <c r="H305" s="204" t="n">
        <v>4.022</v>
      </c>
      <c r="I305" s="204" t="n">
        <v>3.904</v>
      </c>
      <c r="J305" s="204" t="n">
        <v>3.25</v>
      </c>
      <c r="K305" s="204" t="n">
        <v>5.25</v>
      </c>
      <c r="L305" s="204" t="n">
        <v>4.0625</v>
      </c>
      <c r="M305" s="204" t="n">
        <v>12</v>
      </c>
    </row>
    <row r="306">
      <c r="A306" s="203" t="n">
        <v>45261</v>
      </c>
      <c r="B306" s="204" t="n">
        <v>3.679</v>
      </c>
      <c r="C306" s="204" t="n">
        <v>3.927</v>
      </c>
      <c r="D306" s="204" t="n">
        <v>3.935</v>
      </c>
      <c r="E306" s="204" t="n">
        <v>3.858</v>
      </c>
      <c r="F306" s="204" t="n">
        <v>3.858</v>
      </c>
      <c r="G306" s="204" t="n">
        <v>4.219</v>
      </c>
      <c r="H306" s="204" t="n">
        <v>3.679</v>
      </c>
      <c r="I306" s="204" t="n">
        <v>3.9</v>
      </c>
      <c r="J306" s="204" t="n">
        <v>3.25</v>
      </c>
      <c r="K306" s="204" t="n">
        <v>5.25</v>
      </c>
      <c r="L306" s="204" t="n">
        <v>4.0625</v>
      </c>
      <c r="M306" s="204" t="n">
        <v>12</v>
      </c>
    </row>
    <row r="307">
      <c r="A307" s="203" t="n">
        <v>45292</v>
      </c>
      <c r="B307" s="204" t="n">
        <v>3.609</v>
      </c>
      <c r="C307" s="204" t="n">
        <v>3.892</v>
      </c>
      <c r="D307" s="204" t="n">
        <v>3.925</v>
      </c>
      <c r="E307" s="204" t="n">
        <v>3.869</v>
      </c>
      <c r="F307" s="204" t="n">
        <v>3.874</v>
      </c>
      <c r="G307" s="204" t="n">
        <v>4.062</v>
      </c>
      <c r="H307" s="204" t="n">
        <v>3.609</v>
      </c>
      <c r="I307" s="204" t="n">
        <v>3.906</v>
      </c>
      <c r="J307" s="204" t="n">
        <v>3.25</v>
      </c>
      <c r="K307" s="204" t="n">
        <v>5.25</v>
      </c>
      <c r="L307" s="204" t="n">
        <v>4.0625</v>
      </c>
      <c r="M307" s="204" t="n">
        <v>12.5</v>
      </c>
    </row>
    <row r="308">
      <c r="A308" s="203" t="n">
        <v>45323</v>
      </c>
      <c r="B308" s="204" t="n">
        <v>3.671</v>
      </c>
      <c r="C308" s="204" t="n">
        <v>3.901</v>
      </c>
      <c r="D308" s="204" t="n">
        <v>3.923</v>
      </c>
      <c r="E308" s="204" t="n">
        <v>3.868</v>
      </c>
      <c r="F308" s="204" t="n">
        <v>3.878</v>
      </c>
      <c r="G308" s="204" t="n">
        <v>3.985</v>
      </c>
      <c r="H308" s="204" t="n">
        <v>3.671</v>
      </c>
      <c r="I308" s="204" t="n">
        <v>3.908</v>
      </c>
      <c r="J308" s="204" t="n">
        <v>3.25</v>
      </c>
      <c r="K308" s="204" t="n">
        <v>5.25</v>
      </c>
      <c r="L308" s="204" t="n">
        <v>4.0625</v>
      </c>
      <c r="M308" s="204" t="n">
        <v>12.5</v>
      </c>
    </row>
    <row r="309">
      <c r="A309" s="203" t="n">
        <v>45352</v>
      </c>
      <c r="B309" s="204" t="n">
        <v>3.718</v>
      </c>
      <c r="C309" s="204" t="n">
        <v>3.895</v>
      </c>
      <c r="D309" s="204" t="n">
        <v>3.923</v>
      </c>
      <c r="E309" s="204" t="n">
        <v>3.853</v>
      </c>
      <c r="F309" s="204" t="n">
        <v>3.873</v>
      </c>
      <c r="G309" s="204" t="n">
        <v>3.901</v>
      </c>
      <c r="H309" s="204" t="n">
        <v>3.718</v>
      </c>
      <c r="I309" s="204" t="n">
        <v>3.909</v>
      </c>
      <c r="J309" s="204" t="n">
        <v>3.25</v>
      </c>
      <c r="K309" s="204" t="n">
        <v>5.25</v>
      </c>
      <c r="L309" s="204" t="n">
        <v>4.0625</v>
      </c>
      <c r="M309" s="204" t="n">
        <v>12.5</v>
      </c>
    </row>
    <row r="310">
      <c r="A310" s="203" t="n">
        <v>45383</v>
      </c>
      <c r="B310" s="204" t="n">
        <v>3.703</v>
      </c>
      <c r="C310" s="204" t="n">
        <v>3.838</v>
      </c>
      <c r="D310" s="204" t="n">
        <v>3.885</v>
      </c>
      <c r="E310" s="204" t="n">
        <v>3.853</v>
      </c>
      <c r="F310" s="204" t="n">
        <v>3.868</v>
      </c>
      <c r="G310" s="204" t="n">
        <v>3.823</v>
      </c>
      <c r="H310" s="204" t="n">
        <v>3.703</v>
      </c>
      <c r="I310" s="204" t="n">
        <v>3.909</v>
      </c>
      <c r="J310" s="204" t="n">
        <v>3.25</v>
      </c>
      <c r="K310" s="204" t="n">
        <v>5.25</v>
      </c>
      <c r="L310" s="204" t="n">
        <v>4.0625</v>
      </c>
      <c r="M310" s="204" t="n">
        <v>12.5</v>
      </c>
    </row>
    <row r="311">
      <c r="A311" s="203" t="n">
        <v>45413</v>
      </c>
      <c r="B311" s="204" t="n">
        <v>3.68</v>
      </c>
      <c r="C311" s="204" t="n">
        <v>3.787</v>
      </c>
      <c r="D311" s="204" t="n">
        <v>3.813</v>
      </c>
      <c r="E311" s="204" t="n">
        <v>3.816</v>
      </c>
      <c r="F311" s="204" t="n">
        <v>3.881</v>
      </c>
      <c r="G311" s="204" t="n">
        <v>3.861</v>
      </c>
      <c r="H311" s="204" t="n">
        <v>3.68</v>
      </c>
      <c r="I311" s="204" t="n">
        <v>3.911</v>
      </c>
      <c r="J311" s="204" t="n">
        <v>3.25</v>
      </c>
      <c r="K311" s="204" t="n">
        <v>5.25</v>
      </c>
      <c r="L311" s="204" t="n">
        <v>4.0625</v>
      </c>
      <c r="M311" s="204" t="n">
        <v>12.5</v>
      </c>
    </row>
    <row r="312">
      <c r="A312" s="203" t="n">
        <v>45444</v>
      </c>
      <c r="B312" s="204" t="n">
        <v>3.65</v>
      </c>
      <c r="C312" s="204" t="n">
        <v>3.715</v>
      </c>
      <c r="D312" s="204" t="n">
        <v>3.725</v>
      </c>
      <c r="E312" s="204" t="n">
        <v>3.635</v>
      </c>
      <c r="F312" s="204" t="n">
        <v>3.681</v>
      </c>
      <c r="G312" s="204" t="n">
        <v>3.71</v>
      </c>
      <c r="H312" s="204" t="n">
        <v>3.65</v>
      </c>
      <c r="I312" s="204" t="n">
        <v>3.664</v>
      </c>
      <c r="J312" s="204" t="n">
        <v>3.25</v>
      </c>
      <c r="K312" s="204" t="n">
        <v>5.25</v>
      </c>
      <c r="L312" s="204" t="n">
        <v>4.0625</v>
      </c>
      <c r="M312" s="204" t="n">
        <v>12.5</v>
      </c>
    </row>
    <row r="313">
      <c r="A313" s="203" t="n">
        <v>45474</v>
      </c>
      <c r="B313" s="204" t="n">
        <v>3.526</v>
      </c>
      <c r="C313" s="204" t="n">
        <v>3.644</v>
      </c>
      <c r="D313" s="204" t="n">
        <v>3.685</v>
      </c>
      <c r="E313" s="204" t="n">
        <v>3.618</v>
      </c>
      <c r="F313" s="204" t="n">
        <v>3.611</v>
      </c>
      <c r="G313" s="204" t="n">
        <v>3.728</v>
      </c>
      <c r="H313" s="204" t="n">
        <v>3.526</v>
      </c>
      <c r="I313" s="204" t="n">
        <v>3.665</v>
      </c>
      <c r="J313" s="204" t="n">
        <v>3.25</v>
      </c>
      <c r="K313" s="204" t="n">
        <v>5.25</v>
      </c>
      <c r="L313" s="204" t="n">
        <v>4.0625</v>
      </c>
      <c r="M313" s="204" t="n">
        <v>12.25</v>
      </c>
    </row>
    <row r="314">
      <c r="A314" s="203" t="n">
        <v>45505</v>
      </c>
      <c r="B314" s="204" t="n">
        <v>3.166</v>
      </c>
      <c r="C314" s="204" t="n">
        <v>3.425</v>
      </c>
      <c r="D314" s="204" t="n">
        <v>3.548</v>
      </c>
      <c r="E314" s="204" t="n">
        <v>3.597</v>
      </c>
      <c r="F314" s="204" t="n">
        <v>3.626</v>
      </c>
      <c r="G314" s="204" t="n">
        <v>3.671</v>
      </c>
      <c r="H314" s="204" t="n">
        <v>3.166</v>
      </c>
      <c r="I314" s="204" t="n">
        <v>3.666</v>
      </c>
      <c r="J314" s="204" t="n">
        <v>3.25</v>
      </c>
      <c r="K314" s="204" t="n">
        <v>5.25</v>
      </c>
      <c r="L314" s="204" t="n">
        <v>4.0625</v>
      </c>
      <c r="M314" s="204" t="n">
        <v>12.25</v>
      </c>
    </row>
    <row r="315">
      <c r="A315" s="203" t="n">
        <v>45536</v>
      </c>
      <c r="B315" s="204" t="n">
        <v>2.936</v>
      </c>
      <c r="C315" s="204" t="n">
        <v>3.258</v>
      </c>
      <c r="D315" s="204" t="n">
        <v>3.434</v>
      </c>
      <c r="E315" s="204" t="n">
        <v>3.438</v>
      </c>
      <c r="F315" s="204" t="n">
        <v>3.491</v>
      </c>
      <c r="G315" s="204" t="n">
        <v>3.506</v>
      </c>
      <c r="H315" s="204" t="n">
        <v>2.936</v>
      </c>
      <c r="I315" s="204" t="n">
        <v>3.416</v>
      </c>
      <c r="J315" s="204" t="n">
        <v>3.25</v>
      </c>
      <c r="K315" s="204" t="n">
        <v>5.25</v>
      </c>
      <c r="L315" s="204" t="n">
        <v>4.0625</v>
      </c>
      <c r="M315" s="204" t="n">
        <v>12.25</v>
      </c>
    </row>
    <row r="316">
      <c r="A316" s="203" t="n">
        <v>45566</v>
      </c>
      <c r="B316" s="204" t="n">
        <v>2.691</v>
      </c>
      <c r="C316" s="204" t="n">
        <v>3.002</v>
      </c>
      <c r="D316" s="204" t="n">
        <v>3.167</v>
      </c>
      <c r="E316" s="204" t="n">
        <v>3.205</v>
      </c>
      <c r="F316" s="204" t="n">
        <v>3.308</v>
      </c>
      <c r="G316" s="204" t="n">
        <v>3.423</v>
      </c>
      <c r="H316" s="204" t="n">
        <v>2.691</v>
      </c>
      <c r="I316" s="204" t="n">
        <v>3.166</v>
      </c>
      <c r="J316" s="204" t="n">
        <v>3.25</v>
      </c>
      <c r="K316" s="204" t="n">
        <v>5.25</v>
      </c>
      <c r="L316" s="204" t="n">
        <v>4.0625</v>
      </c>
      <c r="M316" s="204" t="n">
        <v>12.25</v>
      </c>
    </row>
    <row r="317">
      <c r="A317" s="203" t="n">
        <v>45597</v>
      </c>
      <c r="B317" s="204" t="n">
        <v>2.506</v>
      </c>
      <c r="C317" s="204" t="n">
        <v>2.788</v>
      </c>
      <c r="D317" s="204" t="n">
        <v>3.007</v>
      </c>
      <c r="E317" s="204" t="n">
        <v>3.066</v>
      </c>
      <c r="F317" s="204" t="n">
        <v>3.148</v>
      </c>
      <c r="G317" s="204" t="n">
        <v>3.206</v>
      </c>
      <c r="H317" s="204" t="n">
        <v>2.506</v>
      </c>
      <c r="I317" s="204" t="n">
        <v>3.167</v>
      </c>
      <c r="J317" s="204" t="n">
        <v>3.25</v>
      </c>
      <c r="K317" s="204" t="n">
        <v>5.25</v>
      </c>
      <c r="L317" s="204" t="n">
        <v>4.0625</v>
      </c>
      <c r="M317" s="204" t="n">
        <v>12.25</v>
      </c>
    </row>
    <row r="318">
      <c r="A318" s="203" t="n">
        <v>45627</v>
      </c>
      <c r="B318" s="204" t="n">
        <v>2.436</v>
      </c>
      <c r="C318" s="204" t="n">
        <v>2.632</v>
      </c>
      <c r="D318" s="204" t="n">
        <v>2.825</v>
      </c>
      <c r="E318" s="204" t="n">
        <v>2.89</v>
      </c>
      <c r="F318" s="204" t="n">
        <v>3.029</v>
      </c>
      <c r="G318" s="204" t="n">
        <v>3.105</v>
      </c>
      <c r="H318" s="204" t="n">
        <v>2.436</v>
      </c>
      <c r="I318" s="204" t="n">
        <v>2.913</v>
      </c>
      <c r="J318" s="204" t="n">
        <v>3.25</v>
      </c>
      <c r="K318" s="204" t="n">
        <v>5.25</v>
      </c>
      <c r="L318" s="204" t="n">
        <v>4.0625</v>
      </c>
      <c r="M318" s="204" t="n">
        <v>12.25</v>
      </c>
    </row>
    <row r="319">
      <c r="A319" s="203" t="n">
        <v>45658</v>
      </c>
      <c r="B319" s="204" t="n">
        <v>2.525</v>
      </c>
      <c r="C319" s="204" t="n">
        <v>2.614</v>
      </c>
      <c r="D319" s="204" t="n">
        <v>2.704</v>
      </c>
      <c r="E319" s="204" t="n">
        <v>2.792</v>
      </c>
      <c r="F319" s="204" t="n">
        <v>2.898</v>
      </c>
      <c r="G319" s="204" t="n">
        <v>2.96</v>
      </c>
      <c r="H319" s="204" t="n">
        <v>2.525</v>
      </c>
      <c r="I319" s="204" t="n">
        <v>2.922</v>
      </c>
      <c r="J319" s="204" t="n">
        <v>3.25</v>
      </c>
      <c r="K319" s="204" t="n">
        <v>5.25</v>
      </c>
      <c r="L319" s="204" t="n">
        <v>4.0625</v>
      </c>
      <c r="M319" s="204" t="n">
        <v>11.15</v>
      </c>
    </row>
    <row r="320">
      <c r="A320" s="203" t="n">
        <v>45689</v>
      </c>
      <c r="B320" s="204" t="n">
        <v>2.407</v>
      </c>
      <c r="C320" s="204" t="n">
        <v>2.46</v>
      </c>
      <c r="D320" s="204" t="n">
        <v>2.525</v>
      </c>
      <c r="E320" s="204" t="n">
        <v>2.606</v>
      </c>
      <c r="F320" s="204" t="n">
        <v>2.663</v>
      </c>
      <c r="G320" s="204" t="n">
        <v>2.872</v>
      </c>
      <c r="H320" s="204" t="n">
        <v>2.407</v>
      </c>
      <c r="I320" s="204" t="n">
        <v>2.666</v>
      </c>
      <c r="J320" s="204" t="n">
        <v>3.25</v>
      </c>
      <c r="K320" s="204" t="n">
        <v>5.25</v>
      </c>
      <c r="L320" s="204" t="n">
        <v>4.0625</v>
      </c>
      <c r="M320" s="204" t="n">
        <v>11.15</v>
      </c>
    </row>
    <row r="321">
      <c r="A321" s="203" t="n">
        <v>45717</v>
      </c>
      <c r="B321" s="204" t="n">
        <v>2.398</v>
      </c>
      <c r="C321" s="204" t="n">
        <v>2.385</v>
      </c>
      <c r="D321" s="204" t="n">
        <v>2.442</v>
      </c>
      <c r="E321" s="204" t="n">
        <v>2.401</v>
      </c>
      <c r="F321" s="204" t="n">
        <v>2.472</v>
      </c>
      <c r="G321" s="204" t="n">
        <v>2.923</v>
      </c>
      <c r="H321" s="204" t="n">
        <v>2.398</v>
      </c>
      <c r="I321" s="204" t="n">
        <v>2.418</v>
      </c>
      <c r="J321" s="204" t="n">
        <v>3.25</v>
      </c>
      <c r="K321" s="204" t="n">
        <v>5.25</v>
      </c>
      <c r="L321" s="204" t="n">
        <v>4.0625</v>
      </c>
      <c r="M321" s="204" t="n">
        <v>11.15</v>
      </c>
    </row>
    <row r="322">
      <c r="A322" s="203" t="n">
        <v>45748</v>
      </c>
      <c r="B322" s="204" t="n">
        <v>2.143</v>
      </c>
      <c r="C322" s="204" t="n">
        <v>2.202</v>
      </c>
      <c r="D322" s="204" t="n">
        <v>2.249</v>
      </c>
      <c r="E322" s="204" t="n">
        <v>2.243</v>
      </c>
      <c r="F322" s="204" t="n">
        <v>2.316</v>
      </c>
      <c r="G322" s="204" t="n">
        <v>2.851</v>
      </c>
      <c r="H322" s="204" t="n">
        <v>2.143</v>
      </c>
      <c r="I322" s="204" t="n">
        <v>2.168</v>
      </c>
      <c r="J322" s="204" t="n">
        <v>3.25</v>
      </c>
      <c r="K322" s="204" t="n">
        <v>5.25</v>
      </c>
      <c r="L322" s="204" t="n">
        <v>4.0625</v>
      </c>
      <c r="M322" s="204" t="n">
        <v>11.15</v>
      </c>
    </row>
    <row r="323">
      <c r="A323" s="203" t="n">
        <v>45778</v>
      </c>
      <c r="B323" s="204" t="n">
        <v>2.081</v>
      </c>
      <c r="C323" s="204" t="n">
        <v>2.116</v>
      </c>
      <c r="D323" s="204" t="n">
        <v>2.087</v>
      </c>
      <c r="E323" s="204" t="n">
        <v>2.094</v>
      </c>
      <c r="F323" s="204" t="n">
        <v>2.158</v>
      </c>
      <c r="G323" s="204" t="n">
        <v>2.852</v>
      </c>
      <c r="H323" s="204" t="n">
        <v>2.081</v>
      </c>
      <c r="I323" s="204" t="n">
        <v>2.169</v>
      </c>
      <c r="J323" s="204" t="n">
        <v>3.25</v>
      </c>
      <c r="K323" s="204" t="n">
        <v>5.25</v>
      </c>
      <c r="L323" s="204" t="n">
        <v>4.0625</v>
      </c>
      <c r="M323" s="204" t="n">
        <v>11.15</v>
      </c>
    </row>
    <row r="324">
      <c r="A324" s="203" t="n">
        <v>45809</v>
      </c>
      <c r="B324" s="204" t="n">
        <v>2.081</v>
      </c>
      <c r="C324" s="204" t="n">
        <v>2.05</v>
      </c>
      <c r="D324" s="204" t="n">
        <v>1.984</v>
      </c>
      <c r="E324" s="204" t="n">
        <v>1.929</v>
      </c>
      <c r="F324" s="204" t="n">
        <v>1.994</v>
      </c>
      <c r="G324" s="204" t="n">
        <v>2.802</v>
      </c>
      <c r="H324" s="204" t="n">
        <v>2.081</v>
      </c>
      <c r="I324" s="204" t="n">
        <v>1.927</v>
      </c>
      <c r="J324" s="204" t="n">
        <v>3.25</v>
      </c>
      <c r="K324" s="204" t="n">
        <v>5.25</v>
      </c>
      <c r="L324" s="204" t="n">
        <v>4.0625</v>
      </c>
      <c r="M324" s="204" t="n">
        <v>11.15</v>
      </c>
    </row>
    <row r="325">
      <c r="A325" s="203" t="n">
        <v>45839</v>
      </c>
      <c r="B325" s="204" t="n">
        <v>2.079</v>
      </c>
      <c r="C325" s="204" t="n">
        <v>2.055</v>
      </c>
      <c r="D325" s="204" t="n">
        <v>1.986</v>
      </c>
      <c r="E325" s="204" t="n">
        <v>1.892</v>
      </c>
      <c r="F325" s="204" t="n">
        <v>1.907</v>
      </c>
      <c r="G325" s="204" t="n">
        <v>2.748</v>
      </c>
      <c r="H325" s="204" t="n">
        <v>2.079</v>
      </c>
      <c r="I325" s="204" t="n">
        <v>1.924</v>
      </c>
      <c r="J325" s="204" t="n">
        <v>3.25</v>
      </c>
      <c r="K325" s="204" t="n">
        <v>5.25</v>
      </c>
      <c r="L325" s="204" t="n">
        <v>4.0625</v>
      </c>
      <c r="M325" s="204" t="n">
        <v>10.15</v>
      </c>
    </row>
    <row r="326">
      <c r="A326" s="203" t="n">
        <v>45870</v>
      </c>
      <c r="B326" s="204" t="n">
        <v>2.114</v>
      </c>
      <c r="C326" s="204" t="n">
        <v>2.084</v>
      </c>
      <c r="D326" s="204" t="n">
        <v>2.021</v>
      </c>
      <c r="E326" s="204" t="n">
        <v>1.89</v>
      </c>
      <c r="F326" s="204" t="n">
        <v>1.895</v>
      </c>
      <c r="G326" s="204" t="n">
        <v>2.791</v>
      </c>
      <c r="H326" s="204" t="n">
        <v>2.114</v>
      </c>
      <c r="I326" s="204" t="n">
        <v>1.926</v>
      </c>
      <c r="J326" s="204" t="n">
        <v>3.25</v>
      </c>
      <c r="K326" s="204" t="n">
        <v>5.25</v>
      </c>
      <c r="L326" s="204" t="n">
        <v>4.0625</v>
      </c>
      <c r="M326" s="204" t="n">
        <v>10.15</v>
      </c>
    </row>
    <row r="327">
      <c r="A327" s="203" t="n">
        <v>45901</v>
      </c>
      <c r="B327" s="204" t="n">
        <v>2.172</v>
      </c>
      <c r="C327" s="204" t="n">
        <v>2.102</v>
      </c>
      <c r="D327" s="204" t="n">
        <v>2.027</v>
      </c>
      <c r="E327" s="204" t="n">
        <v>1.897</v>
      </c>
      <c r="F327" s="204" t="n">
        <v>1.898</v>
      </c>
      <c r="G327" s="204" t="n">
        <v>2.695</v>
      </c>
      <c r="H327" s="204" t="n">
        <v>2.172</v>
      </c>
      <c r="I327" s="204" t="n">
        <v>1.927</v>
      </c>
      <c r="J327" s="204" t="n">
        <v>3.25</v>
      </c>
      <c r="K327" s="204" t="n">
        <v>5.25</v>
      </c>
      <c r="L327" s="204" t="n">
        <v>4.0625</v>
      </c>
      <c r="M327" s="204" t="n">
        <v>10.15</v>
      </c>
    </row>
    <row r="328">
      <c r="A328" s="203" t="n">
        <v>45931</v>
      </c>
      <c r="B328" s="204" t="n">
        <v>2.187</v>
      </c>
      <c r="C328" s="204" t="n">
        <v>2.107</v>
      </c>
      <c r="D328" s="204" t="n">
        <v>2.034</v>
      </c>
      <c r="E328" s="204" t="n">
        <v>1.906</v>
      </c>
      <c r="F328" s="204" t="n">
        <v>1.915</v>
      </c>
      <c r="G328" s="204" t="n">
        <v>2.796</v>
      </c>
      <c r="H328" s="204" t="n">
        <v>2.187</v>
      </c>
      <c r="I328" s="204" t="n">
        <v>1.93</v>
      </c>
      <c r="J328" s="204" t="n">
        <v>3.25</v>
      </c>
      <c r="K328" s="204" t="n">
        <v>5.25</v>
      </c>
      <c r="L328" s="204" t="n">
        <v>4.0625</v>
      </c>
      <c r="M328" s="204" t="n">
        <v>10.15</v>
      </c>
    </row>
    <row r="329">
      <c r="A329" s="203" t="n">
        <v>45962</v>
      </c>
      <c r="B329" s="204" t="n">
        <v>2.217</v>
      </c>
      <c r="C329" s="204" t="n">
        <v>2.131</v>
      </c>
      <c r="D329" s="204" t="n">
        <v>2.042</v>
      </c>
      <c r="E329" s="204" t="n">
        <v>1.906</v>
      </c>
      <c r="F329" s="204" t="n">
        <v>1.914</v>
      </c>
      <c r="G329" s="204" t="n">
        <v>2.807</v>
      </c>
      <c r="H329" s="204" t="n">
        <v>2.217</v>
      </c>
      <c r="I329" s="204" t="n">
        <v>1.926</v>
      </c>
      <c r="J329" s="204" t="n">
        <v>3.25</v>
      </c>
      <c r="K329" s="204" t="n">
        <v>5.25</v>
      </c>
      <c r="L329" s="204" t="n">
        <v>4.0625</v>
      </c>
      <c r="M329" s="204" t="n">
        <v>10.15</v>
      </c>
    </row>
    <row r="330">
      <c r="A330" s="203" t="n">
        <v>45992</v>
      </c>
      <c r="B330" s="204" t="n">
        <v>2.267</v>
      </c>
      <c r="C330" s="204" t="n">
        <v>2.139</v>
      </c>
      <c r="D330" s="204" t="n">
        <v>2.048</v>
      </c>
      <c r="E330" s="204" t="n">
        <v>1.915</v>
      </c>
      <c r="F330" s="204" t="n">
        <v>1.918</v>
      </c>
      <c r="G330" s="204" t="n">
        <v>2.788</v>
      </c>
      <c r="H330" s="204" t="n">
        <v>2.267</v>
      </c>
      <c r="I330" s="204" t="n">
        <v>1.928</v>
      </c>
      <c r="J330" s="204" t="n">
        <v>3.25</v>
      </c>
      <c r="K330" s="204" t="n">
        <v>5.25</v>
      </c>
      <c r="L330" s="204" t="n">
        <v>4.0625</v>
      </c>
      <c r="M330" s="204" t="n">
        <v>10.15</v>
      </c>
    </row>
    <row r="331">
      <c r="A331" s="203" t="n">
        <v>46023</v>
      </c>
      <c r="B331" s="204" t="n">
        <v>2.245</v>
      </c>
      <c r="C331" s="204" t="n">
        <v>2.137</v>
      </c>
      <c r="D331" s="204" t="n">
        <v>2.028</v>
      </c>
      <c r="E331" s="204" t="n">
        <v>1.961</v>
      </c>
      <c r="F331" s="204" t="n">
        <v>1.895</v>
      </c>
      <c r="G331" s="204" t="n">
        <v>2.762</v>
      </c>
      <c r="H331" s="204" t="n">
        <v>2.245</v>
      </c>
      <c r="I331" s="204" t="n">
        <v>1.934</v>
      </c>
      <c r="J331" s="204" t="n">
        <v>3.25</v>
      </c>
      <c r="K331" s="204" t="n">
        <v>5.25</v>
      </c>
      <c r="L331" s="204" t="n">
        <v>4.0625</v>
      </c>
      <c r="M331" s="204" t="n">
        <v>10.15</v>
      </c>
    </row>
    <row r="332">
      <c r="A332" s="203" t="n">
        <v>46054</v>
      </c>
      <c r="B332" s="204" t="n">
        <v>2.221</v>
      </c>
      <c r="C332" s="204" t="n">
        <v>2.144</v>
      </c>
      <c r="D332" s="204" t="n">
        <v>2.011</v>
      </c>
      <c r="E332" s="204" t="n">
        <v>1.952</v>
      </c>
      <c r="F332" s="204" t="n">
        <v>1.89</v>
      </c>
      <c r="G332" s="204" t="n">
        <v>2.819</v>
      </c>
      <c r="H332" s="204" t="n">
        <v>2.221</v>
      </c>
      <c r="I332" s="204" t="n">
        <v>1.933</v>
      </c>
      <c r="J332" s="204" t="n">
        <v>3.25</v>
      </c>
      <c r="K332" s="204" t="n">
        <v>5.25</v>
      </c>
      <c r="L332" s="204" t="n">
        <v>4.0625</v>
      </c>
      <c r="M332" s="204" t="n">
        <v>10.15</v>
      </c>
    </row>
    <row r="333">
      <c r="A333" s="203" t="n">
        <v>46082</v>
      </c>
      <c r="B333" s="204" t="n">
        <v>2.565</v>
      </c>
      <c r="C333" s="204" t="n">
        <v>2.322</v>
      </c>
      <c r="D333" s="204" t="n">
        <v>2.109</v>
      </c>
      <c r="E333" s="204" t="n">
        <v>1.933</v>
      </c>
      <c r="F333" s="204" t="n">
        <v>1.9</v>
      </c>
      <c r="G333" s="204" t="n">
        <v>2.84</v>
      </c>
      <c r="H333" s="204" t="n">
        <v>2.565</v>
      </c>
      <c r="I333" s="204" t="n">
        <v>1.931</v>
      </c>
      <c r="J333" s="204" t="n">
        <v>3.25</v>
      </c>
      <c r="K333" s="204" t="n">
        <v>5.25</v>
      </c>
      <c r="L333" s="204" t="n">
        <v>4.0625</v>
      </c>
      <c r="M333" s="204" t="n">
        <v>10.15</v>
      </c>
    </row>
    <row r="334">
      <c r="A334" s="203" t="n">
        <v>46113</v>
      </c>
      <c r="B334" s="204" t="n">
        <v>2.747</v>
      </c>
      <c r="C334" s="204" t="n">
        <v>2.454</v>
      </c>
      <c r="D334" s="204" t="n">
        <v>2.175</v>
      </c>
      <c r="E334" s="204" t="n">
        <v>1.971</v>
      </c>
      <c r="F334" s="204" t="n">
        <v>1.907</v>
      </c>
      <c r="G334" s="204" t="n">
        <v>2.882</v>
      </c>
      <c r="H334" s="204" t="n">
        <v>2.747</v>
      </c>
      <c r="I334" s="204" t="n">
        <v>1.933</v>
      </c>
      <c r="J334" s="204" t="n">
        <v>3.25</v>
      </c>
      <c r="K334" s="204" t="n">
        <v>5.25</v>
      </c>
      <c r="L334" s="204" t="n">
        <v>4.0625</v>
      </c>
      <c r="M334" s="204" t="n">
        <v>10.15</v>
      </c>
    </row>
    <row r="335">
      <c r="A335" s="203" t="n">
        <v>46143</v>
      </c>
      <c r="B335" s="204" t="n">
        <v>2.804</v>
      </c>
      <c r="C335" s="204" t="n">
        <v>2.536</v>
      </c>
      <c r="D335" s="204" t="n">
        <v>2.226</v>
      </c>
      <c r="E335" s="204" t="n">
        <v>1.957</v>
      </c>
      <c r="F335" s="204" t="n">
        <v>1.89</v>
      </c>
      <c r="G335" s="204" t="n">
        <v>2.986</v>
      </c>
      <c r="H335" s="204" t="n">
        <v>2.804</v>
      </c>
      <c r="I335" s="204" t="n">
        <v>1.931</v>
      </c>
      <c r="J335" s="204" t="n">
        <v>3.25</v>
      </c>
      <c r="K335" s="204" t="n">
        <v>5.25</v>
      </c>
      <c r="L335" s="204" t="n">
        <v>4.0625</v>
      </c>
      <c r="M335" s="204" t="n">
        <v>10.15</v>
      </c>
    </row>
    <row r="336">
      <c r="A336" s="203" t="n">
        <v>46174</v>
      </c>
      <c r="B336" s="204" t="n">
        <v>2.798</v>
      </c>
      <c r="C336" s="204" t="n">
        <v>2.596</v>
      </c>
      <c r="D336" s="204" t="n">
        <v>2.339</v>
      </c>
      <c r="E336" s="204" t="n">
        <v>2.146</v>
      </c>
      <c r="F336" s="204" t="n">
        <v>1.992</v>
      </c>
      <c r="G336" s="204" t="n"/>
      <c r="H336" s="204" t="n">
        <v>2.798</v>
      </c>
      <c r="I336" s="204" t="n">
        <v>2.182</v>
      </c>
      <c r="J336" s="204" t="n">
        <v>3.25</v>
      </c>
      <c r="K336" s="204" t="n">
        <v>5.25</v>
      </c>
      <c r="L336" s="204" t="n">
        <v>4.0625</v>
      </c>
      <c r="M336" s="204" t="n">
        <v>10.15</v>
      </c>
    </row>
  </sheetData>
  <mergeCells count="3">
    <mergeCell ref="B4:K4"/>
    <mergeCell ref="A1:E1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51"/>
  <sheetViews>
    <sheetView showGridLines="0" zoomScaleNormal="10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C9" sqref="C9"/>
    </sheetView>
  </sheetViews>
  <sheetFormatPr baseColWidth="8" defaultColWidth="9.1796875" defaultRowHeight="12"/>
  <cols>
    <col width="2.54296875" customWidth="1" style="88" min="1" max="1"/>
    <col width="25.7265625" customWidth="1" style="88" min="2" max="2"/>
    <col width="13" customWidth="1" style="88" min="3" max="3"/>
    <col width="28" bestFit="1" customWidth="1" style="88" min="4" max="4"/>
    <col width="13" customWidth="1" style="88" min="5" max="5"/>
    <col width="32.54296875" bestFit="1" customWidth="1" style="88" min="6" max="6"/>
    <col width="13" customWidth="1" style="88" min="7" max="8"/>
    <col width="8.1796875" bestFit="1" customWidth="1" style="88" min="9" max="9"/>
    <col width="12.453125" customWidth="1" style="88" min="10" max="14"/>
    <col width="15" customWidth="1" style="88" min="15" max="15"/>
    <col width="16" customWidth="1" style="88" min="16" max="16"/>
    <col width="12.453125" customWidth="1" style="88" min="17" max="20"/>
    <col width="12.26953125" customWidth="1" style="88" min="21" max="21"/>
    <col width="9.1796875" customWidth="1" style="88" min="22" max="23"/>
    <col width="9.1796875" customWidth="1" style="88" min="24" max="16384"/>
  </cols>
  <sheetData>
    <row r="2">
      <c r="B2" s="89" t="inlineStr">
        <is>
          <t>FECHA CÁLCULO</t>
        </is>
      </c>
      <c r="C2" s="89">
        <f>'Informe Subasta'!$D$16</f>
        <v/>
      </c>
      <c r="D2" s="112" t="inlineStr">
        <is>
          <t>** AFS = Acta fijación de saldo</t>
        </is>
      </c>
      <c r="E2" s="20" t="n"/>
      <c r="F2" s="113" t="inlineStr">
        <is>
          <t>Amarillo = poblado desde «Informe Subasta»</t>
        </is>
      </c>
      <c r="G2" s="20" t="n"/>
    </row>
    <row r="3">
      <c r="B3" s="20" t="n"/>
      <c r="C3" s="20" t="n"/>
      <c r="D3" s="112" t="inlineStr">
        <is>
          <t>** ADE = Auto despachando ejecución</t>
        </is>
      </c>
      <c r="E3" s="20" t="n"/>
      <c r="F3" s="114" t="inlineStr">
        <is>
          <t>Blanco = campo formulado</t>
        </is>
      </c>
      <c r="G3" s="20" t="n"/>
    </row>
    <row r="4">
      <c r="B4" s="20" t="n"/>
      <c r="C4" s="20" t="n"/>
      <c r="D4" s="112" t="n"/>
      <c r="E4" s="20" t="n"/>
      <c r="F4" s="20" t="n"/>
      <c r="G4" s="20" t="n"/>
    </row>
    <row r="5" ht="14.25" customHeight="1" s="123" thickBot="1">
      <c r="B5" s="20" t="inlineStr">
        <is>
          <t>Intereses demora AFS</t>
        </is>
      </c>
      <c r="C5" s="205">
        <f>'Informe Subasta'!$D$12</f>
        <v/>
      </c>
      <c r="D5" s="20" t="n"/>
      <c r="E5" s="20" t="n"/>
      <c r="F5" s="20" t="inlineStr">
        <is>
          <t>Principal reclamado</t>
        </is>
      </c>
      <c r="G5" s="206">
        <f>$C$7+$C$8+$C$5+$C$13</f>
        <v/>
      </c>
    </row>
    <row r="6" ht="13.5" customHeight="1" s="123" thickBot="1">
      <c r="B6" s="166" t="inlineStr">
        <is>
          <t>DEUDA LEGAL ACTUALIZADA</t>
        </is>
      </c>
      <c r="C6" s="167" t="n"/>
      <c r="D6" s="166" t="inlineStr">
        <is>
          <t>LIMITE RESPONSABILIDAD HIPOTECARIA SEGÚN ESCRITURA</t>
        </is>
      </c>
      <c r="E6" s="167" t="n"/>
      <c r="F6" s="166" t="inlineStr">
        <is>
          <t>DEUDA LIMITADA A RESPONSABILIDAD</t>
        </is>
      </c>
      <c r="G6" s="167" t="n"/>
    </row>
    <row r="7">
      <c r="B7" s="91" t="inlineStr">
        <is>
          <t>Capital en AFS</t>
        </is>
      </c>
      <c r="C7" s="207">
        <f>'Informe Subasta'!$D$10</f>
        <v/>
      </c>
      <c r="D7" s="93" t="inlineStr">
        <is>
          <t>Capital</t>
        </is>
      </c>
      <c r="E7" s="206">
        <f>$D$51</f>
        <v/>
      </c>
      <c r="F7" s="93" t="inlineStr">
        <is>
          <t>Capital</t>
        </is>
      </c>
      <c r="G7" s="206">
        <f>MIN(C7,E7)</f>
        <v/>
      </c>
    </row>
    <row r="8">
      <c r="B8" s="91" t="inlineStr">
        <is>
          <t>Int. Ordinarios en AFS</t>
        </is>
      </c>
      <c r="C8" s="205">
        <f>'Informe Subasta'!$D$11</f>
        <v/>
      </c>
      <c r="D8" s="93" t="inlineStr">
        <is>
          <t>Int. Ordinarios</t>
        </is>
      </c>
      <c r="E8" s="206">
        <f>$E$51</f>
        <v/>
      </c>
      <c r="F8" s="93" t="inlineStr">
        <is>
          <t>Int. Ordinarios</t>
        </is>
      </c>
      <c r="G8" s="206">
        <f>MIN(C8,E8)</f>
        <v/>
      </c>
    </row>
    <row r="9">
      <c r="B9" s="91" t="inlineStr">
        <is>
          <t>Int. Moratorios a fecha de cálculo</t>
        </is>
      </c>
      <c r="C9" s="206">
        <f>$C$5+'Informe Subasta'!$K$11</f>
        <v/>
      </c>
      <c r="D9" s="93" t="inlineStr">
        <is>
          <t>Int. Moratorios</t>
        </is>
      </c>
      <c r="E9" s="206">
        <f>$F$51</f>
        <v/>
      </c>
      <c r="F9" s="20" t="inlineStr">
        <is>
          <t>Int. Moratorios</t>
        </is>
      </c>
      <c r="G9" s="206">
        <f>MIN(C9,E9)</f>
        <v/>
      </c>
    </row>
    <row r="10">
      <c r="B10" s="96" t="inlineStr">
        <is>
          <t>Gastos y costas</t>
        </is>
      </c>
      <c r="C10" s="206">
        <f>SUM(C11:C13)</f>
        <v/>
      </c>
      <c r="D10" s="93" t="inlineStr">
        <is>
          <t>Gastos y costas</t>
        </is>
      </c>
      <c r="E10" s="206">
        <f>$G$51</f>
        <v/>
      </c>
      <c r="F10" s="93" t="inlineStr">
        <is>
          <t>Gastos y costas limitadas al 5% V.H.</t>
        </is>
      </c>
      <c r="G10" s="206">
        <f>MIN(C10,E10)</f>
        <v/>
      </c>
    </row>
    <row r="11">
      <c r="B11" s="91" t="inlineStr">
        <is>
          <t xml:space="preserve">   - Abogado</t>
        </is>
      </c>
      <c r="C11" s="205">
        <f>+'Informe Subasta'!$K$12</f>
        <v/>
      </c>
      <c r="D11" s="93" t="inlineStr">
        <is>
          <t xml:space="preserve">   - Abogado</t>
        </is>
      </c>
      <c r="E11" s="208" t="n"/>
      <c r="F11" s="20" t="inlineStr">
        <is>
          <t xml:space="preserve">   - Abogado</t>
        </is>
      </c>
      <c r="G11" s="206">
        <f>MIN(C11,E11)</f>
        <v/>
      </c>
    </row>
    <row r="12">
      <c r="B12" s="91" t="inlineStr">
        <is>
          <t xml:space="preserve">   - Procurador</t>
        </is>
      </c>
      <c r="C12" s="205" t="n"/>
      <c r="D12" s="93" t="inlineStr">
        <is>
          <t xml:space="preserve">   - Procurador</t>
        </is>
      </c>
      <c r="E12" s="208" t="n"/>
      <c r="F12" s="20" t="inlineStr">
        <is>
          <t xml:space="preserve">   - Procurador</t>
        </is>
      </c>
      <c r="G12" s="206">
        <f>MIN(C12,E12)</f>
        <v/>
      </c>
    </row>
    <row r="13">
      <c r="B13" s="91" t="inlineStr">
        <is>
          <t xml:space="preserve">   - Comisiones en AFS</t>
        </is>
      </c>
      <c r="C13" s="205">
        <f>'Informe Subasta'!$D$13</f>
        <v/>
      </c>
      <c r="D13" s="93" t="inlineStr">
        <is>
          <t xml:space="preserve">   - Comisiones en AFS</t>
        </is>
      </c>
      <c r="E13" s="208" t="n"/>
      <c r="F13" s="20" t="inlineStr">
        <is>
          <t xml:space="preserve">   - Comisiones en AFS</t>
        </is>
      </c>
      <c r="G13" s="206">
        <f>MIN(C13,E13)</f>
        <v/>
      </c>
    </row>
    <row r="14">
      <c r="B14" s="91" t="inlineStr">
        <is>
          <t>Entregas a cuenta</t>
        </is>
      </c>
      <c r="C14" s="205" t="n">
        <v>0</v>
      </c>
      <c r="D14" s="98" t="inlineStr">
        <is>
          <t>Entregas a cuenta</t>
        </is>
      </c>
      <c r="E14" s="206" t="n">
        <v>0</v>
      </c>
      <c r="F14" s="93" t="inlineStr">
        <is>
          <t>Entregas a cuenta</t>
        </is>
      </c>
      <c r="G14" s="206">
        <f>C14</f>
        <v/>
      </c>
    </row>
    <row r="15">
      <c r="B15" s="38" t="inlineStr">
        <is>
          <t>TOTAL</t>
        </is>
      </c>
      <c r="C15" s="209">
        <f>SUM(C7:C10)-C14</f>
        <v/>
      </c>
      <c r="D15" s="38" t="inlineStr">
        <is>
          <t>TOTAL</t>
        </is>
      </c>
      <c r="E15" s="209">
        <f>SUM(E7:E10)-E14</f>
        <v/>
      </c>
      <c r="F15" s="38" t="inlineStr">
        <is>
          <t>TOTAL</t>
        </is>
      </c>
      <c r="G15" s="209">
        <f>SUM(G7:G10)-G14</f>
        <v/>
      </c>
    </row>
    <row r="17" ht="14.25" customHeight="1" s="123" thickBot="1">
      <c r="B17" s="99" t="inlineStr">
        <is>
          <t>Si solo hay una finca no completar nada abajo: ↓</t>
        </is>
      </c>
      <c r="C17" s="20" t="n"/>
      <c r="D17" s="20" t="n"/>
      <c r="E17" s="20" t="n"/>
      <c r="F17" s="20" t="n"/>
      <c r="G17" s="20" t="n"/>
      <c r="H17" s="20" t="n"/>
      <c r="I17" s="41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</row>
    <row r="18" ht="14.25" customHeight="1" s="123" thickBot="1">
      <c r="B18" s="171" t="inlineStr">
        <is>
          <t>Distribución en caso de varias fincas:</t>
        </is>
      </c>
      <c r="C18" s="167" t="n"/>
      <c r="D18" s="20" t="n"/>
      <c r="E18" s="20" t="n"/>
      <c r="F18" s="20" t="n"/>
      <c r="G18" s="20" t="n"/>
      <c r="H18" s="20" t="n"/>
      <c r="I18" s="41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</row>
    <row r="19" ht="14.25" customHeight="1" s="123" thickBot="1">
      <c r="B19" s="20" t="n"/>
      <c r="C19" s="20" t="n"/>
      <c r="D19" s="170" t="inlineStr">
        <is>
          <t>LIMITE RESPONSABILIDAD HIPOTECARIA</t>
        </is>
      </c>
      <c r="E19" s="169" t="n"/>
      <c r="F19" s="169" t="n"/>
      <c r="G19" s="169" t="n"/>
      <c r="H19" s="167" t="n"/>
      <c r="I19" s="41" t="n"/>
      <c r="J19" s="168" t="inlineStr">
        <is>
          <t>TOTAL DEUDA REAL DISTRIBUIDA</t>
        </is>
      </c>
      <c r="K19" s="169" t="n"/>
      <c r="L19" s="169" t="n"/>
      <c r="M19" s="169" t="n"/>
      <c r="N19" s="169" t="n"/>
      <c r="O19" s="167" t="n"/>
      <c r="P19" s="170" t="inlineStr">
        <is>
          <t>TOTAL DEUDA LIMITADA DISTRIBUIDA</t>
        </is>
      </c>
      <c r="Q19" s="169" t="n"/>
      <c r="R19" s="169" t="n"/>
      <c r="S19" s="169" t="n"/>
      <c r="T19" s="169" t="n"/>
      <c r="U19" s="167" t="n"/>
    </row>
    <row r="20" ht="27.75" customHeight="1" s="123" thickBot="1">
      <c r="B20" s="49" t="inlineStr">
        <is>
          <t>ASSET ID HOIST</t>
        </is>
      </c>
      <c r="C20" s="50" t="inlineStr">
        <is>
          <t>Nº FINCA REGISTRAL</t>
        </is>
      </c>
      <c r="D20" s="49" t="inlineStr">
        <is>
          <t>Capital</t>
        </is>
      </c>
      <c r="E20" s="50" t="inlineStr">
        <is>
          <t>I. Ordinarios</t>
        </is>
      </c>
      <c r="F20" s="50" t="inlineStr">
        <is>
          <t>I. Moratorios</t>
        </is>
      </c>
      <c r="G20" s="50" t="inlineStr">
        <is>
          <t>Gastos y Costas</t>
        </is>
      </c>
      <c r="H20" s="51" t="inlineStr">
        <is>
          <t>Total R.H.</t>
        </is>
      </c>
      <c r="I20" s="52" t="inlineStr">
        <is>
          <t>% LRH Finca</t>
        </is>
      </c>
      <c r="J20" s="49" t="inlineStr">
        <is>
          <t>Capital</t>
        </is>
      </c>
      <c r="K20" s="50" t="inlineStr">
        <is>
          <t>Int. Ordinarios</t>
        </is>
      </c>
      <c r="L20" s="50" t="inlineStr">
        <is>
          <t>Int. Moratorios</t>
        </is>
      </c>
      <c r="M20" s="50" t="inlineStr">
        <is>
          <t>Gastos y Costas</t>
        </is>
      </c>
      <c r="N20" s="50" t="inlineStr">
        <is>
          <t>Entregas a cuenta</t>
        </is>
      </c>
      <c r="O20" s="51" t="inlineStr">
        <is>
          <t>TOTAL DEUDA</t>
        </is>
      </c>
      <c r="P20" s="100" t="inlineStr">
        <is>
          <t>Capital</t>
        </is>
      </c>
      <c r="Q20" s="101" t="inlineStr">
        <is>
          <t>Int. Ordinarios</t>
        </is>
      </c>
      <c r="R20" s="101" t="inlineStr">
        <is>
          <t>Int. Moratorios</t>
        </is>
      </c>
      <c r="S20" s="101" t="inlineStr">
        <is>
          <t>Gastos y Costas</t>
        </is>
      </c>
      <c r="T20" s="101" t="inlineStr">
        <is>
          <t>Entregas a cuenta</t>
        </is>
      </c>
      <c r="U20" s="102" t="inlineStr">
        <is>
          <t>TOTAL DEUDA</t>
        </is>
      </c>
    </row>
    <row r="21">
      <c r="B21" s="103" t="n"/>
      <c r="C21" s="104">
        <f>IF('Informe Subasta'!$A$30="","",'Informe Subasta'!$A$30)</f>
        <v/>
      </c>
      <c r="D21" s="210">
        <f>IF($C21="","",'Informe Subasta'!$I$30)</f>
        <v/>
      </c>
      <c r="E21" s="211">
        <f>IF($C21="","",'Informe Subasta'!$J$30)</f>
        <v/>
      </c>
      <c r="F21" s="211">
        <f>IF($C21="","",'Informe Subasta'!$K$30)</f>
        <v/>
      </c>
      <c r="G21" s="211">
        <f>IF($C21="","",'Informe Subasta'!$L$30)</f>
        <v/>
      </c>
      <c r="H21" s="206">
        <f>IF($C21="","",SUM(D21:G21))</f>
        <v/>
      </c>
      <c r="I21" s="107">
        <f>IF($C21="","",H21/$H$51)</f>
        <v/>
      </c>
      <c r="J21" s="212">
        <f>IF($C21="","",$C$7*$I21)</f>
        <v/>
      </c>
      <c r="K21" s="213">
        <f>IF($C21="","",$C$8*$I21)</f>
        <v/>
      </c>
      <c r="L21" s="213">
        <f>IF($C21="","",$C$9*$I21)</f>
        <v/>
      </c>
      <c r="M21" s="213">
        <f>IF($C21="","",$C$10*$I21)</f>
        <v/>
      </c>
      <c r="N21" s="213">
        <f>IF($C21="","",$C$14*$I21)</f>
        <v/>
      </c>
      <c r="O21" s="214">
        <f>IF($C21="","",SUM(J21:N21))</f>
        <v/>
      </c>
      <c r="P21" s="212">
        <f>IF($C21="","",$G$7*$I21)</f>
        <v/>
      </c>
      <c r="Q21" s="213">
        <f>IF($C21="","",$G$8*$I21)</f>
        <v/>
      </c>
      <c r="R21" s="213">
        <f>IF($C21="","",$G$9*$I21)</f>
        <v/>
      </c>
      <c r="S21" s="213">
        <f>IF($C21="","",$G$10*$I21)</f>
        <v/>
      </c>
      <c r="T21" s="213">
        <f>IF($C21="","",$G$14*$I21)</f>
        <v/>
      </c>
      <c r="U21" s="214">
        <f>IF($C21="","",SUM(P21:T21))</f>
        <v/>
      </c>
    </row>
    <row r="22">
      <c r="B22" s="103" t="n"/>
      <c r="C22" s="104">
        <f>IF('Informe Subasta'!$A$31="","",'Informe Subasta'!$A$31)</f>
        <v/>
      </c>
      <c r="D22" s="210">
        <f>IF($C22="","",'Informe Subasta'!$I$31)</f>
        <v/>
      </c>
      <c r="E22" s="211">
        <f>IF($C22="","",'Informe Subasta'!$J$31)</f>
        <v/>
      </c>
      <c r="F22" s="211">
        <f>IF($C22="","",'Informe Subasta'!$K$31)</f>
        <v/>
      </c>
      <c r="G22" s="211">
        <f>IF($C22="","",'Informe Subasta'!$L$31)</f>
        <v/>
      </c>
      <c r="H22" s="206">
        <f>IF($C22="","",SUM(D22:G22))</f>
        <v/>
      </c>
      <c r="I22" s="107">
        <f>IF($C22="","",H22/$H$51)</f>
        <v/>
      </c>
      <c r="J22" s="212">
        <f>IF($C22="","",$C$7*$I22)</f>
        <v/>
      </c>
      <c r="K22" s="213">
        <f>IF($C22="","",$C$8*$I22)</f>
        <v/>
      </c>
      <c r="L22" s="213">
        <f>IF($C22="","",$C$9*$I22)</f>
        <v/>
      </c>
      <c r="M22" s="213">
        <f>IF($C22="","",$C$10*$I22)</f>
        <v/>
      </c>
      <c r="N22" s="213">
        <f>IF($C22="","",$C$14*$I22)</f>
        <v/>
      </c>
      <c r="O22" s="214">
        <f>IF($C22="","",SUM(J22:N22))</f>
        <v/>
      </c>
      <c r="P22" s="212">
        <f>IF($C22="","",$G$7*$I22)</f>
        <v/>
      </c>
      <c r="Q22" s="213">
        <f>IF($C22="","",$G$8*$I22)</f>
        <v/>
      </c>
      <c r="R22" s="213">
        <f>IF($C22="","",$G$9*$I22)</f>
        <v/>
      </c>
      <c r="S22" s="213">
        <f>IF($C22="","",$G$10*$I22)</f>
        <v/>
      </c>
      <c r="T22" s="213">
        <f>IF($C22="","",$G$14*$I22)</f>
        <v/>
      </c>
      <c r="U22" s="214">
        <f>IF($C22="","",SUM(P22:T22))</f>
        <v/>
      </c>
    </row>
    <row r="23">
      <c r="B23" s="103" t="n"/>
      <c r="C23" s="104">
        <f>IF('Informe Subasta'!$A$32="","",'Informe Subasta'!$A$32)</f>
        <v/>
      </c>
      <c r="D23" s="210">
        <f>IF($C23="","",'Informe Subasta'!$I$32)</f>
        <v/>
      </c>
      <c r="E23" s="211">
        <f>IF($C23="","",'Informe Subasta'!$J$32)</f>
        <v/>
      </c>
      <c r="F23" s="211">
        <f>IF($C23="","",'Informe Subasta'!$K$32)</f>
        <v/>
      </c>
      <c r="G23" s="211">
        <f>IF($C23="","",'Informe Subasta'!$L$32)</f>
        <v/>
      </c>
      <c r="H23" s="206">
        <f>IF($C23="","",SUM(D23:G23))</f>
        <v/>
      </c>
      <c r="I23" s="107">
        <f>IF($C23="","",H23/$H$51)</f>
        <v/>
      </c>
      <c r="J23" s="212">
        <f>IF($C23="","",$C$7*$I23)</f>
        <v/>
      </c>
      <c r="K23" s="213">
        <f>IF($C23="","",$C$8*$I23)</f>
        <v/>
      </c>
      <c r="L23" s="213">
        <f>IF($C23="","",$C$9*$I23)</f>
        <v/>
      </c>
      <c r="M23" s="213">
        <f>IF($C23="","",$C$10*$I23)</f>
        <v/>
      </c>
      <c r="N23" s="213">
        <f>IF($C23="","",$C$14*$I23)</f>
        <v/>
      </c>
      <c r="O23" s="214">
        <f>IF($C23="","",SUM(J23:N23))</f>
        <v/>
      </c>
      <c r="P23" s="212">
        <f>IF($C23="","",$G$7*$I23)</f>
        <v/>
      </c>
      <c r="Q23" s="213">
        <f>IF($C23="","",$G$8*$I23)</f>
        <v/>
      </c>
      <c r="R23" s="213">
        <f>IF($C23="","",$G$9*$I23)</f>
        <v/>
      </c>
      <c r="S23" s="213">
        <f>IF($C23="","",$G$10*$I23)</f>
        <v/>
      </c>
      <c r="T23" s="213">
        <f>IF($C23="","",$G$14*$I23)</f>
        <v/>
      </c>
      <c r="U23" s="214">
        <f>IF($C23="","",SUM(P23:T23))</f>
        <v/>
      </c>
    </row>
    <row r="24">
      <c r="B24" s="103" t="n"/>
      <c r="C24" s="104">
        <f>IF('Informe Subasta'!$A$33="","",'Informe Subasta'!$A$33)</f>
        <v/>
      </c>
      <c r="D24" s="210">
        <f>IF($C24="","",'Informe Subasta'!$I$33)</f>
        <v/>
      </c>
      <c r="E24" s="211">
        <f>IF($C24="","",'Informe Subasta'!$J$33)</f>
        <v/>
      </c>
      <c r="F24" s="211">
        <f>IF($C24="","",'Informe Subasta'!$K$33)</f>
        <v/>
      </c>
      <c r="G24" s="211">
        <f>IF($C24="","",'Informe Subasta'!$L$33)</f>
        <v/>
      </c>
      <c r="H24" s="206">
        <f>IF($C24="","",SUM(D24:G24))</f>
        <v/>
      </c>
      <c r="I24" s="107">
        <f>IF($C24="","",H24/$H$51)</f>
        <v/>
      </c>
      <c r="J24" s="212">
        <f>IF($C24="","",$C$7*$I24)</f>
        <v/>
      </c>
      <c r="K24" s="213">
        <f>IF($C24="","",$C$8*$I24)</f>
        <v/>
      </c>
      <c r="L24" s="213">
        <f>IF($C24="","",$C$9*$I24)</f>
        <v/>
      </c>
      <c r="M24" s="213">
        <f>IF($C24="","",$C$10*$I24)</f>
        <v/>
      </c>
      <c r="N24" s="213">
        <f>IF($C24="","",$C$14*$I24)</f>
        <v/>
      </c>
      <c r="O24" s="214">
        <f>IF($C24="","",SUM(J24:N24))</f>
        <v/>
      </c>
      <c r="P24" s="212">
        <f>IF($C24="","",$G$7*$I24)</f>
        <v/>
      </c>
      <c r="Q24" s="213">
        <f>IF($C24="","",$G$8*$I24)</f>
        <v/>
      </c>
      <c r="R24" s="213">
        <f>IF($C24="","",$G$9*$I24)</f>
        <v/>
      </c>
      <c r="S24" s="213">
        <f>IF($C24="","",$G$10*$I24)</f>
        <v/>
      </c>
      <c r="T24" s="213">
        <f>IF($C24="","",$G$14*$I24)</f>
        <v/>
      </c>
      <c r="U24" s="214">
        <f>IF($C24="","",SUM(P24:T24))</f>
        <v/>
      </c>
    </row>
    <row r="25">
      <c r="B25" s="103" t="n"/>
      <c r="C25" s="104">
        <f>IF('Informe Subasta'!$A$34="","",'Informe Subasta'!$A$34)</f>
        <v/>
      </c>
      <c r="D25" s="210">
        <f>IF($C25="","",'Informe Subasta'!$I$34)</f>
        <v/>
      </c>
      <c r="E25" s="211">
        <f>IF($C25="","",'Informe Subasta'!$J$34)</f>
        <v/>
      </c>
      <c r="F25" s="211">
        <f>IF($C25="","",'Informe Subasta'!$K$34)</f>
        <v/>
      </c>
      <c r="G25" s="211">
        <f>IF($C25="","",'Informe Subasta'!$L$34)</f>
        <v/>
      </c>
      <c r="H25" s="206">
        <f>IF($C25="","",SUM(D25:G25))</f>
        <v/>
      </c>
      <c r="I25" s="107">
        <f>IF($C25="","",H25/$H$51)</f>
        <v/>
      </c>
      <c r="J25" s="212">
        <f>IF($C25="","",$C$7*$I25)</f>
        <v/>
      </c>
      <c r="K25" s="213">
        <f>IF($C25="","",$C$8*$I25)</f>
        <v/>
      </c>
      <c r="L25" s="213">
        <f>IF($C25="","",$C$9*$I25)</f>
        <v/>
      </c>
      <c r="M25" s="213">
        <f>IF($C25="","",$C$10*$I25)</f>
        <v/>
      </c>
      <c r="N25" s="213">
        <f>IF($C25="","",$C$14*$I25)</f>
        <v/>
      </c>
      <c r="O25" s="214">
        <f>IF($C25="","",SUM(J25:N25))</f>
        <v/>
      </c>
      <c r="P25" s="212">
        <f>IF($C25="","",$G$7*$I25)</f>
        <v/>
      </c>
      <c r="Q25" s="213">
        <f>IF($C25="","",$G$8*$I25)</f>
        <v/>
      </c>
      <c r="R25" s="213">
        <f>IF($C25="","",$G$9*$I25)</f>
        <v/>
      </c>
      <c r="S25" s="213">
        <f>IF($C25="","",$G$10*$I25)</f>
        <v/>
      </c>
      <c r="T25" s="213">
        <f>IF($C25="","",$G$14*$I25)</f>
        <v/>
      </c>
      <c r="U25" s="214">
        <f>IF($C25="","",SUM(P25:T25))</f>
        <v/>
      </c>
    </row>
    <row r="26">
      <c r="B26" s="103" t="n"/>
      <c r="C26" s="104">
        <f>IF('Informe Subasta'!$A$35="","",'Informe Subasta'!$A$35)</f>
        <v/>
      </c>
      <c r="D26" s="210">
        <f>IF($C26="","",'Informe Subasta'!$I$35)</f>
        <v/>
      </c>
      <c r="E26" s="211">
        <f>IF($C26="","",'Informe Subasta'!$J$35)</f>
        <v/>
      </c>
      <c r="F26" s="211">
        <f>IF($C26="","",'Informe Subasta'!$K$35)</f>
        <v/>
      </c>
      <c r="G26" s="211">
        <f>IF($C26="","",'Informe Subasta'!$L$35)</f>
        <v/>
      </c>
      <c r="H26" s="206">
        <f>IF($C26="","",SUM(D26:G26))</f>
        <v/>
      </c>
      <c r="I26" s="107">
        <f>IF($C26="","",H26/$H$51)</f>
        <v/>
      </c>
      <c r="J26" s="212">
        <f>IF($C26="","",$C$7*$I26)</f>
        <v/>
      </c>
      <c r="K26" s="213">
        <f>IF($C26="","",$C$8*$I26)</f>
        <v/>
      </c>
      <c r="L26" s="213">
        <f>IF($C26="","",$C$9*$I26)</f>
        <v/>
      </c>
      <c r="M26" s="213">
        <f>IF($C26="","",$C$10*$I26)</f>
        <v/>
      </c>
      <c r="N26" s="213">
        <f>IF($C26="","",$C$14*$I26)</f>
        <v/>
      </c>
      <c r="O26" s="214">
        <f>IF($C26="","",SUM(J26:N26))</f>
        <v/>
      </c>
      <c r="P26" s="212">
        <f>IF($C26="","",$G$7*$I26)</f>
        <v/>
      </c>
      <c r="Q26" s="213">
        <f>IF($C26="","",$G$8*$I26)</f>
        <v/>
      </c>
      <c r="R26" s="213">
        <f>IF($C26="","",$G$9*$I26)</f>
        <v/>
      </c>
      <c r="S26" s="213">
        <f>IF($C26="","",$G$10*$I26)</f>
        <v/>
      </c>
      <c r="T26" s="213">
        <f>IF($C26="","",$G$14*$I26)</f>
        <v/>
      </c>
      <c r="U26" s="214">
        <f>IF($C26="","",SUM(P26:T26))</f>
        <v/>
      </c>
    </row>
    <row r="27">
      <c r="B27" s="103" t="n"/>
      <c r="C27" s="104">
        <f>IF('Informe Subasta'!$A$36="","",'Informe Subasta'!$A$36)</f>
        <v/>
      </c>
      <c r="D27" s="210">
        <f>IF($C27="","",'Informe Subasta'!$I$36)</f>
        <v/>
      </c>
      <c r="E27" s="211">
        <f>IF($C27="","",'Informe Subasta'!$J$36)</f>
        <v/>
      </c>
      <c r="F27" s="211">
        <f>IF($C27="","",'Informe Subasta'!$K$36)</f>
        <v/>
      </c>
      <c r="G27" s="211">
        <f>IF($C27="","",'Informe Subasta'!$L$36)</f>
        <v/>
      </c>
      <c r="H27" s="206">
        <f>IF($C27="","",SUM(D27:G27))</f>
        <v/>
      </c>
      <c r="I27" s="107">
        <f>IF($C27="","",H27/$H$51)</f>
        <v/>
      </c>
      <c r="J27" s="212">
        <f>IF($C27="","",$C$7*$I27)</f>
        <v/>
      </c>
      <c r="K27" s="213">
        <f>IF($C27="","",$C$8*$I27)</f>
        <v/>
      </c>
      <c r="L27" s="213">
        <f>IF($C27="","",$C$9*$I27)</f>
        <v/>
      </c>
      <c r="M27" s="213">
        <f>IF($C27="","",$C$10*$I27)</f>
        <v/>
      </c>
      <c r="N27" s="213">
        <f>IF($C27="","",$C$14*$I27)</f>
        <v/>
      </c>
      <c r="O27" s="214">
        <f>IF($C27="","",SUM(J27:N27))</f>
        <v/>
      </c>
      <c r="P27" s="212">
        <f>IF($C27="","",$G$7*$I27)</f>
        <v/>
      </c>
      <c r="Q27" s="213">
        <f>IF($C27="","",$G$8*$I27)</f>
        <v/>
      </c>
      <c r="R27" s="213">
        <f>IF($C27="","",$G$9*$I27)</f>
        <v/>
      </c>
      <c r="S27" s="213">
        <f>IF($C27="","",$G$10*$I27)</f>
        <v/>
      </c>
      <c r="T27" s="213">
        <f>IF($C27="","",$G$14*$I27)</f>
        <v/>
      </c>
      <c r="U27" s="214">
        <f>IF($C27="","",SUM(P27:T27))</f>
        <v/>
      </c>
    </row>
    <row r="28">
      <c r="B28" s="103" t="n"/>
      <c r="C28" s="104">
        <f>IF('Informe Subasta'!$A$37="","",'Informe Subasta'!$A$37)</f>
        <v/>
      </c>
      <c r="D28" s="210">
        <f>IF($C28="","",'Informe Subasta'!$I$37)</f>
        <v/>
      </c>
      <c r="E28" s="211">
        <f>IF($C28="","",'Informe Subasta'!$J$37)</f>
        <v/>
      </c>
      <c r="F28" s="211">
        <f>IF($C28="","",'Informe Subasta'!$K$37)</f>
        <v/>
      </c>
      <c r="G28" s="211">
        <f>IF($C28="","",'Informe Subasta'!$L$37)</f>
        <v/>
      </c>
      <c r="H28" s="206">
        <f>IF($C28="","",SUM(D28:G28))</f>
        <v/>
      </c>
      <c r="I28" s="107">
        <f>IF($C28="","",H28/$H$51)</f>
        <v/>
      </c>
      <c r="J28" s="212">
        <f>IF($C28="","",$C$7*$I28)</f>
        <v/>
      </c>
      <c r="K28" s="213">
        <f>IF($C28="","",$C$8*$I28)</f>
        <v/>
      </c>
      <c r="L28" s="213">
        <f>IF($C28="","",$C$9*$I28)</f>
        <v/>
      </c>
      <c r="M28" s="213">
        <f>IF($C28="","",$C$10*$I28)</f>
        <v/>
      </c>
      <c r="N28" s="213">
        <f>IF($C28="","",$C$14*$I28)</f>
        <v/>
      </c>
      <c r="O28" s="214">
        <f>IF($C28="","",SUM(J28:N28))</f>
        <v/>
      </c>
      <c r="P28" s="212">
        <f>IF($C28="","",$G$7*$I28)</f>
        <v/>
      </c>
      <c r="Q28" s="213">
        <f>IF($C28="","",$G$8*$I28)</f>
        <v/>
      </c>
      <c r="R28" s="213">
        <f>IF($C28="","",$G$9*$I28)</f>
        <v/>
      </c>
      <c r="S28" s="213">
        <f>IF($C28="","",$G$10*$I28)</f>
        <v/>
      </c>
      <c r="T28" s="213">
        <f>IF($C28="","",$G$14*$I28)</f>
        <v/>
      </c>
      <c r="U28" s="214">
        <f>IF($C28="","",SUM(P28:T28))</f>
        <v/>
      </c>
    </row>
    <row r="29">
      <c r="B29" s="103" t="n"/>
      <c r="C29" s="104">
        <f>IF('Informe Subasta'!$A$38="","",'Informe Subasta'!$A$38)</f>
        <v/>
      </c>
      <c r="D29" s="210">
        <f>IF($C29="","",'Informe Subasta'!$I$38)</f>
        <v/>
      </c>
      <c r="E29" s="211">
        <f>IF($C29="","",'Informe Subasta'!$J$38)</f>
        <v/>
      </c>
      <c r="F29" s="211">
        <f>IF($C29="","",'Informe Subasta'!$K$38)</f>
        <v/>
      </c>
      <c r="G29" s="211">
        <f>IF($C29="","",'Informe Subasta'!$L$38)</f>
        <v/>
      </c>
      <c r="H29" s="206">
        <f>IF($C29="","",SUM(D29:G29))</f>
        <v/>
      </c>
      <c r="I29" s="107">
        <f>IF($C29="","",H29/$H$51)</f>
        <v/>
      </c>
      <c r="J29" s="212">
        <f>IF($C29="","",$C$7*$I29)</f>
        <v/>
      </c>
      <c r="K29" s="213">
        <f>IF($C29="","",$C$8*$I29)</f>
        <v/>
      </c>
      <c r="L29" s="213">
        <f>IF($C29="","",$C$9*$I29)</f>
        <v/>
      </c>
      <c r="M29" s="213">
        <f>IF($C29="","",$C$10*$I29)</f>
        <v/>
      </c>
      <c r="N29" s="213">
        <f>IF($C29="","",$C$14*$I29)</f>
        <v/>
      </c>
      <c r="O29" s="214">
        <f>IF($C29="","",SUM(J29:N29))</f>
        <v/>
      </c>
      <c r="P29" s="212">
        <f>IF($C29="","",$G$7*$I29)</f>
        <v/>
      </c>
      <c r="Q29" s="213">
        <f>IF($C29="","",$G$8*$I29)</f>
        <v/>
      </c>
      <c r="R29" s="213">
        <f>IF($C29="","",$G$9*$I29)</f>
        <v/>
      </c>
      <c r="S29" s="213">
        <f>IF($C29="","",$G$10*$I29)</f>
        <v/>
      </c>
      <c r="T29" s="213">
        <f>IF($C29="","",$G$14*$I29)</f>
        <v/>
      </c>
      <c r="U29" s="214">
        <f>IF($C29="","",SUM(P29:T29))</f>
        <v/>
      </c>
    </row>
    <row r="30">
      <c r="B30" s="103" t="n"/>
      <c r="C30" s="104">
        <f>IF('Informe Subasta'!$A$39="","",'Informe Subasta'!$A$39)</f>
        <v/>
      </c>
      <c r="D30" s="210">
        <f>IF($C30="","",'Informe Subasta'!$I$39)</f>
        <v/>
      </c>
      <c r="E30" s="211">
        <f>IF($C30="","",'Informe Subasta'!$J$39)</f>
        <v/>
      </c>
      <c r="F30" s="211">
        <f>IF($C30="","",'Informe Subasta'!$K$39)</f>
        <v/>
      </c>
      <c r="G30" s="211">
        <f>IF($C30="","",'Informe Subasta'!$L$39)</f>
        <v/>
      </c>
      <c r="H30" s="206">
        <f>IF($C30="","",SUM(D30:G30))</f>
        <v/>
      </c>
      <c r="I30" s="107">
        <f>IF($C30="","",H30/$H$51)</f>
        <v/>
      </c>
      <c r="J30" s="212">
        <f>IF($C30="","",$C$7*$I30)</f>
        <v/>
      </c>
      <c r="K30" s="213">
        <f>IF($C30="","",$C$8*$I30)</f>
        <v/>
      </c>
      <c r="L30" s="213">
        <f>IF($C30="","",$C$9*$I30)</f>
        <v/>
      </c>
      <c r="M30" s="213">
        <f>IF($C30="","",$C$10*$I30)</f>
        <v/>
      </c>
      <c r="N30" s="213">
        <f>IF($C30="","",$C$14*$I30)</f>
        <v/>
      </c>
      <c r="O30" s="214">
        <f>IF($C30="","",SUM(J30:N30))</f>
        <v/>
      </c>
      <c r="P30" s="212">
        <f>IF($C30="","",$G$7*$I30)</f>
        <v/>
      </c>
      <c r="Q30" s="213">
        <f>IF($C30="","",$G$8*$I30)</f>
        <v/>
      </c>
      <c r="R30" s="213">
        <f>IF($C30="","",$G$9*$I30)</f>
        <v/>
      </c>
      <c r="S30" s="213">
        <f>IF($C30="","",$G$10*$I30)</f>
        <v/>
      </c>
      <c r="T30" s="213">
        <f>IF($C30="","",$G$14*$I30)</f>
        <v/>
      </c>
      <c r="U30" s="214">
        <f>IF($C30="","",SUM(P30:T30))</f>
        <v/>
      </c>
    </row>
    <row r="31">
      <c r="B31" s="103" t="n"/>
      <c r="C31" s="104">
        <f>IF('Informe Subasta'!$A$40="","",'Informe Subasta'!$A$40)</f>
        <v/>
      </c>
      <c r="D31" s="210">
        <f>IF($C31="","",'Informe Subasta'!$I$40)</f>
        <v/>
      </c>
      <c r="E31" s="211">
        <f>IF($C31="","",'Informe Subasta'!$J$40)</f>
        <v/>
      </c>
      <c r="F31" s="211">
        <f>IF($C31="","",'Informe Subasta'!$K$40)</f>
        <v/>
      </c>
      <c r="G31" s="211">
        <f>IF($C31="","",'Informe Subasta'!$L$40)</f>
        <v/>
      </c>
      <c r="H31" s="206">
        <f>IF($C31="","",SUM(D31:G31))</f>
        <v/>
      </c>
      <c r="I31" s="107">
        <f>IF($C31="","",H31/$H$51)</f>
        <v/>
      </c>
      <c r="J31" s="212">
        <f>IF($C31="","",$C$7*$I31)</f>
        <v/>
      </c>
      <c r="K31" s="213">
        <f>IF($C31="","",$C$8*$I31)</f>
        <v/>
      </c>
      <c r="L31" s="213">
        <f>IF($C31="","",$C$9*$I31)</f>
        <v/>
      </c>
      <c r="M31" s="213">
        <f>IF($C31="","",$C$10*$I31)</f>
        <v/>
      </c>
      <c r="N31" s="213">
        <f>IF($C31="","",$C$14*$I31)</f>
        <v/>
      </c>
      <c r="O31" s="214">
        <f>IF($C31="","",SUM(J31:N31))</f>
        <v/>
      </c>
      <c r="P31" s="212">
        <f>IF($C31="","",$G$7*$I31)</f>
        <v/>
      </c>
      <c r="Q31" s="213">
        <f>IF($C31="","",$G$8*$I31)</f>
        <v/>
      </c>
      <c r="R31" s="213">
        <f>IF($C31="","",$G$9*$I31)</f>
        <v/>
      </c>
      <c r="S31" s="213">
        <f>IF($C31="","",$G$10*$I31)</f>
        <v/>
      </c>
      <c r="T31" s="213">
        <f>IF($C31="","",$G$14*$I31)</f>
        <v/>
      </c>
      <c r="U31" s="214">
        <f>IF($C31="","",SUM(P31:T31))</f>
        <v/>
      </c>
    </row>
    <row r="32">
      <c r="B32" s="103" t="n"/>
      <c r="C32" s="104">
        <f>IF('Informe Subasta'!$A$41="","",'Informe Subasta'!$A$41)</f>
        <v/>
      </c>
      <c r="D32" s="210">
        <f>IF($C32="","",'Informe Subasta'!$I$41)</f>
        <v/>
      </c>
      <c r="E32" s="211">
        <f>IF($C32="","",'Informe Subasta'!$J$41)</f>
        <v/>
      </c>
      <c r="F32" s="211">
        <f>IF($C32="","",'Informe Subasta'!$K$41)</f>
        <v/>
      </c>
      <c r="G32" s="211">
        <f>IF($C32="","",'Informe Subasta'!$L$41)</f>
        <v/>
      </c>
      <c r="H32" s="206">
        <f>IF($C32="","",SUM(D32:G32))</f>
        <v/>
      </c>
      <c r="I32" s="107">
        <f>IF($C32="","",H32/$H$51)</f>
        <v/>
      </c>
      <c r="J32" s="212">
        <f>IF($C32="","",$C$7*$I32)</f>
        <v/>
      </c>
      <c r="K32" s="213">
        <f>IF($C32="","",$C$8*$I32)</f>
        <v/>
      </c>
      <c r="L32" s="213">
        <f>IF($C32="","",$C$9*$I32)</f>
        <v/>
      </c>
      <c r="M32" s="213">
        <f>IF($C32="","",$C$10*$I32)</f>
        <v/>
      </c>
      <c r="N32" s="213">
        <f>IF($C32="","",$C$14*$I32)</f>
        <v/>
      </c>
      <c r="O32" s="214">
        <f>IF($C32="","",SUM(J32:N32))</f>
        <v/>
      </c>
      <c r="P32" s="212">
        <f>IF($C32="","",$G$7*$I32)</f>
        <v/>
      </c>
      <c r="Q32" s="213">
        <f>IF($C32="","",$G$8*$I32)</f>
        <v/>
      </c>
      <c r="R32" s="213">
        <f>IF($C32="","",$G$9*$I32)</f>
        <v/>
      </c>
      <c r="S32" s="213">
        <f>IF($C32="","",$G$10*$I32)</f>
        <v/>
      </c>
      <c r="T32" s="213">
        <f>IF($C32="","",$G$14*$I32)</f>
        <v/>
      </c>
      <c r="U32" s="214">
        <f>IF($C32="","",SUM(P32:T32))</f>
        <v/>
      </c>
    </row>
    <row r="33">
      <c r="B33" s="103" t="n"/>
      <c r="C33" s="104">
        <f>IF('Informe Subasta'!$A$42="","",'Informe Subasta'!$A$42)</f>
        <v/>
      </c>
      <c r="D33" s="210">
        <f>IF($C33="","",'Informe Subasta'!$I$42)</f>
        <v/>
      </c>
      <c r="E33" s="211">
        <f>IF($C33="","",'Informe Subasta'!$J$42)</f>
        <v/>
      </c>
      <c r="F33" s="211">
        <f>IF($C33="","",'Informe Subasta'!$K$42)</f>
        <v/>
      </c>
      <c r="G33" s="211">
        <f>IF($C33="","",'Informe Subasta'!$L$42)</f>
        <v/>
      </c>
      <c r="H33" s="206">
        <f>IF($C33="","",SUM(D33:G33))</f>
        <v/>
      </c>
      <c r="I33" s="107">
        <f>IF($C33="","",H33/$H$51)</f>
        <v/>
      </c>
      <c r="J33" s="212">
        <f>IF($C33="","",$C$7*$I33)</f>
        <v/>
      </c>
      <c r="K33" s="213">
        <f>IF($C33="","",$C$8*$I33)</f>
        <v/>
      </c>
      <c r="L33" s="213">
        <f>IF($C33="","",$C$9*$I33)</f>
        <v/>
      </c>
      <c r="M33" s="213">
        <f>IF($C33="","",$C$10*$I33)</f>
        <v/>
      </c>
      <c r="N33" s="213">
        <f>IF($C33="","",$C$14*$I33)</f>
        <v/>
      </c>
      <c r="O33" s="214">
        <f>IF($C33="","",SUM(J33:N33))</f>
        <v/>
      </c>
      <c r="P33" s="212">
        <f>IF($C33="","",$G$7*$I33)</f>
        <v/>
      </c>
      <c r="Q33" s="213">
        <f>IF($C33="","",$G$8*$I33)</f>
        <v/>
      </c>
      <c r="R33" s="213">
        <f>IF($C33="","",$G$9*$I33)</f>
        <v/>
      </c>
      <c r="S33" s="213">
        <f>IF($C33="","",$G$10*$I33)</f>
        <v/>
      </c>
      <c r="T33" s="213">
        <f>IF($C33="","",$G$14*$I33)</f>
        <v/>
      </c>
      <c r="U33" s="214">
        <f>IF($C33="","",SUM(P33:T33))</f>
        <v/>
      </c>
    </row>
    <row r="34">
      <c r="B34" s="103" t="n"/>
      <c r="C34" s="104">
        <f>IF('Informe Subasta'!$A$43="","",'Informe Subasta'!$A$43)</f>
        <v/>
      </c>
      <c r="D34" s="210">
        <f>IF($C34="","",'Informe Subasta'!$I$43)</f>
        <v/>
      </c>
      <c r="E34" s="211">
        <f>IF($C34="","",'Informe Subasta'!$J$43)</f>
        <v/>
      </c>
      <c r="F34" s="211">
        <f>IF($C34="","",'Informe Subasta'!$K$43)</f>
        <v/>
      </c>
      <c r="G34" s="211">
        <f>IF($C34="","",'Informe Subasta'!$L$43)</f>
        <v/>
      </c>
      <c r="H34" s="206">
        <f>IF($C34="","",SUM(D34:G34))</f>
        <v/>
      </c>
      <c r="I34" s="107">
        <f>IF($C34="","",H34/$H$51)</f>
        <v/>
      </c>
      <c r="J34" s="212">
        <f>IF($C34="","",$C$7*$I34)</f>
        <v/>
      </c>
      <c r="K34" s="213">
        <f>IF($C34="","",$C$8*$I34)</f>
        <v/>
      </c>
      <c r="L34" s="213">
        <f>IF($C34="","",$C$9*$I34)</f>
        <v/>
      </c>
      <c r="M34" s="213">
        <f>IF($C34="","",$C$10*$I34)</f>
        <v/>
      </c>
      <c r="N34" s="213">
        <f>IF($C34="","",$C$14*$I34)</f>
        <v/>
      </c>
      <c r="O34" s="214">
        <f>IF($C34="","",SUM(J34:N34))</f>
        <v/>
      </c>
      <c r="P34" s="212">
        <f>IF($C34="","",$G$7*$I34)</f>
        <v/>
      </c>
      <c r="Q34" s="213">
        <f>IF($C34="","",$G$8*$I34)</f>
        <v/>
      </c>
      <c r="R34" s="213">
        <f>IF($C34="","",$G$9*$I34)</f>
        <v/>
      </c>
      <c r="S34" s="213">
        <f>IF($C34="","",$G$10*$I34)</f>
        <v/>
      </c>
      <c r="T34" s="213">
        <f>IF($C34="","",$G$14*$I34)</f>
        <v/>
      </c>
      <c r="U34" s="214">
        <f>IF($C34="","",SUM(P34:T34))</f>
        <v/>
      </c>
    </row>
    <row r="35">
      <c r="B35" s="103" t="n"/>
      <c r="C35" s="104">
        <f>IF('Informe Subasta'!$A$44="","",'Informe Subasta'!$A$44)</f>
        <v/>
      </c>
      <c r="D35" s="210">
        <f>IF($C35="","",'Informe Subasta'!$I$44)</f>
        <v/>
      </c>
      <c r="E35" s="211">
        <f>IF($C35="","",'Informe Subasta'!$J$44)</f>
        <v/>
      </c>
      <c r="F35" s="211">
        <f>IF($C35="","",'Informe Subasta'!$K$44)</f>
        <v/>
      </c>
      <c r="G35" s="211">
        <f>IF($C35="","",'Informe Subasta'!$L$44)</f>
        <v/>
      </c>
      <c r="H35" s="206">
        <f>IF($C35="","",SUM(D35:G35))</f>
        <v/>
      </c>
      <c r="I35" s="107">
        <f>IF($C35="","",H35/$H$51)</f>
        <v/>
      </c>
      <c r="J35" s="212">
        <f>IF($C35="","",$C$7*$I35)</f>
        <v/>
      </c>
      <c r="K35" s="213">
        <f>IF($C35="","",$C$8*$I35)</f>
        <v/>
      </c>
      <c r="L35" s="213">
        <f>IF($C35="","",$C$9*$I35)</f>
        <v/>
      </c>
      <c r="M35" s="213">
        <f>IF($C35="","",$C$10*$I35)</f>
        <v/>
      </c>
      <c r="N35" s="213">
        <f>IF($C35="","",$C$14*$I35)</f>
        <v/>
      </c>
      <c r="O35" s="214">
        <f>IF($C35="","",SUM(J35:N35))</f>
        <v/>
      </c>
      <c r="P35" s="212">
        <f>IF($C35="","",$G$7*$I35)</f>
        <v/>
      </c>
      <c r="Q35" s="213">
        <f>IF($C35="","",$G$8*$I35)</f>
        <v/>
      </c>
      <c r="R35" s="213">
        <f>IF($C35="","",$G$9*$I35)</f>
        <v/>
      </c>
      <c r="S35" s="213">
        <f>IF($C35="","",$G$10*$I35)</f>
        <v/>
      </c>
      <c r="T35" s="213">
        <f>IF($C35="","",$G$14*$I35)</f>
        <v/>
      </c>
      <c r="U35" s="214">
        <f>IF($C35="","",SUM(P35:T35))</f>
        <v/>
      </c>
    </row>
    <row r="36">
      <c r="B36" s="103" t="n"/>
      <c r="C36" s="104">
        <f>IF('Informe Subasta'!$A$45="","",'Informe Subasta'!$A$45)</f>
        <v/>
      </c>
      <c r="D36" s="210">
        <f>IF($C36="","",'Informe Subasta'!$I$45)</f>
        <v/>
      </c>
      <c r="E36" s="211">
        <f>IF($C36="","",'Informe Subasta'!$J$45)</f>
        <v/>
      </c>
      <c r="F36" s="211">
        <f>IF($C36="","",'Informe Subasta'!$K$45)</f>
        <v/>
      </c>
      <c r="G36" s="211">
        <f>IF($C36="","",'Informe Subasta'!$L$45)</f>
        <v/>
      </c>
      <c r="H36" s="206">
        <f>IF($C36="","",SUM(D36:G36))</f>
        <v/>
      </c>
      <c r="I36" s="107">
        <f>IF($C36="","",H36/$H$51)</f>
        <v/>
      </c>
      <c r="J36" s="212">
        <f>IF($C36="","",$C$7*$I36)</f>
        <v/>
      </c>
      <c r="K36" s="213">
        <f>IF($C36="","",$C$8*$I36)</f>
        <v/>
      </c>
      <c r="L36" s="213">
        <f>IF($C36="","",$C$9*$I36)</f>
        <v/>
      </c>
      <c r="M36" s="213">
        <f>IF($C36="","",$C$10*$I36)</f>
        <v/>
      </c>
      <c r="N36" s="213">
        <f>IF($C36="","",$C$14*$I36)</f>
        <v/>
      </c>
      <c r="O36" s="214">
        <f>IF($C36="","",SUM(J36:N36))</f>
        <v/>
      </c>
      <c r="P36" s="212">
        <f>IF($C36="","",$G$7*$I36)</f>
        <v/>
      </c>
      <c r="Q36" s="213">
        <f>IF($C36="","",$G$8*$I36)</f>
        <v/>
      </c>
      <c r="R36" s="213">
        <f>IF($C36="","",$G$9*$I36)</f>
        <v/>
      </c>
      <c r="S36" s="213">
        <f>IF($C36="","",$G$10*$I36)</f>
        <v/>
      </c>
      <c r="T36" s="213">
        <f>IF($C36="","",$G$14*$I36)</f>
        <v/>
      </c>
      <c r="U36" s="214">
        <f>IF($C36="","",SUM(P36:T36))</f>
        <v/>
      </c>
    </row>
    <row r="37">
      <c r="B37" s="103" t="n"/>
      <c r="C37" s="104">
        <f>IF('Informe Subasta'!$A$46="","",'Informe Subasta'!$A$46)</f>
        <v/>
      </c>
      <c r="D37" s="210">
        <f>IF($C37="","",'Informe Subasta'!$I$46)</f>
        <v/>
      </c>
      <c r="E37" s="211">
        <f>IF($C37="","",'Informe Subasta'!$J$46)</f>
        <v/>
      </c>
      <c r="F37" s="211">
        <f>IF($C37="","",'Informe Subasta'!$K$46)</f>
        <v/>
      </c>
      <c r="G37" s="211">
        <f>IF($C37="","",'Informe Subasta'!$L$46)</f>
        <v/>
      </c>
      <c r="H37" s="206">
        <f>IF($C37="","",SUM(D37:G37))</f>
        <v/>
      </c>
      <c r="I37" s="107">
        <f>IF($C37="","",H37/$H$51)</f>
        <v/>
      </c>
      <c r="J37" s="212">
        <f>IF($C37="","",$C$7*$I37)</f>
        <v/>
      </c>
      <c r="K37" s="213">
        <f>IF($C37="","",$C$8*$I37)</f>
        <v/>
      </c>
      <c r="L37" s="213">
        <f>IF($C37="","",$C$9*$I37)</f>
        <v/>
      </c>
      <c r="M37" s="213">
        <f>IF($C37="","",$C$10*$I37)</f>
        <v/>
      </c>
      <c r="N37" s="213">
        <f>IF($C37="","",$C$14*$I37)</f>
        <v/>
      </c>
      <c r="O37" s="214">
        <f>IF($C37="","",SUM(J37:N37))</f>
        <v/>
      </c>
      <c r="P37" s="212">
        <f>IF($C37="","",$G$7*$I37)</f>
        <v/>
      </c>
      <c r="Q37" s="213">
        <f>IF($C37="","",$G$8*$I37)</f>
        <v/>
      </c>
      <c r="R37" s="213">
        <f>IF($C37="","",$G$9*$I37)</f>
        <v/>
      </c>
      <c r="S37" s="213">
        <f>IF($C37="","",$G$10*$I37)</f>
        <v/>
      </c>
      <c r="T37" s="213">
        <f>IF($C37="","",$G$14*$I37)</f>
        <v/>
      </c>
      <c r="U37" s="214">
        <f>IF($C37="","",SUM(P37:T37))</f>
        <v/>
      </c>
    </row>
    <row r="38">
      <c r="B38" s="103" t="n"/>
      <c r="C38" s="104">
        <f>IF('Informe Subasta'!$A$47="","",'Informe Subasta'!$A$47)</f>
        <v/>
      </c>
      <c r="D38" s="210">
        <f>IF($C38="","",'Informe Subasta'!$I$47)</f>
        <v/>
      </c>
      <c r="E38" s="211">
        <f>IF($C38="","",'Informe Subasta'!$J$47)</f>
        <v/>
      </c>
      <c r="F38" s="211">
        <f>IF($C38="","",'Informe Subasta'!$K$47)</f>
        <v/>
      </c>
      <c r="G38" s="211">
        <f>IF($C38="","",'Informe Subasta'!$L$47)</f>
        <v/>
      </c>
      <c r="H38" s="206">
        <f>IF($C38="","",SUM(D38:G38))</f>
        <v/>
      </c>
      <c r="I38" s="107">
        <f>IF($C38="","",H38/$H$51)</f>
        <v/>
      </c>
      <c r="J38" s="212">
        <f>IF($C38="","",$C$7*$I38)</f>
        <v/>
      </c>
      <c r="K38" s="213">
        <f>IF($C38="","",$C$8*$I38)</f>
        <v/>
      </c>
      <c r="L38" s="213">
        <f>IF($C38="","",$C$9*$I38)</f>
        <v/>
      </c>
      <c r="M38" s="213">
        <f>IF($C38="","",$C$10*$I38)</f>
        <v/>
      </c>
      <c r="N38" s="213">
        <f>IF($C38="","",$C$14*$I38)</f>
        <v/>
      </c>
      <c r="O38" s="214">
        <f>IF($C38="","",SUM(J38:N38))</f>
        <v/>
      </c>
      <c r="P38" s="212">
        <f>IF($C38="","",$G$7*$I38)</f>
        <v/>
      </c>
      <c r="Q38" s="213">
        <f>IF($C38="","",$G$8*$I38)</f>
        <v/>
      </c>
      <c r="R38" s="213">
        <f>IF($C38="","",$G$9*$I38)</f>
        <v/>
      </c>
      <c r="S38" s="213">
        <f>IF($C38="","",$G$10*$I38)</f>
        <v/>
      </c>
      <c r="T38" s="213">
        <f>IF($C38="","",$G$14*$I38)</f>
        <v/>
      </c>
      <c r="U38" s="214">
        <f>IF($C38="","",SUM(P38:T38))</f>
        <v/>
      </c>
    </row>
    <row r="39">
      <c r="B39" s="103" t="n"/>
      <c r="C39" s="104">
        <f>IF('Informe Subasta'!$A$48="","",'Informe Subasta'!$A$48)</f>
        <v/>
      </c>
      <c r="D39" s="210">
        <f>IF($C39="","",'Informe Subasta'!$I$48)</f>
        <v/>
      </c>
      <c r="E39" s="211">
        <f>IF($C39="","",'Informe Subasta'!$J$48)</f>
        <v/>
      </c>
      <c r="F39" s="211">
        <f>IF($C39="","",'Informe Subasta'!$K$48)</f>
        <v/>
      </c>
      <c r="G39" s="211">
        <f>IF($C39="","",'Informe Subasta'!$L$48)</f>
        <v/>
      </c>
      <c r="H39" s="206">
        <f>IF($C39="","",SUM(D39:G39))</f>
        <v/>
      </c>
      <c r="I39" s="107">
        <f>IF($C39="","",H39/$H$51)</f>
        <v/>
      </c>
      <c r="J39" s="212">
        <f>IF($C39="","",$C$7*$I39)</f>
        <v/>
      </c>
      <c r="K39" s="213">
        <f>IF($C39="","",$C$8*$I39)</f>
        <v/>
      </c>
      <c r="L39" s="213">
        <f>IF($C39="","",$C$9*$I39)</f>
        <v/>
      </c>
      <c r="M39" s="213">
        <f>IF($C39="","",$C$10*$I39)</f>
        <v/>
      </c>
      <c r="N39" s="213">
        <f>IF($C39="","",$C$14*$I39)</f>
        <v/>
      </c>
      <c r="O39" s="214">
        <f>IF($C39="","",SUM(J39:N39))</f>
        <v/>
      </c>
      <c r="P39" s="212">
        <f>IF($C39="","",$G$7*$I39)</f>
        <v/>
      </c>
      <c r="Q39" s="213">
        <f>IF($C39="","",$G$8*$I39)</f>
        <v/>
      </c>
      <c r="R39" s="213">
        <f>IF($C39="","",$G$9*$I39)</f>
        <v/>
      </c>
      <c r="S39" s="213">
        <f>IF($C39="","",$G$10*$I39)</f>
        <v/>
      </c>
      <c r="T39" s="213">
        <f>IF($C39="","",$G$14*$I39)</f>
        <v/>
      </c>
      <c r="U39" s="214">
        <f>IF($C39="","",SUM(P39:T39))</f>
        <v/>
      </c>
    </row>
    <row r="40">
      <c r="B40" s="103" t="n"/>
      <c r="C40" s="104">
        <f>IF('Informe Subasta'!$A$49="","",'Informe Subasta'!$A$49)</f>
        <v/>
      </c>
      <c r="D40" s="210">
        <f>IF($C40="","",'Informe Subasta'!$I$49)</f>
        <v/>
      </c>
      <c r="E40" s="211">
        <f>IF($C40="","",'Informe Subasta'!$J$49)</f>
        <v/>
      </c>
      <c r="F40" s="211">
        <f>IF($C40="","",'Informe Subasta'!$K$49)</f>
        <v/>
      </c>
      <c r="G40" s="211">
        <f>IF($C40="","",'Informe Subasta'!$L$49)</f>
        <v/>
      </c>
      <c r="H40" s="206">
        <f>IF($C40="","",SUM(D40:G40))</f>
        <v/>
      </c>
      <c r="I40" s="107">
        <f>IF($C40="","",H40/$H$51)</f>
        <v/>
      </c>
      <c r="J40" s="212">
        <f>IF($C40="","",$C$7*$I40)</f>
        <v/>
      </c>
      <c r="K40" s="213">
        <f>IF($C40="","",$C$8*$I40)</f>
        <v/>
      </c>
      <c r="L40" s="213">
        <f>IF($C40="","",$C$9*$I40)</f>
        <v/>
      </c>
      <c r="M40" s="213">
        <f>IF($C40="","",$C$10*$I40)</f>
        <v/>
      </c>
      <c r="N40" s="213">
        <f>IF($C40="","",$C$14*$I40)</f>
        <v/>
      </c>
      <c r="O40" s="214">
        <f>IF($C40="","",SUM(J40:N40))</f>
        <v/>
      </c>
      <c r="P40" s="212">
        <f>IF($C40="","",$G$7*$I40)</f>
        <v/>
      </c>
      <c r="Q40" s="213">
        <f>IF($C40="","",$G$8*$I40)</f>
        <v/>
      </c>
      <c r="R40" s="213">
        <f>IF($C40="","",$G$9*$I40)</f>
        <v/>
      </c>
      <c r="S40" s="213">
        <f>IF($C40="","",$G$10*$I40)</f>
        <v/>
      </c>
      <c r="T40" s="213">
        <f>IF($C40="","",$G$14*$I40)</f>
        <v/>
      </c>
      <c r="U40" s="214">
        <f>IF($C40="","",SUM(P40:T40))</f>
        <v/>
      </c>
    </row>
    <row r="41">
      <c r="B41" s="103" t="n"/>
      <c r="C41" s="104">
        <f>IF('Informe Subasta'!$A$50="","",'Informe Subasta'!$A$50)</f>
        <v/>
      </c>
      <c r="D41" s="210">
        <f>IF($C41="","",'Informe Subasta'!$I$50)</f>
        <v/>
      </c>
      <c r="E41" s="211">
        <f>IF($C41="","",'Informe Subasta'!$J$50)</f>
        <v/>
      </c>
      <c r="F41" s="211">
        <f>IF($C41="","",'Informe Subasta'!$K$50)</f>
        <v/>
      </c>
      <c r="G41" s="211">
        <f>IF($C41="","",'Informe Subasta'!$L$50)</f>
        <v/>
      </c>
      <c r="H41" s="206">
        <f>IF($C41="","",SUM(D41:G41))</f>
        <v/>
      </c>
      <c r="I41" s="107">
        <f>IF($C41="","",H41/$H$51)</f>
        <v/>
      </c>
      <c r="J41" s="212">
        <f>IF($C41="","",$C$7*$I41)</f>
        <v/>
      </c>
      <c r="K41" s="213">
        <f>IF($C41="","",$C$8*$I41)</f>
        <v/>
      </c>
      <c r="L41" s="213">
        <f>IF($C41="","",$C$9*$I41)</f>
        <v/>
      </c>
      <c r="M41" s="213">
        <f>IF($C41="","",$C$10*$I41)</f>
        <v/>
      </c>
      <c r="N41" s="213">
        <f>IF($C41="","",$C$14*$I41)</f>
        <v/>
      </c>
      <c r="O41" s="214">
        <f>IF($C41="","",SUM(J41:N41))</f>
        <v/>
      </c>
      <c r="P41" s="212">
        <f>IF($C41="","",$G$7*$I41)</f>
        <v/>
      </c>
      <c r="Q41" s="213">
        <f>IF($C41="","",$G$8*$I41)</f>
        <v/>
      </c>
      <c r="R41" s="213">
        <f>IF($C41="","",$G$9*$I41)</f>
        <v/>
      </c>
      <c r="S41" s="213">
        <f>IF($C41="","",$G$10*$I41)</f>
        <v/>
      </c>
      <c r="T41" s="213">
        <f>IF($C41="","",$G$14*$I41)</f>
        <v/>
      </c>
      <c r="U41" s="214">
        <f>IF($C41="","",SUM(P41:T41))</f>
        <v/>
      </c>
    </row>
    <row r="42">
      <c r="B42" s="103" t="n"/>
      <c r="C42" s="104">
        <f>IF('Informe Subasta'!$A$51="","",'Informe Subasta'!$A$51)</f>
        <v/>
      </c>
      <c r="D42" s="210">
        <f>IF($C42="","",'Informe Subasta'!$I$51)</f>
        <v/>
      </c>
      <c r="E42" s="211">
        <f>IF($C42="","",'Informe Subasta'!$J$51)</f>
        <v/>
      </c>
      <c r="F42" s="211">
        <f>IF($C42="","",'Informe Subasta'!$K$51)</f>
        <v/>
      </c>
      <c r="G42" s="211">
        <f>IF($C42="","",'Informe Subasta'!$L$51)</f>
        <v/>
      </c>
      <c r="H42" s="206">
        <f>IF($C42="","",SUM(D42:G42))</f>
        <v/>
      </c>
      <c r="I42" s="107">
        <f>IF($C42="","",H42/$H$51)</f>
        <v/>
      </c>
      <c r="J42" s="212">
        <f>IF($C42="","",$C$7*$I42)</f>
        <v/>
      </c>
      <c r="K42" s="213">
        <f>IF($C42="","",$C$8*$I42)</f>
        <v/>
      </c>
      <c r="L42" s="213">
        <f>IF($C42="","",$C$9*$I42)</f>
        <v/>
      </c>
      <c r="M42" s="213">
        <f>IF($C42="","",$C$10*$I42)</f>
        <v/>
      </c>
      <c r="N42" s="213">
        <f>IF($C42="","",$C$14*$I42)</f>
        <v/>
      </c>
      <c r="O42" s="214">
        <f>IF($C42="","",SUM(J42:N42))</f>
        <v/>
      </c>
      <c r="P42" s="212">
        <f>IF($C42="","",$G$7*$I42)</f>
        <v/>
      </c>
      <c r="Q42" s="213">
        <f>IF($C42="","",$G$8*$I42)</f>
        <v/>
      </c>
      <c r="R42" s="213">
        <f>IF($C42="","",$G$9*$I42)</f>
        <v/>
      </c>
      <c r="S42" s="213">
        <f>IF($C42="","",$G$10*$I42)</f>
        <v/>
      </c>
      <c r="T42" s="213">
        <f>IF($C42="","",$G$14*$I42)</f>
        <v/>
      </c>
      <c r="U42" s="214">
        <f>IF($C42="","",SUM(P42:T42))</f>
        <v/>
      </c>
    </row>
    <row r="43">
      <c r="B43" s="103" t="n"/>
      <c r="C43" s="104">
        <f>IF('Informe Subasta'!$A$52="","",'Informe Subasta'!$A$52)</f>
        <v/>
      </c>
      <c r="D43" s="210">
        <f>IF($C43="","",'Informe Subasta'!$I$52)</f>
        <v/>
      </c>
      <c r="E43" s="211">
        <f>IF($C43="","",'Informe Subasta'!$J$52)</f>
        <v/>
      </c>
      <c r="F43" s="211">
        <f>IF($C43="","",'Informe Subasta'!$K$52)</f>
        <v/>
      </c>
      <c r="G43" s="211">
        <f>IF($C43="","",'Informe Subasta'!$L$52)</f>
        <v/>
      </c>
      <c r="H43" s="206">
        <f>IF($C43="","",SUM(D43:G43))</f>
        <v/>
      </c>
      <c r="I43" s="107">
        <f>IF($C43="","",H43/$H$51)</f>
        <v/>
      </c>
      <c r="J43" s="212">
        <f>IF($C43="","",$C$7*$I43)</f>
        <v/>
      </c>
      <c r="K43" s="213">
        <f>IF($C43="","",$C$8*$I43)</f>
        <v/>
      </c>
      <c r="L43" s="213">
        <f>IF($C43="","",$C$9*$I43)</f>
        <v/>
      </c>
      <c r="M43" s="213">
        <f>IF($C43="","",$C$10*$I43)</f>
        <v/>
      </c>
      <c r="N43" s="213">
        <f>IF($C43="","",$C$14*$I43)</f>
        <v/>
      </c>
      <c r="O43" s="214">
        <f>IF($C43="","",SUM(J43:N43))</f>
        <v/>
      </c>
      <c r="P43" s="212">
        <f>IF($C43="","",$G$7*$I43)</f>
        <v/>
      </c>
      <c r="Q43" s="213">
        <f>IF($C43="","",$G$8*$I43)</f>
        <v/>
      </c>
      <c r="R43" s="213">
        <f>IF($C43="","",$G$9*$I43)</f>
        <v/>
      </c>
      <c r="S43" s="213">
        <f>IF($C43="","",$G$10*$I43)</f>
        <v/>
      </c>
      <c r="T43" s="213">
        <f>IF($C43="","",$G$14*$I43)</f>
        <v/>
      </c>
      <c r="U43" s="214">
        <f>IF($C43="","",SUM(P43:T43))</f>
        <v/>
      </c>
    </row>
    <row r="44">
      <c r="B44" s="103" t="n"/>
      <c r="C44" s="104">
        <f>IF('Informe Subasta'!$A$53="","",'Informe Subasta'!$A$53)</f>
        <v/>
      </c>
      <c r="D44" s="210">
        <f>IF($C44="","",'Informe Subasta'!$I$53)</f>
        <v/>
      </c>
      <c r="E44" s="211">
        <f>IF($C44="","",'Informe Subasta'!$J$53)</f>
        <v/>
      </c>
      <c r="F44" s="211">
        <f>IF($C44="","",'Informe Subasta'!$K$53)</f>
        <v/>
      </c>
      <c r="G44" s="211">
        <f>IF($C44="","",'Informe Subasta'!$L$53)</f>
        <v/>
      </c>
      <c r="H44" s="206">
        <f>IF($C44="","",SUM(D44:G44))</f>
        <v/>
      </c>
      <c r="I44" s="107">
        <f>IF($C44="","",H44/$H$51)</f>
        <v/>
      </c>
      <c r="J44" s="212">
        <f>IF($C44="","",$C$7*$I44)</f>
        <v/>
      </c>
      <c r="K44" s="213">
        <f>IF($C44="","",$C$8*$I44)</f>
        <v/>
      </c>
      <c r="L44" s="213">
        <f>IF($C44="","",$C$9*$I44)</f>
        <v/>
      </c>
      <c r="M44" s="213">
        <f>IF($C44="","",$C$10*$I44)</f>
        <v/>
      </c>
      <c r="N44" s="213">
        <f>IF($C44="","",$C$14*$I44)</f>
        <v/>
      </c>
      <c r="O44" s="214">
        <f>IF($C44="","",SUM(J44:N44))</f>
        <v/>
      </c>
      <c r="P44" s="212">
        <f>IF($C44="","",$G$7*$I44)</f>
        <v/>
      </c>
      <c r="Q44" s="213">
        <f>IF($C44="","",$G$8*$I44)</f>
        <v/>
      </c>
      <c r="R44" s="213">
        <f>IF($C44="","",$G$9*$I44)</f>
        <v/>
      </c>
      <c r="S44" s="213">
        <f>IF($C44="","",$G$10*$I44)</f>
        <v/>
      </c>
      <c r="T44" s="213">
        <f>IF($C44="","",$G$14*$I44)</f>
        <v/>
      </c>
      <c r="U44" s="214">
        <f>IF($C44="","",SUM(P44:T44))</f>
        <v/>
      </c>
    </row>
    <row r="45">
      <c r="B45" s="103" t="n"/>
      <c r="C45" s="104">
        <f>IF('Informe Subasta'!$A$54="","",'Informe Subasta'!$A$54)</f>
        <v/>
      </c>
      <c r="D45" s="210">
        <f>IF($C45="","",'Informe Subasta'!$I$54)</f>
        <v/>
      </c>
      <c r="E45" s="211">
        <f>IF($C45="","",'Informe Subasta'!$J$54)</f>
        <v/>
      </c>
      <c r="F45" s="211">
        <f>IF($C45="","",'Informe Subasta'!$K$54)</f>
        <v/>
      </c>
      <c r="G45" s="211">
        <f>IF($C45="","",'Informe Subasta'!$L$54)</f>
        <v/>
      </c>
      <c r="H45" s="206">
        <f>IF($C45="","",SUM(D45:G45))</f>
        <v/>
      </c>
      <c r="I45" s="107">
        <f>IF($C45="","",H45/$H$51)</f>
        <v/>
      </c>
      <c r="J45" s="212">
        <f>IF($C45="","",$C$7*$I45)</f>
        <v/>
      </c>
      <c r="K45" s="213">
        <f>IF($C45="","",$C$8*$I45)</f>
        <v/>
      </c>
      <c r="L45" s="213">
        <f>IF($C45="","",$C$9*$I45)</f>
        <v/>
      </c>
      <c r="M45" s="213">
        <f>IF($C45="","",$C$10*$I45)</f>
        <v/>
      </c>
      <c r="N45" s="213">
        <f>IF($C45="","",$C$14*$I45)</f>
        <v/>
      </c>
      <c r="O45" s="214">
        <f>IF($C45="","",SUM(J45:N45))</f>
        <v/>
      </c>
      <c r="P45" s="212">
        <f>IF($C45="","",$G$7*$I45)</f>
        <v/>
      </c>
      <c r="Q45" s="213">
        <f>IF($C45="","",$G$8*$I45)</f>
        <v/>
      </c>
      <c r="R45" s="213">
        <f>IF($C45="","",$G$9*$I45)</f>
        <v/>
      </c>
      <c r="S45" s="213">
        <f>IF($C45="","",$G$10*$I45)</f>
        <v/>
      </c>
      <c r="T45" s="213">
        <f>IF($C45="","",$G$14*$I45)</f>
        <v/>
      </c>
      <c r="U45" s="214">
        <f>IF($C45="","",SUM(P45:T45))</f>
        <v/>
      </c>
    </row>
    <row r="46">
      <c r="B46" s="103" t="n"/>
      <c r="C46" s="104">
        <f>IF('Informe Subasta'!$A$55="","",'Informe Subasta'!$A$55)</f>
        <v/>
      </c>
      <c r="D46" s="210">
        <f>IF($C46="","",'Informe Subasta'!$I$55)</f>
        <v/>
      </c>
      <c r="E46" s="211">
        <f>IF($C46="","",'Informe Subasta'!$J$55)</f>
        <v/>
      </c>
      <c r="F46" s="211">
        <f>IF($C46="","",'Informe Subasta'!$K$55)</f>
        <v/>
      </c>
      <c r="G46" s="211">
        <f>IF($C46="","",'Informe Subasta'!$L$55)</f>
        <v/>
      </c>
      <c r="H46" s="206">
        <f>IF($C46="","",SUM(D46:G46))</f>
        <v/>
      </c>
      <c r="I46" s="107">
        <f>IF($C46="","",H46/$H$51)</f>
        <v/>
      </c>
      <c r="J46" s="212">
        <f>IF($C46="","",$C$7*$I46)</f>
        <v/>
      </c>
      <c r="K46" s="213">
        <f>IF($C46="","",$C$8*$I46)</f>
        <v/>
      </c>
      <c r="L46" s="213">
        <f>IF($C46="","",$C$9*$I46)</f>
        <v/>
      </c>
      <c r="M46" s="213">
        <f>IF($C46="","",$C$10*$I46)</f>
        <v/>
      </c>
      <c r="N46" s="213">
        <f>IF($C46="","",$C$14*$I46)</f>
        <v/>
      </c>
      <c r="O46" s="214">
        <f>IF($C46="","",SUM(J46:N46))</f>
        <v/>
      </c>
      <c r="P46" s="212">
        <f>IF($C46="","",$G$7*$I46)</f>
        <v/>
      </c>
      <c r="Q46" s="213">
        <f>IF($C46="","",$G$8*$I46)</f>
        <v/>
      </c>
      <c r="R46" s="213">
        <f>IF($C46="","",$G$9*$I46)</f>
        <v/>
      </c>
      <c r="S46" s="213">
        <f>IF($C46="","",$G$10*$I46)</f>
        <v/>
      </c>
      <c r="T46" s="213">
        <f>IF($C46="","",$G$14*$I46)</f>
        <v/>
      </c>
      <c r="U46" s="214">
        <f>IF($C46="","",SUM(P46:T46))</f>
        <v/>
      </c>
    </row>
    <row r="47">
      <c r="B47" s="103" t="n"/>
      <c r="C47" s="104">
        <f>IF('Informe Subasta'!$A$56="","",'Informe Subasta'!$A$56)</f>
        <v/>
      </c>
      <c r="D47" s="210">
        <f>IF($C47="","",'Informe Subasta'!$I$56)</f>
        <v/>
      </c>
      <c r="E47" s="211">
        <f>IF($C47="","",'Informe Subasta'!$J$56)</f>
        <v/>
      </c>
      <c r="F47" s="211">
        <f>IF($C47="","",'Informe Subasta'!$K$56)</f>
        <v/>
      </c>
      <c r="G47" s="211">
        <f>IF($C47="","",'Informe Subasta'!$L$56)</f>
        <v/>
      </c>
      <c r="H47" s="206">
        <f>IF($C47="","",SUM(D47:G47))</f>
        <v/>
      </c>
      <c r="I47" s="107">
        <f>IF($C47="","",H47/$H$51)</f>
        <v/>
      </c>
      <c r="J47" s="212">
        <f>IF($C47="","",$C$7*$I47)</f>
        <v/>
      </c>
      <c r="K47" s="213">
        <f>IF($C47="","",$C$8*$I47)</f>
        <v/>
      </c>
      <c r="L47" s="213">
        <f>IF($C47="","",$C$9*$I47)</f>
        <v/>
      </c>
      <c r="M47" s="213">
        <f>IF($C47="","",$C$10*$I47)</f>
        <v/>
      </c>
      <c r="N47" s="213">
        <f>IF($C47="","",$C$14*$I47)</f>
        <v/>
      </c>
      <c r="O47" s="214">
        <f>IF($C47="","",SUM(J47:N47))</f>
        <v/>
      </c>
      <c r="P47" s="212">
        <f>IF($C47="","",$G$7*$I47)</f>
        <v/>
      </c>
      <c r="Q47" s="213">
        <f>IF($C47="","",$G$8*$I47)</f>
        <v/>
      </c>
      <c r="R47" s="213">
        <f>IF($C47="","",$G$9*$I47)</f>
        <v/>
      </c>
      <c r="S47" s="213">
        <f>IF($C47="","",$G$10*$I47)</f>
        <v/>
      </c>
      <c r="T47" s="213">
        <f>IF($C47="","",$G$14*$I47)</f>
        <v/>
      </c>
      <c r="U47" s="214">
        <f>IF($C47="","",SUM(P47:T47))</f>
        <v/>
      </c>
    </row>
    <row r="48">
      <c r="B48" s="103" t="n"/>
      <c r="C48" s="104">
        <f>IF('Informe Subasta'!$A$57="","",'Informe Subasta'!$A$57)</f>
        <v/>
      </c>
      <c r="D48" s="210">
        <f>IF($C48="","",'Informe Subasta'!$I$57)</f>
        <v/>
      </c>
      <c r="E48" s="211">
        <f>IF($C48="","",'Informe Subasta'!$J$57)</f>
        <v/>
      </c>
      <c r="F48" s="211">
        <f>IF($C48="","",'Informe Subasta'!$K$57)</f>
        <v/>
      </c>
      <c r="G48" s="211">
        <f>IF($C48="","",'Informe Subasta'!$L$57)</f>
        <v/>
      </c>
      <c r="H48" s="206">
        <f>IF($C48="","",SUM(D48:G48))</f>
        <v/>
      </c>
      <c r="I48" s="107">
        <f>IF($C48="","",H48/$H$51)</f>
        <v/>
      </c>
      <c r="J48" s="212">
        <f>IF($C48="","",$C$7*$I48)</f>
        <v/>
      </c>
      <c r="K48" s="213">
        <f>IF($C48="","",$C$8*$I48)</f>
        <v/>
      </c>
      <c r="L48" s="213">
        <f>IF($C48="","",$C$9*$I48)</f>
        <v/>
      </c>
      <c r="M48" s="213">
        <f>IF($C48="","",$C$10*$I48)</f>
        <v/>
      </c>
      <c r="N48" s="213">
        <f>IF($C48="","",$C$14*$I48)</f>
        <v/>
      </c>
      <c r="O48" s="214">
        <f>IF($C48="","",SUM(J48:N48))</f>
        <v/>
      </c>
      <c r="P48" s="212">
        <f>IF($C48="","",$G$7*$I48)</f>
        <v/>
      </c>
      <c r="Q48" s="213">
        <f>IF($C48="","",$G$8*$I48)</f>
        <v/>
      </c>
      <c r="R48" s="213">
        <f>IF($C48="","",$G$9*$I48)</f>
        <v/>
      </c>
      <c r="S48" s="213">
        <f>IF($C48="","",$G$10*$I48)</f>
        <v/>
      </c>
      <c r="T48" s="213">
        <f>IF($C48="","",$G$14*$I48)</f>
        <v/>
      </c>
      <c r="U48" s="214">
        <f>IF($C48="","",SUM(P48:T48))</f>
        <v/>
      </c>
    </row>
    <row r="49">
      <c r="B49" s="103" t="n"/>
      <c r="C49" s="104">
        <f>IF('Informe Subasta'!$A$58="","",'Informe Subasta'!$A$58)</f>
        <v/>
      </c>
      <c r="D49" s="210">
        <f>IF($C49="","",'Informe Subasta'!$I$58)</f>
        <v/>
      </c>
      <c r="E49" s="211">
        <f>IF($C49="","",'Informe Subasta'!$J$58)</f>
        <v/>
      </c>
      <c r="F49" s="211">
        <f>IF($C49="","",'Informe Subasta'!$K$58)</f>
        <v/>
      </c>
      <c r="G49" s="211">
        <f>IF($C49="","",'Informe Subasta'!$L$58)</f>
        <v/>
      </c>
      <c r="H49" s="206">
        <f>IF($C49="","",SUM(D49:G49))</f>
        <v/>
      </c>
      <c r="I49" s="107">
        <f>IF($C49="","",H49/$H$51)</f>
        <v/>
      </c>
      <c r="J49" s="212">
        <f>IF($C49="","",$C$7*$I49)</f>
        <v/>
      </c>
      <c r="K49" s="213">
        <f>IF($C49="","",$C$8*$I49)</f>
        <v/>
      </c>
      <c r="L49" s="213">
        <f>IF($C49="","",$C$9*$I49)</f>
        <v/>
      </c>
      <c r="M49" s="213">
        <f>IF($C49="","",$C$10*$I49)</f>
        <v/>
      </c>
      <c r="N49" s="213">
        <f>IF($C49="","",$C$14*$I49)</f>
        <v/>
      </c>
      <c r="O49" s="214">
        <f>IF($C49="","",SUM(J49:N49))</f>
        <v/>
      </c>
      <c r="P49" s="212">
        <f>IF($C49="","",$G$7*$I49)</f>
        <v/>
      </c>
      <c r="Q49" s="213">
        <f>IF($C49="","",$G$8*$I49)</f>
        <v/>
      </c>
      <c r="R49" s="213">
        <f>IF($C49="","",$G$9*$I49)</f>
        <v/>
      </c>
      <c r="S49" s="213">
        <f>IF($C49="","",$G$10*$I49)</f>
        <v/>
      </c>
      <c r="T49" s="213">
        <f>IF($C49="","",$G$14*$I49)</f>
        <v/>
      </c>
      <c r="U49" s="214">
        <f>IF($C49="","",SUM(P49:T49))</f>
        <v/>
      </c>
    </row>
    <row r="50">
      <c r="B50" s="103" t="n"/>
      <c r="C50" s="104">
        <f>IF('Informe Subasta'!$A$59="","",'Informe Subasta'!$A$59)</f>
        <v/>
      </c>
      <c r="D50" s="210">
        <f>IF($C50="","",'Informe Subasta'!$I$59)</f>
        <v/>
      </c>
      <c r="E50" s="211">
        <f>IF($C50="","",'Informe Subasta'!$J$59)</f>
        <v/>
      </c>
      <c r="F50" s="211">
        <f>IF($C50="","",'Informe Subasta'!$K$59)</f>
        <v/>
      </c>
      <c r="G50" s="211">
        <f>IF($C50="","",'Informe Subasta'!$L$59)</f>
        <v/>
      </c>
      <c r="H50" s="206">
        <f>IF($C50="","",SUM(D50:G50))</f>
        <v/>
      </c>
      <c r="I50" s="107">
        <f>IF($C50="","",H50/$H$51)</f>
        <v/>
      </c>
      <c r="J50" s="212">
        <f>IF($C50="","",$C$7*$I50)</f>
        <v/>
      </c>
      <c r="K50" s="213">
        <f>IF($C50="","",$C$8*$I50)</f>
        <v/>
      </c>
      <c r="L50" s="213">
        <f>IF($C50="","",$C$9*$I50)</f>
        <v/>
      </c>
      <c r="M50" s="213">
        <f>IF($C50="","",$C$10*$I50)</f>
        <v/>
      </c>
      <c r="N50" s="213">
        <f>IF($C50="","",$C$14*$I50)</f>
        <v/>
      </c>
      <c r="O50" s="214">
        <f>IF($C50="","",SUM(J50:N50))</f>
        <v/>
      </c>
      <c r="P50" s="212">
        <f>IF($C50="","",$G$7*$I50)</f>
        <v/>
      </c>
      <c r="Q50" s="213">
        <f>IF($C50="","",$G$8*$I50)</f>
        <v/>
      </c>
      <c r="R50" s="213">
        <f>IF($C50="","",$G$9*$I50)</f>
        <v/>
      </c>
      <c r="S50" s="213">
        <f>IF($C50="","",$G$10*$I50)</f>
        <v/>
      </c>
      <c r="T50" s="213">
        <f>IF($C50="","",$G$14*$I50)</f>
        <v/>
      </c>
      <c r="U50" s="214">
        <f>IF($C50="","",SUM(P50:T50))</f>
        <v/>
      </c>
    </row>
    <row r="51" ht="14.25" customHeight="1" s="123" thickBot="1">
      <c r="B51" s="66" t="inlineStr">
        <is>
          <t>TOTALES</t>
        </is>
      </c>
      <c r="C51" s="58" t="inlineStr">
        <is>
          <t>TOTALES</t>
        </is>
      </c>
      <c r="D51" s="215">
        <f>SUM(D21:D50)</f>
        <v/>
      </c>
      <c r="E51" s="215">
        <f>SUM(E21:E50)</f>
        <v/>
      </c>
      <c r="F51" s="215">
        <f>SUM(F21:F50)</f>
        <v/>
      </c>
      <c r="G51" s="215">
        <f>SUM(G21:G50)</f>
        <v/>
      </c>
      <c r="H51" s="215">
        <f>SUM(H21:H50)</f>
        <v/>
      </c>
      <c r="I51" s="215">
        <f>SUM(I21:I50)</f>
        <v/>
      </c>
      <c r="J51" s="215">
        <f>SUM(J21:J50)</f>
        <v/>
      </c>
      <c r="K51" s="215">
        <f>SUM(K21:K50)</f>
        <v/>
      </c>
      <c r="L51" s="215">
        <f>SUM(L21:L50)</f>
        <v/>
      </c>
      <c r="M51" s="215">
        <f>SUM(M21:M50)</f>
        <v/>
      </c>
      <c r="N51" s="215">
        <f>SUM(N21:N50)</f>
        <v/>
      </c>
      <c r="O51" s="215">
        <f>SUM(O21:O50)</f>
        <v/>
      </c>
      <c r="P51" s="215">
        <f>SUM(P21:P50)</f>
        <v/>
      </c>
      <c r="Q51" s="215">
        <f>SUM(Q21:Q50)</f>
        <v/>
      </c>
      <c r="R51" s="215">
        <f>SUM(R21:R50)</f>
        <v/>
      </c>
      <c r="S51" s="215">
        <f>SUM(S21:S50)</f>
        <v/>
      </c>
      <c r="T51" s="215">
        <f>SUM(T21:T50)</f>
        <v/>
      </c>
      <c r="U51" s="215">
        <f>SUM(U21:U50)</f>
        <v/>
      </c>
    </row>
  </sheetData>
  <mergeCells count="7">
    <mergeCell ref="D6:E6"/>
    <mergeCell ref="B6:C6"/>
    <mergeCell ref="J19:O19"/>
    <mergeCell ref="P19:U19"/>
    <mergeCell ref="D19:H19"/>
    <mergeCell ref="F6:G6"/>
    <mergeCell ref="B18:C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4:R42"/>
  <sheetViews>
    <sheetView showGridLines="0" showRowColHeaders="0" zoomScale="70" zoomScaleNormal="85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F20" sqref="F20"/>
    </sheetView>
  </sheetViews>
  <sheetFormatPr baseColWidth="8" defaultRowHeight="14.5"/>
  <cols>
    <col width="12" customWidth="1" style="123" min="2" max="2"/>
    <col width="22" customWidth="1" style="123" min="3" max="3"/>
    <col width="18" customWidth="1" style="123" min="4" max="4"/>
    <col width="20" customWidth="1" style="123" min="5" max="5"/>
    <col width="18" customWidth="1" style="123" min="6" max="6"/>
    <col width="16" customWidth="1" style="123" min="7" max="8"/>
    <col width="15" customWidth="1" style="123" min="9" max="9"/>
    <col width="16" customWidth="1" style="123" min="10" max="10"/>
    <col width="13" customWidth="1" style="123" min="11" max="11"/>
    <col width="15" customWidth="1" style="123" min="12" max="14"/>
    <col width="18" customWidth="1" style="123" min="15" max="15"/>
    <col width="16" customWidth="1" style="123" min="16" max="16"/>
    <col width="18" customWidth="1" style="123" min="17" max="17"/>
    <col width="15" customWidth="1" style="123" min="18" max="18"/>
  </cols>
  <sheetData>
    <row r="4">
      <c r="B4" s="79" t="inlineStr">
        <is>
          <t>Conection ID</t>
        </is>
      </c>
      <c r="C4" s="79" t="inlineStr">
        <is>
          <t># Loans</t>
        </is>
      </c>
      <c r="D4" s="79" t="inlineStr">
        <is>
          <t>Original Number</t>
        </is>
      </c>
      <c r="E4" s="79" t="inlineStr">
        <is>
          <t>Loans</t>
        </is>
      </c>
      <c r="F4" s="79" t="inlineStr">
        <is>
          <t>Total UPB</t>
        </is>
      </c>
      <c r="G4" s="79" t="inlineStr">
        <is>
          <t># Properties</t>
        </is>
      </c>
      <c r="H4" s="79" t="inlineStr">
        <is>
          <t>Properties</t>
        </is>
      </c>
      <c r="I4" s="79" t="inlineStr">
        <is>
          <t>Total REV</t>
        </is>
      </c>
    </row>
    <row r="5">
      <c r="B5" s="80" t="n"/>
      <c r="C5" s="81" t="n"/>
      <c r="D5" s="81" t="n"/>
      <c r="E5" s="81" t="n"/>
      <c r="F5" s="81" t="n"/>
      <c r="G5" s="81" t="n"/>
      <c r="H5" s="81" t="n"/>
      <c r="I5" s="81" t="n"/>
    </row>
    <row r="7">
      <c r="B7" s="79" t="inlineStr">
        <is>
          <t># Loans</t>
        </is>
      </c>
      <c r="C7" s="79" t="inlineStr">
        <is>
          <t>Loans</t>
        </is>
      </c>
      <c r="D7" s="79" t="inlineStr">
        <is>
          <t>Original Number</t>
        </is>
      </c>
      <c r="E7" s="79" t="inlineStr">
        <is>
          <t>Principal</t>
        </is>
      </c>
      <c r="F7" s="79" t="inlineStr">
        <is>
          <t>Ordinary Interest</t>
        </is>
      </c>
      <c r="G7" s="79" t="inlineStr">
        <is>
          <t>Default Interest</t>
        </is>
      </c>
      <c r="H7" s="79" t="inlineStr">
        <is>
          <t>Judicial expenses</t>
        </is>
      </c>
      <c r="I7" s="79" t="inlineStr">
        <is>
          <t>Total</t>
        </is>
      </c>
      <c r="J7" s="79" t="inlineStr">
        <is>
          <t>Proposal Included</t>
        </is>
      </c>
    </row>
    <row r="8">
      <c r="B8" s="81" t="n"/>
      <c r="C8" s="81" t="n"/>
      <c r="D8" s="81" t="n"/>
      <c r="E8" s="216">
        <f>'Informe Subasta'!$D$10</f>
        <v/>
      </c>
      <c r="F8" s="216">
        <f>'Informe Subasta'!$D$11</f>
        <v/>
      </c>
      <c r="G8" s="216">
        <f>'Informe Subasta'!$D$12+'Informe Subasta'!$K$11</f>
        <v/>
      </c>
      <c r="H8" s="216">
        <f>'Informe Subasta'!$D$13+IF('Informe Subasta'!$D$17&gt;0,'Informe Subasta'!$K$12,'Informe Subasta'!$D$14)</f>
        <v/>
      </c>
      <c r="I8" s="217" t="n"/>
      <c r="J8" s="80" t="inlineStr">
        <is>
          <t>Yes</t>
        </is>
      </c>
    </row>
    <row r="11">
      <c r="N11" s="172" t="inlineStr">
        <is>
          <t>Responsabilidad hipotecaria máxima</t>
        </is>
      </c>
      <c r="O11" s="131" t="n"/>
      <c r="P11" s="131" t="n"/>
      <c r="Q11" s="132" t="n"/>
    </row>
    <row r="12" ht="25.5" customHeight="1" s="123">
      <c r="B12" s="79" t="inlineStr">
        <is>
          <t># Properties</t>
        </is>
      </c>
      <c r="C12" s="79" t="inlineStr">
        <is>
          <t>Property</t>
        </is>
      </c>
      <c r="D12" s="79" t="inlineStr">
        <is>
          <t>Code</t>
        </is>
      </c>
      <c r="E12" s="79" t="inlineStr">
        <is>
          <t>Principal</t>
        </is>
      </c>
      <c r="F12" s="79" t="inlineStr">
        <is>
          <t>Ordinary Interest</t>
        </is>
      </c>
      <c r="G12" s="79" t="inlineStr">
        <is>
          <t>Default Interest</t>
        </is>
      </c>
      <c r="H12" s="79" t="inlineStr">
        <is>
          <t>Judicial expenses</t>
        </is>
      </c>
      <c r="I12" s="79" t="inlineStr">
        <is>
          <t>Total</t>
        </is>
      </c>
      <c r="J12" s="79" t="inlineStr">
        <is>
          <t>REV</t>
        </is>
      </c>
      <c r="K12" s="79" t="inlineStr">
        <is>
          <t>LTV (Principal)</t>
        </is>
      </c>
      <c r="L12" s="79" t="inlineStr">
        <is>
          <t>LTV (Claim Amount)</t>
        </is>
      </c>
      <c r="M12" s="79" t="inlineStr">
        <is>
          <t>Proposal Included</t>
        </is>
      </c>
      <c r="N12" s="79" t="inlineStr">
        <is>
          <t>Principal (MR)</t>
        </is>
      </c>
      <c r="O12" s="79" t="inlineStr">
        <is>
          <t>Ordinary Interest (MR)</t>
        </is>
      </c>
      <c r="P12" s="79" t="inlineStr">
        <is>
          <t>Default Interest (MR)</t>
        </is>
      </c>
      <c r="Q12" s="79" t="inlineStr">
        <is>
          <t>Judicial expenses (MR)</t>
        </is>
      </c>
      <c r="R12" s="79" t="inlineStr">
        <is>
          <t>Total (MR)</t>
        </is>
      </c>
    </row>
    <row r="13">
      <c r="B13" s="81" t="n"/>
      <c r="C13" s="81" t="n"/>
      <c r="D13" s="81" t="n"/>
      <c r="E13" s="217" t="n"/>
      <c r="F13" s="217" t="n"/>
      <c r="G13" s="217" t="n"/>
      <c r="H13" s="217" t="n"/>
      <c r="I13" s="217" t="n"/>
      <c r="J13" s="217" t="n"/>
      <c r="K13" s="81" t="n"/>
      <c r="L13" s="81" t="n"/>
      <c r="M13" s="84">
        <f>IF('Informe Subasta'!$A$30="","","Yes")</f>
        <v/>
      </c>
      <c r="N13" s="218">
        <f>IF('Informe Subasta'!$A$30="","",'Informe Subasta'!$I$30)</f>
        <v/>
      </c>
      <c r="O13" s="218">
        <f>IF('Informe Subasta'!$A$30="","",'Informe Subasta'!$J$30)</f>
        <v/>
      </c>
      <c r="P13" s="218">
        <f>IF('Informe Subasta'!$A$30="","",'Informe Subasta'!$K$30)</f>
        <v/>
      </c>
      <c r="Q13" s="218">
        <f>IF('Informe Subasta'!$A$30="","",'Informe Subasta'!$L$30)</f>
        <v/>
      </c>
      <c r="R13" s="217" t="n"/>
    </row>
    <row r="14">
      <c r="B14" s="81" t="n"/>
      <c r="C14" s="81" t="n"/>
      <c r="D14" s="81" t="n"/>
      <c r="E14" s="217" t="n"/>
      <c r="F14" s="217" t="n"/>
      <c r="G14" s="217" t="n"/>
      <c r="H14" s="217" t="n"/>
      <c r="I14" s="217" t="n"/>
      <c r="J14" s="217" t="n"/>
      <c r="K14" s="81" t="n"/>
      <c r="L14" s="81" t="n"/>
      <c r="M14" s="84">
        <f>IF('Informe Subasta'!$A$31="","","Yes")</f>
        <v/>
      </c>
      <c r="N14" s="218">
        <f>IF('Informe Subasta'!$A$31="","",'Informe Subasta'!$I$31)</f>
        <v/>
      </c>
      <c r="O14" s="218">
        <f>IF('Informe Subasta'!$A$31="","",'Informe Subasta'!$J$31)</f>
        <v/>
      </c>
      <c r="P14" s="218">
        <f>IF('Informe Subasta'!$A$31="","",'Informe Subasta'!$K$31)</f>
        <v/>
      </c>
      <c r="Q14" s="218">
        <f>IF('Informe Subasta'!$A$31="","",'Informe Subasta'!$L$31)</f>
        <v/>
      </c>
      <c r="R14" s="217" t="n"/>
    </row>
    <row r="15">
      <c r="B15" s="81" t="n"/>
      <c r="C15" s="81" t="n"/>
      <c r="D15" s="81" t="n"/>
      <c r="E15" s="217" t="n"/>
      <c r="F15" s="217" t="n"/>
      <c r="G15" s="217" t="n"/>
      <c r="H15" s="217" t="n"/>
      <c r="I15" s="217" t="n"/>
      <c r="J15" s="217" t="n"/>
      <c r="K15" s="81" t="n"/>
      <c r="L15" s="81" t="n"/>
      <c r="M15" s="84">
        <f>IF('Informe Subasta'!$A$32="","","Yes")</f>
        <v/>
      </c>
      <c r="N15" s="218">
        <f>IF('Informe Subasta'!$A$32="","",'Informe Subasta'!$I$32)</f>
        <v/>
      </c>
      <c r="O15" s="218">
        <f>IF('Informe Subasta'!$A$32="","",'Informe Subasta'!$J$32)</f>
        <v/>
      </c>
      <c r="P15" s="218">
        <f>IF('Informe Subasta'!$A$32="","",'Informe Subasta'!$K$32)</f>
        <v/>
      </c>
      <c r="Q15" s="218">
        <f>IF('Informe Subasta'!$A$32="","",'Informe Subasta'!$L$32)</f>
        <v/>
      </c>
      <c r="R15" s="217" t="n"/>
    </row>
    <row r="16">
      <c r="B16" s="81" t="n"/>
      <c r="C16" s="81" t="n"/>
      <c r="D16" s="81" t="n"/>
      <c r="E16" s="217" t="n"/>
      <c r="F16" s="217" t="n"/>
      <c r="G16" s="217" t="n"/>
      <c r="H16" s="217" t="n"/>
      <c r="I16" s="217" t="n"/>
      <c r="J16" s="217" t="n"/>
      <c r="K16" s="81" t="n"/>
      <c r="L16" s="81" t="n"/>
      <c r="M16" s="84">
        <f>IF('Informe Subasta'!$A$33="","","Yes")</f>
        <v/>
      </c>
      <c r="N16" s="218">
        <f>IF('Informe Subasta'!$A$33="","",'Informe Subasta'!$I$33)</f>
        <v/>
      </c>
      <c r="O16" s="218">
        <f>IF('Informe Subasta'!$A$33="","",'Informe Subasta'!$J$33)</f>
        <v/>
      </c>
      <c r="P16" s="218">
        <f>IF('Informe Subasta'!$A$33="","",'Informe Subasta'!$K$33)</f>
        <v/>
      </c>
      <c r="Q16" s="218">
        <f>IF('Informe Subasta'!$A$33="","",'Informe Subasta'!$L$33)</f>
        <v/>
      </c>
      <c r="R16" s="217" t="n"/>
    </row>
    <row r="17">
      <c r="B17" s="81" t="n"/>
      <c r="C17" s="81" t="n"/>
      <c r="D17" s="81" t="n"/>
      <c r="E17" s="217" t="n"/>
      <c r="F17" s="217" t="n"/>
      <c r="G17" s="217" t="n"/>
      <c r="H17" s="217" t="n"/>
      <c r="I17" s="217" t="n"/>
      <c r="J17" s="217" t="n"/>
      <c r="K17" s="81" t="n"/>
      <c r="L17" s="81" t="n"/>
      <c r="M17" s="84">
        <f>IF('Informe Subasta'!$A$34="","","Yes")</f>
        <v/>
      </c>
      <c r="N17" s="218">
        <f>IF('Informe Subasta'!$A$34="","",'Informe Subasta'!$I$34)</f>
        <v/>
      </c>
      <c r="O17" s="218">
        <f>IF('Informe Subasta'!$A$34="","",'Informe Subasta'!$J$34)</f>
        <v/>
      </c>
      <c r="P17" s="218">
        <f>IF('Informe Subasta'!$A$34="","",'Informe Subasta'!$K$34)</f>
        <v/>
      </c>
      <c r="Q17" s="218">
        <f>IF('Informe Subasta'!$A$34="","",'Informe Subasta'!$L$34)</f>
        <v/>
      </c>
      <c r="R17" s="217" t="n"/>
    </row>
    <row r="18">
      <c r="B18" s="81" t="n"/>
      <c r="C18" s="81" t="n"/>
      <c r="D18" s="81" t="n"/>
      <c r="E18" s="217" t="n"/>
      <c r="F18" s="217" t="n"/>
      <c r="G18" s="217" t="n"/>
      <c r="H18" s="217" t="n"/>
      <c r="I18" s="217" t="n"/>
      <c r="J18" s="217" t="n"/>
      <c r="K18" s="81" t="n"/>
      <c r="L18" s="81" t="n"/>
      <c r="M18" s="84">
        <f>IF('Informe Subasta'!$A$35="","","Yes")</f>
        <v/>
      </c>
      <c r="N18" s="218">
        <f>IF('Informe Subasta'!$A$35="","",'Informe Subasta'!$I$35)</f>
        <v/>
      </c>
      <c r="O18" s="218">
        <f>IF('Informe Subasta'!$A$35="","",'Informe Subasta'!$J$35)</f>
        <v/>
      </c>
      <c r="P18" s="218">
        <f>IF('Informe Subasta'!$A$35="","",'Informe Subasta'!$K$35)</f>
        <v/>
      </c>
      <c r="Q18" s="218">
        <f>IF('Informe Subasta'!$A$35="","",'Informe Subasta'!$L$35)</f>
        <v/>
      </c>
      <c r="R18" s="217" t="n"/>
    </row>
    <row r="19">
      <c r="B19" s="81" t="n"/>
      <c r="C19" s="81" t="n"/>
      <c r="D19" s="81" t="n"/>
      <c r="E19" s="217" t="n"/>
      <c r="F19" s="217" t="n"/>
      <c r="G19" s="217" t="n"/>
      <c r="H19" s="217" t="n"/>
      <c r="I19" s="217" t="n"/>
      <c r="J19" s="217" t="n"/>
      <c r="K19" s="81" t="n"/>
      <c r="L19" s="81" t="n"/>
      <c r="M19" s="84">
        <f>IF('Informe Subasta'!$A$36="","","Yes")</f>
        <v/>
      </c>
      <c r="N19" s="218">
        <f>IF('Informe Subasta'!$A$36="","",'Informe Subasta'!$I$36)</f>
        <v/>
      </c>
      <c r="O19" s="218">
        <f>IF('Informe Subasta'!$A$36="","",'Informe Subasta'!$J$36)</f>
        <v/>
      </c>
      <c r="P19" s="218">
        <f>IF('Informe Subasta'!$A$36="","",'Informe Subasta'!$K$36)</f>
        <v/>
      </c>
      <c r="Q19" s="218">
        <f>IF('Informe Subasta'!$A$36="","",'Informe Subasta'!$L$36)</f>
        <v/>
      </c>
      <c r="R19" s="217" t="n"/>
    </row>
    <row r="20">
      <c r="B20" s="81" t="n"/>
      <c r="C20" s="81" t="n"/>
      <c r="D20" s="81" t="n"/>
      <c r="E20" s="217" t="n"/>
      <c r="F20" s="217" t="n"/>
      <c r="G20" s="217" t="n"/>
      <c r="H20" s="217" t="n"/>
      <c r="I20" s="217" t="n"/>
      <c r="J20" s="217" t="n"/>
      <c r="K20" s="81" t="n"/>
      <c r="L20" s="81" t="n"/>
      <c r="M20" s="84">
        <f>IF('Informe Subasta'!$A$37="","","Yes")</f>
        <v/>
      </c>
      <c r="N20" s="218">
        <f>IF('Informe Subasta'!$A$37="","",'Informe Subasta'!$I$37)</f>
        <v/>
      </c>
      <c r="O20" s="218">
        <f>IF('Informe Subasta'!$A$37="","",'Informe Subasta'!$J$37)</f>
        <v/>
      </c>
      <c r="P20" s="218">
        <f>IF('Informe Subasta'!$A$37="","",'Informe Subasta'!$K$37)</f>
        <v/>
      </c>
      <c r="Q20" s="218">
        <f>IF('Informe Subasta'!$A$37="","",'Informe Subasta'!$L$37)</f>
        <v/>
      </c>
      <c r="R20" s="217" t="n"/>
    </row>
    <row r="21">
      <c r="B21" s="81" t="n"/>
      <c r="C21" s="81" t="n"/>
      <c r="D21" s="81" t="n"/>
      <c r="E21" s="217" t="n"/>
      <c r="F21" s="217" t="n"/>
      <c r="G21" s="217" t="n"/>
      <c r="H21" s="217" t="n"/>
      <c r="I21" s="217" t="n"/>
      <c r="J21" s="217" t="n"/>
      <c r="K21" s="81" t="n"/>
      <c r="L21" s="81" t="n"/>
      <c r="M21" s="84">
        <f>IF('Informe Subasta'!$A$38="","","Yes")</f>
        <v/>
      </c>
      <c r="N21" s="218">
        <f>IF('Informe Subasta'!$A$38="","",'Informe Subasta'!$I$38)</f>
        <v/>
      </c>
      <c r="O21" s="218">
        <f>IF('Informe Subasta'!$A$38="","",'Informe Subasta'!$J$38)</f>
        <v/>
      </c>
      <c r="P21" s="218">
        <f>IF('Informe Subasta'!$A$38="","",'Informe Subasta'!$K$38)</f>
        <v/>
      </c>
      <c r="Q21" s="218">
        <f>IF('Informe Subasta'!$A$38="","",'Informe Subasta'!$L$38)</f>
        <v/>
      </c>
      <c r="R21" s="217" t="n"/>
    </row>
    <row r="22">
      <c r="B22" s="81" t="n"/>
      <c r="C22" s="81" t="n"/>
      <c r="D22" s="81" t="n"/>
      <c r="E22" s="217" t="n"/>
      <c r="F22" s="217" t="n"/>
      <c r="G22" s="217" t="n"/>
      <c r="H22" s="217" t="n"/>
      <c r="I22" s="217" t="n"/>
      <c r="J22" s="217" t="n"/>
      <c r="K22" s="81" t="n"/>
      <c r="L22" s="81" t="n"/>
      <c r="M22" s="84">
        <f>IF('Informe Subasta'!$A$39="","","Yes")</f>
        <v/>
      </c>
      <c r="N22" s="218">
        <f>IF('Informe Subasta'!$A$39="","",'Informe Subasta'!$I$39)</f>
        <v/>
      </c>
      <c r="O22" s="218">
        <f>IF('Informe Subasta'!$A$39="","",'Informe Subasta'!$J$39)</f>
        <v/>
      </c>
      <c r="P22" s="218">
        <f>IF('Informe Subasta'!$A$39="","",'Informe Subasta'!$K$39)</f>
        <v/>
      </c>
      <c r="Q22" s="218">
        <f>IF('Informe Subasta'!$A$39="","",'Informe Subasta'!$L$39)</f>
        <v/>
      </c>
      <c r="R22" s="217" t="n"/>
    </row>
    <row r="23">
      <c r="B23" s="81" t="n"/>
      <c r="C23" s="81" t="n"/>
      <c r="D23" s="81" t="n"/>
      <c r="E23" s="217" t="n"/>
      <c r="F23" s="217" t="n"/>
      <c r="G23" s="217" t="n"/>
      <c r="H23" s="217" t="n"/>
      <c r="I23" s="217" t="n"/>
      <c r="J23" s="217" t="n"/>
      <c r="K23" s="81" t="n"/>
      <c r="L23" s="81" t="n"/>
      <c r="M23" s="84">
        <f>IF('Informe Subasta'!$A$40="","","Yes")</f>
        <v/>
      </c>
      <c r="N23" s="218">
        <f>IF('Informe Subasta'!$A$40="","",'Informe Subasta'!$I$40)</f>
        <v/>
      </c>
      <c r="O23" s="218">
        <f>IF('Informe Subasta'!$A$40="","",'Informe Subasta'!$J$40)</f>
        <v/>
      </c>
      <c r="P23" s="218">
        <f>IF('Informe Subasta'!$A$40="","",'Informe Subasta'!$K$40)</f>
        <v/>
      </c>
      <c r="Q23" s="218">
        <f>IF('Informe Subasta'!$A$40="","",'Informe Subasta'!$L$40)</f>
        <v/>
      </c>
      <c r="R23" s="217" t="n"/>
    </row>
    <row r="24">
      <c r="B24" s="81" t="n"/>
      <c r="C24" s="81" t="n"/>
      <c r="D24" s="81" t="n"/>
      <c r="E24" s="217" t="n"/>
      <c r="F24" s="217" t="n"/>
      <c r="G24" s="217" t="n"/>
      <c r="H24" s="217" t="n"/>
      <c r="I24" s="217" t="n"/>
      <c r="J24" s="217" t="n"/>
      <c r="K24" s="81" t="n"/>
      <c r="L24" s="81" t="n"/>
      <c r="M24" s="84">
        <f>IF('Informe Subasta'!$A$41="","","Yes")</f>
        <v/>
      </c>
      <c r="N24" s="218">
        <f>IF('Informe Subasta'!$A$41="","",'Informe Subasta'!$I$41)</f>
        <v/>
      </c>
      <c r="O24" s="218">
        <f>IF('Informe Subasta'!$A$41="","",'Informe Subasta'!$J$41)</f>
        <v/>
      </c>
      <c r="P24" s="218">
        <f>IF('Informe Subasta'!$A$41="","",'Informe Subasta'!$K$41)</f>
        <v/>
      </c>
      <c r="Q24" s="218">
        <f>IF('Informe Subasta'!$A$41="","",'Informe Subasta'!$L$41)</f>
        <v/>
      </c>
      <c r="R24" s="217" t="n"/>
    </row>
    <row r="25">
      <c r="B25" s="81" t="n"/>
      <c r="C25" s="81" t="n"/>
      <c r="D25" s="81" t="n"/>
      <c r="E25" s="217" t="n"/>
      <c r="F25" s="217" t="n"/>
      <c r="G25" s="217" t="n"/>
      <c r="H25" s="217" t="n"/>
      <c r="I25" s="217" t="n"/>
      <c r="J25" s="217" t="n"/>
      <c r="K25" s="81" t="n"/>
      <c r="L25" s="81" t="n"/>
      <c r="M25" s="84">
        <f>IF('Informe Subasta'!$A$42="","","Yes")</f>
        <v/>
      </c>
      <c r="N25" s="218">
        <f>IF('Informe Subasta'!$A$42="","",'Informe Subasta'!$I$42)</f>
        <v/>
      </c>
      <c r="O25" s="218">
        <f>IF('Informe Subasta'!$A$42="","",'Informe Subasta'!$J$42)</f>
        <v/>
      </c>
      <c r="P25" s="218">
        <f>IF('Informe Subasta'!$A$42="","",'Informe Subasta'!$K$42)</f>
        <v/>
      </c>
      <c r="Q25" s="218">
        <f>IF('Informe Subasta'!$A$42="","",'Informe Subasta'!$L$42)</f>
        <v/>
      </c>
      <c r="R25" s="217" t="n"/>
    </row>
    <row r="26">
      <c r="B26" s="81" t="n"/>
      <c r="C26" s="81" t="n"/>
      <c r="D26" s="81" t="n"/>
      <c r="E26" s="217" t="n"/>
      <c r="F26" s="217" t="n"/>
      <c r="G26" s="217" t="n"/>
      <c r="H26" s="217" t="n"/>
      <c r="I26" s="217" t="n"/>
      <c r="J26" s="217" t="n"/>
      <c r="K26" s="81" t="n"/>
      <c r="L26" s="81" t="n"/>
      <c r="M26" s="84">
        <f>IF('Informe Subasta'!$A$43="","","Yes")</f>
        <v/>
      </c>
      <c r="N26" s="218">
        <f>IF('Informe Subasta'!$A$43="","",'Informe Subasta'!$I$43)</f>
        <v/>
      </c>
      <c r="O26" s="218">
        <f>IF('Informe Subasta'!$A$43="","",'Informe Subasta'!$J$43)</f>
        <v/>
      </c>
      <c r="P26" s="218">
        <f>IF('Informe Subasta'!$A$43="","",'Informe Subasta'!$K$43)</f>
        <v/>
      </c>
      <c r="Q26" s="218">
        <f>IF('Informe Subasta'!$A$43="","",'Informe Subasta'!$L$43)</f>
        <v/>
      </c>
      <c r="R26" s="217" t="n"/>
    </row>
    <row r="27">
      <c r="B27" s="81" t="n"/>
      <c r="C27" s="81" t="n"/>
      <c r="D27" s="81" t="n"/>
      <c r="E27" s="217" t="n"/>
      <c r="F27" s="217" t="n"/>
      <c r="G27" s="217" t="n"/>
      <c r="H27" s="217" t="n"/>
      <c r="I27" s="217" t="n"/>
      <c r="J27" s="217" t="n"/>
      <c r="K27" s="81" t="n"/>
      <c r="L27" s="81" t="n"/>
      <c r="M27" s="84">
        <f>IF('Informe Subasta'!$A$44="","","Yes")</f>
        <v/>
      </c>
      <c r="N27" s="218">
        <f>IF('Informe Subasta'!$A$44="","",'Informe Subasta'!$I$44)</f>
        <v/>
      </c>
      <c r="O27" s="218">
        <f>IF('Informe Subasta'!$A$44="","",'Informe Subasta'!$J$44)</f>
        <v/>
      </c>
      <c r="P27" s="218">
        <f>IF('Informe Subasta'!$A$44="","",'Informe Subasta'!$K$44)</f>
        <v/>
      </c>
      <c r="Q27" s="218">
        <f>IF('Informe Subasta'!$A$44="","",'Informe Subasta'!$L$44)</f>
        <v/>
      </c>
      <c r="R27" s="217" t="n"/>
    </row>
    <row r="28">
      <c r="B28" s="81" t="n"/>
      <c r="C28" s="81" t="n"/>
      <c r="D28" s="81" t="n"/>
      <c r="E28" s="217" t="n"/>
      <c r="F28" s="217" t="n"/>
      <c r="G28" s="217" t="n"/>
      <c r="H28" s="217" t="n"/>
      <c r="I28" s="217" t="n"/>
      <c r="J28" s="217" t="n"/>
      <c r="K28" s="81" t="n"/>
      <c r="L28" s="81" t="n"/>
      <c r="M28" s="84">
        <f>IF('Informe Subasta'!$A$45="","","Yes")</f>
        <v/>
      </c>
      <c r="N28" s="218">
        <f>IF('Informe Subasta'!$A$45="","",'Informe Subasta'!$I$45)</f>
        <v/>
      </c>
      <c r="O28" s="218">
        <f>IF('Informe Subasta'!$A$45="","",'Informe Subasta'!$J$45)</f>
        <v/>
      </c>
      <c r="P28" s="218">
        <f>IF('Informe Subasta'!$A$45="","",'Informe Subasta'!$K$45)</f>
        <v/>
      </c>
      <c r="Q28" s="218">
        <f>IF('Informe Subasta'!$A$45="","",'Informe Subasta'!$L$45)</f>
        <v/>
      </c>
      <c r="R28" s="217" t="n"/>
    </row>
    <row r="29">
      <c r="B29" s="81" t="n"/>
      <c r="C29" s="81" t="n"/>
      <c r="D29" s="81" t="n"/>
      <c r="E29" s="217" t="n"/>
      <c r="F29" s="217" t="n"/>
      <c r="G29" s="217" t="n"/>
      <c r="H29" s="217" t="n"/>
      <c r="I29" s="217" t="n"/>
      <c r="J29" s="217" t="n"/>
      <c r="K29" s="81" t="n"/>
      <c r="L29" s="81" t="n"/>
      <c r="M29" s="84">
        <f>IF('Informe Subasta'!$A$46="","","Yes")</f>
        <v/>
      </c>
      <c r="N29" s="218">
        <f>IF('Informe Subasta'!$A$46="","",'Informe Subasta'!$I$46)</f>
        <v/>
      </c>
      <c r="O29" s="218">
        <f>IF('Informe Subasta'!$A$46="","",'Informe Subasta'!$J$46)</f>
        <v/>
      </c>
      <c r="P29" s="218">
        <f>IF('Informe Subasta'!$A$46="","",'Informe Subasta'!$K$46)</f>
        <v/>
      </c>
      <c r="Q29" s="218">
        <f>IF('Informe Subasta'!$A$46="","",'Informe Subasta'!$L$46)</f>
        <v/>
      </c>
      <c r="R29" s="217" t="n"/>
    </row>
    <row r="30">
      <c r="B30" s="81" t="n"/>
      <c r="C30" s="81" t="n"/>
      <c r="D30" s="81" t="n"/>
      <c r="E30" s="217" t="n"/>
      <c r="F30" s="217" t="n"/>
      <c r="G30" s="217" t="n"/>
      <c r="H30" s="217" t="n"/>
      <c r="I30" s="217" t="n"/>
      <c r="J30" s="217" t="n"/>
      <c r="K30" s="81" t="n"/>
      <c r="L30" s="81" t="n"/>
      <c r="M30" s="84">
        <f>IF('Informe Subasta'!$A$47="","","Yes")</f>
        <v/>
      </c>
      <c r="N30" s="218">
        <f>IF('Informe Subasta'!$A$47="","",'Informe Subasta'!$I$47)</f>
        <v/>
      </c>
      <c r="O30" s="218">
        <f>IF('Informe Subasta'!$A$47="","",'Informe Subasta'!$J$47)</f>
        <v/>
      </c>
      <c r="P30" s="218">
        <f>IF('Informe Subasta'!$A$47="","",'Informe Subasta'!$K$47)</f>
        <v/>
      </c>
      <c r="Q30" s="218">
        <f>IF('Informe Subasta'!$A$47="","",'Informe Subasta'!$L$47)</f>
        <v/>
      </c>
      <c r="R30" s="217" t="n"/>
    </row>
    <row r="31">
      <c r="B31" s="81" t="n"/>
      <c r="C31" s="81" t="n"/>
      <c r="D31" s="81" t="n"/>
      <c r="E31" s="217" t="n"/>
      <c r="F31" s="217" t="n"/>
      <c r="G31" s="217" t="n"/>
      <c r="H31" s="217" t="n"/>
      <c r="I31" s="217" t="n"/>
      <c r="J31" s="217" t="n"/>
      <c r="K31" s="81" t="n"/>
      <c r="L31" s="81" t="n"/>
      <c r="M31" s="84">
        <f>IF('Informe Subasta'!$A$48="","","Yes")</f>
        <v/>
      </c>
      <c r="N31" s="218">
        <f>IF('Informe Subasta'!$A$48="","",'Informe Subasta'!$I$48)</f>
        <v/>
      </c>
      <c r="O31" s="218">
        <f>IF('Informe Subasta'!$A$48="","",'Informe Subasta'!$J$48)</f>
        <v/>
      </c>
      <c r="P31" s="218">
        <f>IF('Informe Subasta'!$A$48="","",'Informe Subasta'!$K$48)</f>
        <v/>
      </c>
      <c r="Q31" s="218">
        <f>IF('Informe Subasta'!$A$48="","",'Informe Subasta'!$L$48)</f>
        <v/>
      </c>
      <c r="R31" s="217" t="n"/>
    </row>
    <row r="32">
      <c r="B32" s="81" t="n"/>
      <c r="C32" s="81" t="n"/>
      <c r="D32" s="81" t="n"/>
      <c r="E32" s="217" t="n"/>
      <c r="F32" s="217" t="n"/>
      <c r="G32" s="217" t="n"/>
      <c r="H32" s="217" t="n"/>
      <c r="I32" s="217" t="n"/>
      <c r="J32" s="217" t="n"/>
      <c r="K32" s="81" t="n"/>
      <c r="L32" s="81" t="n"/>
      <c r="M32" s="84">
        <f>IF('Informe Subasta'!$A$49="","","Yes")</f>
        <v/>
      </c>
      <c r="N32" s="218">
        <f>IF('Informe Subasta'!$A$49="","",'Informe Subasta'!$I$49)</f>
        <v/>
      </c>
      <c r="O32" s="218">
        <f>IF('Informe Subasta'!$A$49="","",'Informe Subasta'!$J$49)</f>
        <v/>
      </c>
      <c r="P32" s="218">
        <f>IF('Informe Subasta'!$A$49="","",'Informe Subasta'!$K$49)</f>
        <v/>
      </c>
      <c r="Q32" s="218">
        <f>IF('Informe Subasta'!$A$49="","",'Informe Subasta'!$L$49)</f>
        <v/>
      </c>
      <c r="R32" s="217" t="n"/>
    </row>
    <row r="33">
      <c r="B33" s="81" t="n"/>
      <c r="C33" s="81" t="n"/>
      <c r="D33" s="81" t="n"/>
      <c r="E33" s="217" t="n"/>
      <c r="F33" s="217" t="n"/>
      <c r="G33" s="217" t="n"/>
      <c r="H33" s="217" t="n"/>
      <c r="I33" s="217" t="n"/>
      <c r="J33" s="217" t="n"/>
      <c r="K33" s="81" t="n"/>
      <c r="L33" s="81" t="n"/>
      <c r="M33" s="84">
        <f>IF('Informe Subasta'!$A$50="","","Yes")</f>
        <v/>
      </c>
      <c r="N33" s="218">
        <f>IF('Informe Subasta'!$A$50="","",'Informe Subasta'!$I$50)</f>
        <v/>
      </c>
      <c r="O33" s="218">
        <f>IF('Informe Subasta'!$A$50="","",'Informe Subasta'!$J$50)</f>
        <v/>
      </c>
      <c r="P33" s="218">
        <f>IF('Informe Subasta'!$A$50="","",'Informe Subasta'!$K$50)</f>
        <v/>
      </c>
      <c r="Q33" s="218">
        <f>IF('Informe Subasta'!$A$50="","",'Informe Subasta'!$L$50)</f>
        <v/>
      </c>
      <c r="R33" s="217" t="n"/>
    </row>
    <row r="34">
      <c r="B34" s="81" t="n"/>
      <c r="C34" s="81" t="n"/>
      <c r="D34" s="81" t="n"/>
      <c r="E34" s="217" t="n"/>
      <c r="F34" s="217" t="n"/>
      <c r="G34" s="217" t="n"/>
      <c r="H34" s="217" t="n"/>
      <c r="I34" s="217" t="n"/>
      <c r="J34" s="217" t="n"/>
      <c r="K34" s="81" t="n"/>
      <c r="L34" s="81" t="n"/>
      <c r="M34" s="84">
        <f>IF('Informe Subasta'!$A$51="","","Yes")</f>
        <v/>
      </c>
      <c r="N34" s="218">
        <f>IF('Informe Subasta'!$A$51="","",'Informe Subasta'!$I$51)</f>
        <v/>
      </c>
      <c r="O34" s="218">
        <f>IF('Informe Subasta'!$A$51="","",'Informe Subasta'!$J$51)</f>
        <v/>
      </c>
      <c r="P34" s="218">
        <f>IF('Informe Subasta'!$A$51="","",'Informe Subasta'!$K$51)</f>
        <v/>
      </c>
      <c r="Q34" s="218">
        <f>IF('Informe Subasta'!$A$51="","",'Informe Subasta'!$L$51)</f>
        <v/>
      </c>
      <c r="R34" s="217" t="n"/>
    </row>
    <row r="35">
      <c r="B35" s="81" t="n"/>
      <c r="C35" s="81" t="n"/>
      <c r="D35" s="81" t="n"/>
      <c r="E35" s="217" t="n"/>
      <c r="F35" s="217" t="n"/>
      <c r="G35" s="217" t="n"/>
      <c r="H35" s="217" t="n"/>
      <c r="I35" s="217" t="n"/>
      <c r="J35" s="217" t="n"/>
      <c r="K35" s="81" t="n"/>
      <c r="L35" s="81" t="n"/>
      <c r="M35" s="84">
        <f>IF('Informe Subasta'!$A$52="","","Yes")</f>
        <v/>
      </c>
      <c r="N35" s="218">
        <f>IF('Informe Subasta'!$A$52="","",'Informe Subasta'!$I$52)</f>
        <v/>
      </c>
      <c r="O35" s="218">
        <f>IF('Informe Subasta'!$A$52="","",'Informe Subasta'!$J$52)</f>
        <v/>
      </c>
      <c r="P35" s="218">
        <f>IF('Informe Subasta'!$A$52="","",'Informe Subasta'!$K$52)</f>
        <v/>
      </c>
      <c r="Q35" s="218">
        <f>IF('Informe Subasta'!$A$52="","",'Informe Subasta'!$L$52)</f>
        <v/>
      </c>
      <c r="R35" s="217" t="n"/>
    </row>
    <row r="36">
      <c r="B36" s="81" t="n"/>
      <c r="C36" s="81" t="n"/>
      <c r="D36" s="81" t="n"/>
      <c r="E36" s="217" t="n"/>
      <c r="F36" s="217" t="n"/>
      <c r="G36" s="217" t="n"/>
      <c r="H36" s="217" t="n"/>
      <c r="I36" s="217" t="n"/>
      <c r="J36" s="217" t="n"/>
      <c r="K36" s="81" t="n"/>
      <c r="L36" s="81" t="n"/>
      <c r="M36" s="84">
        <f>IF('Informe Subasta'!$A$53="","","Yes")</f>
        <v/>
      </c>
      <c r="N36" s="218">
        <f>IF('Informe Subasta'!$A$53="","",'Informe Subasta'!$I$53)</f>
        <v/>
      </c>
      <c r="O36" s="218">
        <f>IF('Informe Subasta'!$A$53="","",'Informe Subasta'!$J$53)</f>
        <v/>
      </c>
      <c r="P36" s="218">
        <f>IF('Informe Subasta'!$A$53="","",'Informe Subasta'!$K$53)</f>
        <v/>
      </c>
      <c r="Q36" s="218">
        <f>IF('Informe Subasta'!$A$53="","",'Informe Subasta'!$L$53)</f>
        <v/>
      </c>
      <c r="R36" s="217" t="n"/>
    </row>
    <row r="37">
      <c r="B37" s="81" t="n"/>
      <c r="C37" s="81" t="n"/>
      <c r="D37" s="81" t="n"/>
      <c r="E37" s="217" t="n"/>
      <c r="F37" s="217" t="n"/>
      <c r="G37" s="217" t="n"/>
      <c r="H37" s="217" t="n"/>
      <c r="I37" s="217" t="n"/>
      <c r="J37" s="217" t="n"/>
      <c r="K37" s="81" t="n"/>
      <c r="L37" s="81" t="n"/>
      <c r="M37" s="84">
        <f>IF('Informe Subasta'!$A$54="","","Yes")</f>
        <v/>
      </c>
      <c r="N37" s="218">
        <f>IF('Informe Subasta'!$A$54="","",'Informe Subasta'!$I$54)</f>
        <v/>
      </c>
      <c r="O37" s="218">
        <f>IF('Informe Subasta'!$A$54="","",'Informe Subasta'!$J$54)</f>
        <v/>
      </c>
      <c r="P37" s="218">
        <f>IF('Informe Subasta'!$A$54="","",'Informe Subasta'!$K$54)</f>
        <v/>
      </c>
      <c r="Q37" s="218">
        <f>IF('Informe Subasta'!$A$54="","",'Informe Subasta'!$L$54)</f>
        <v/>
      </c>
      <c r="R37" s="217" t="n"/>
    </row>
    <row r="38">
      <c r="B38" s="81" t="n"/>
      <c r="C38" s="81" t="n"/>
      <c r="D38" s="81" t="n"/>
      <c r="E38" s="217" t="n"/>
      <c r="F38" s="217" t="n"/>
      <c r="G38" s="217" t="n"/>
      <c r="H38" s="217" t="n"/>
      <c r="I38" s="217" t="n"/>
      <c r="J38" s="217" t="n"/>
      <c r="K38" s="81" t="n"/>
      <c r="L38" s="81" t="n"/>
      <c r="M38" s="84">
        <f>IF('Informe Subasta'!$A$55="","","Yes")</f>
        <v/>
      </c>
      <c r="N38" s="218">
        <f>IF('Informe Subasta'!$A$55="","",'Informe Subasta'!$I$55)</f>
        <v/>
      </c>
      <c r="O38" s="218">
        <f>IF('Informe Subasta'!$A$55="","",'Informe Subasta'!$J$55)</f>
        <v/>
      </c>
      <c r="P38" s="218">
        <f>IF('Informe Subasta'!$A$55="","",'Informe Subasta'!$K$55)</f>
        <v/>
      </c>
      <c r="Q38" s="218">
        <f>IF('Informe Subasta'!$A$55="","",'Informe Subasta'!$L$55)</f>
        <v/>
      </c>
      <c r="R38" s="217" t="n"/>
    </row>
    <row r="39">
      <c r="B39" s="81" t="n"/>
      <c r="C39" s="81" t="n"/>
      <c r="D39" s="81" t="n"/>
      <c r="E39" s="217" t="n"/>
      <c r="F39" s="217" t="n"/>
      <c r="G39" s="217" t="n"/>
      <c r="H39" s="217" t="n"/>
      <c r="I39" s="217" t="n"/>
      <c r="J39" s="217" t="n"/>
      <c r="K39" s="81" t="n"/>
      <c r="L39" s="81" t="n"/>
      <c r="M39" s="84">
        <f>IF('Informe Subasta'!$A$56="","","Yes")</f>
        <v/>
      </c>
      <c r="N39" s="218">
        <f>IF('Informe Subasta'!$A$56="","",'Informe Subasta'!$I$56)</f>
        <v/>
      </c>
      <c r="O39" s="218">
        <f>IF('Informe Subasta'!$A$56="","",'Informe Subasta'!$J$56)</f>
        <v/>
      </c>
      <c r="P39" s="218">
        <f>IF('Informe Subasta'!$A$56="","",'Informe Subasta'!$K$56)</f>
        <v/>
      </c>
      <c r="Q39" s="218">
        <f>IF('Informe Subasta'!$A$56="","",'Informe Subasta'!$L$56)</f>
        <v/>
      </c>
      <c r="R39" s="217" t="n"/>
    </row>
    <row r="40">
      <c r="B40" s="81" t="n"/>
      <c r="C40" s="81" t="n"/>
      <c r="D40" s="81" t="n"/>
      <c r="E40" s="217" t="n"/>
      <c r="F40" s="217" t="n"/>
      <c r="G40" s="217" t="n"/>
      <c r="H40" s="217" t="n"/>
      <c r="I40" s="217" t="n"/>
      <c r="J40" s="217" t="n"/>
      <c r="K40" s="81" t="n"/>
      <c r="L40" s="81" t="n"/>
      <c r="M40" s="84">
        <f>IF('Informe Subasta'!$A$57="","","Yes")</f>
        <v/>
      </c>
      <c r="N40" s="218">
        <f>IF('Informe Subasta'!$A$57="","",'Informe Subasta'!$I$57)</f>
        <v/>
      </c>
      <c r="O40" s="218">
        <f>IF('Informe Subasta'!$A$57="","",'Informe Subasta'!$J$57)</f>
        <v/>
      </c>
      <c r="P40" s="218">
        <f>IF('Informe Subasta'!$A$57="","",'Informe Subasta'!$K$57)</f>
        <v/>
      </c>
      <c r="Q40" s="218">
        <f>IF('Informe Subasta'!$A$57="","",'Informe Subasta'!$L$57)</f>
        <v/>
      </c>
      <c r="R40" s="217" t="n"/>
    </row>
    <row r="41">
      <c r="B41" s="81" t="n"/>
      <c r="C41" s="81" t="n"/>
      <c r="D41" s="81" t="n"/>
      <c r="E41" s="217" t="n"/>
      <c r="F41" s="217" t="n"/>
      <c r="G41" s="217" t="n"/>
      <c r="H41" s="217" t="n"/>
      <c r="I41" s="217" t="n"/>
      <c r="J41" s="217" t="n"/>
      <c r="K41" s="81" t="n"/>
      <c r="L41" s="81" t="n"/>
      <c r="M41" s="84">
        <f>IF('Informe Subasta'!$A$58="","","Yes")</f>
        <v/>
      </c>
      <c r="N41" s="218">
        <f>IF('Informe Subasta'!$A$58="","",'Informe Subasta'!$I$58)</f>
        <v/>
      </c>
      <c r="O41" s="218">
        <f>IF('Informe Subasta'!$A$58="","",'Informe Subasta'!$J$58)</f>
        <v/>
      </c>
      <c r="P41" s="218">
        <f>IF('Informe Subasta'!$A$58="","",'Informe Subasta'!$K$58)</f>
        <v/>
      </c>
      <c r="Q41" s="218">
        <f>IF('Informe Subasta'!$A$58="","",'Informe Subasta'!$L$58)</f>
        <v/>
      </c>
      <c r="R41" s="217" t="n"/>
    </row>
    <row r="42">
      <c r="B42" s="81" t="n"/>
      <c r="C42" s="81" t="n"/>
      <c r="D42" s="81" t="n"/>
      <c r="E42" s="217" t="n"/>
      <c r="F42" s="217" t="n"/>
      <c r="G42" s="217" t="n"/>
      <c r="H42" s="217" t="n"/>
      <c r="I42" s="217" t="n"/>
      <c r="J42" s="217" t="n"/>
      <c r="K42" s="81" t="n"/>
      <c r="L42" s="81" t="n"/>
      <c r="M42" s="84">
        <f>IF('Informe Subasta'!$A$59="","","Yes")</f>
        <v/>
      </c>
      <c r="N42" s="218">
        <f>IF('Informe Subasta'!$A$59="","",'Informe Subasta'!$I$59)</f>
        <v/>
      </c>
      <c r="O42" s="218">
        <f>IF('Informe Subasta'!$A$59="","",'Informe Subasta'!$J$59)</f>
        <v/>
      </c>
      <c r="P42" s="218">
        <f>IF('Informe Subasta'!$A$59="","",'Informe Subasta'!$K$59)</f>
        <v/>
      </c>
      <c r="Q42" s="218">
        <f>IF('Informe Subasta'!$A$59="","",'Informe Subasta'!$L$59)</f>
        <v/>
      </c>
      <c r="R42" s="217" t="n"/>
    </row>
  </sheetData>
  <mergeCells count="1">
    <mergeCell ref="N11:Q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41"/>
  <sheetViews>
    <sheetView zoomScale="85" zoomScaleNormal="85" workbookViewId="0">
      <selection activeCell="L26" sqref="L26"/>
    </sheetView>
  </sheetViews>
  <sheetFormatPr baseColWidth="8" defaultRowHeight="14.5"/>
  <cols>
    <col width="2.54296875" customWidth="1" style="123" min="1" max="1"/>
    <col width="25.7265625" customWidth="1" style="123" min="2" max="2"/>
    <col width="22.54296875" customWidth="1" style="123" min="3" max="3"/>
    <col width="20" customWidth="1" style="123" min="4" max="4"/>
    <col width="24.54296875" customWidth="1" style="123" min="5" max="5"/>
    <col width="26.7265625" customWidth="1" style="123" min="6" max="6"/>
    <col width="26.54296875" customWidth="1" style="123" min="7" max="7"/>
    <col width="22.54296875" customWidth="1" style="123" min="8" max="8"/>
    <col width="21.453125" customWidth="1" style="123" min="9" max="9"/>
    <col width="34.1796875" customWidth="1" style="123" min="10" max="10"/>
    <col width="17" customWidth="1" style="123" min="11" max="11"/>
    <col width="29.1796875" customWidth="1" style="123" min="12" max="12"/>
    <col width="18.54296875" customWidth="1" style="123" min="13" max="13"/>
    <col width="12.453125" customWidth="1" style="123" min="15" max="15"/>
    <col width="12.26953125" customWidth="1" style="123" min="16" max="16"/>
    <col width="14.26953125" customWidth="1" style="123" min="17" max="17"/>
    <col width="12.453125" customWidth="1" style="123" min="18" max="18"/>
    <col width="12.26953125" customWidth="1" style="123" min="23" max="23"/>
    <col width="11.453125" customWidth="1" style="123" min="24" max="24"/>
  </cols>
  <sheetData>
    <row r="1">
      <c r="D1" s="15" t="n"/>
    </row>
    <row r="2">
      <c r="B2" s="16" t="inlineStr">
        <is>
          <t>AI / Extracted/Manual Fields</t>
        </is>
      </c>
      <c r="C2" s="15" t="n"/>
    </row>
    <row r="3">
      <c r="B3" s="17" t="inlineStr">
        <is>
          <t>Formulas</t>
        </is>
      </c>
      <c r="C3" s="15" t="n"/>
      <c r="K3" s="18" t="n"/>
    </row>
    <row r="4">
      <c r="B4" s="19" t="inlineStr">
        <is>
          <t>Debt Calculation Output</t>
        </is>
      </c>
      <c r="D4" s="15" t="n"/>
    </row>
    <row r="5">
      <c r="F5" s="20" t="inlineStr">
        <is>
          <t>Initial Claim Amount</t>
        </is>
      </c>
      <c r="G5" s="219">
        <f>+C7+C8+C9+C12</f>
        <v/>
      </c>
    </row>
    <row r="6">
      <c r="B6" s="181" t="inlineStr">
        <is>
          <t>TOTAL UPDATED DEBT</t>
        </is>
      </c>
      <c r="C6" s="182" t="n"/>
      <c r="D6" s="181" t="inlineStr">
        <is>
          <t>MAXIMUM SECURED AMOUNT</t>
        </is>
      </c>
      <c r="E6" s="182" t="n"/>
      <c r="F6" s="181" t="inlineStr">
        <is>
          <t>DEUDA LIMITADA A  RESPONSABILIDAD</t>
        </is>
      </c>
      <c r="G6" s="182" t="n"/>
    </row>
    <row r="7">
      <c r="B7" s="22" t="inlineStr">
        <is>
          <t>Capital/Principal</t>
        </is>
      </c>
      <c r="C7" s="220">
        <f>'Informe Subasta'!$D$10</f>
        <v/>
      </c>
      <c r="D7" s="24" t="inlineStr">
        <is>
          <t>Capital/Principal</t>
        </is>
      </c>
      <c r="E7" s="221">
        <f>+$C$25</f>
        <v/>
      </c>
      <c r="F7" s="26" t="inlineStr">
        <is>
          <t>Capital</t>
        </is>
      </c>
      <c r="G7" s="221">
        <f>+$C$41</f>
        <v/>
      </c>
      <c r="I7" s="222" t="n"/>
    </row>
    <row r="8">
      <c r="B8" s="22" t="inlineStr">
        <is>
          <t>Interest</t>
        </is>
      </c>
      <c r="C8" s="223">
        <f>'Informe Subasta'!$D$11</f>
        <v/>
      </c>
      <c r="D8" s="22" t="inlineStr">
        <is>
          <t>Interest</t>
        </is>
      </c>
      <c r="E8" s="221">
        <f>+$D$25</f>
        <v/>
      </c>
      <c r="F8" s="26" t="inlineStr">
        <is>
          <t>Int. Ordinarios</t>
        </is>
      </c>
      <c r="G8" s="221">
        <f>+$D$41</f>
        <v/>
      </c>
      <c r="I8" s="222" t="n"/>
    </row>
    <row r="9">
      <c r="B9" s="29" t="inlineStr">
        <is>
          <t>Penalty Interest</t>
        </is>
      </c>
      <c r="C9" s="224">
        <f>'Informe Subasta'!$D$12</f>
        <v/>
      </c>
      <c r="D9" s="185" t="inlineStr">
        <is>
          <t>Penalty Interest</t>
        </is>
      </c>
      <c r="E9" s="225">
        <f>+$E$25</f>
        <v/>
      </c>
      <c r="F9" s="177" t="inlineStr">
        <is>
          <t>Penalty Interest + Updated Interest</t>
        </is>
      </c>
      <c r="G9" s="226">
        <f>+$E$41</f>
        <v/>
      </c>
      <c r="H9" s="179" t="inlineStr">
        <is>
          <t>We are considering "Updated Interest" as "Penalty Interest"</t>
        </is>
      </c>
      <c r="I9" s="222" t="n"/>
    </row>
    <row r="10">
      <c r="B10" s="31" t="inlineStr">
        <is>
          <t>Updated Interest (Penalty)</t>
        </is>
      </c>
      <c r="C10" s="227">
        <f>G17</f>
        <v/>
      </c>
      <c r="D10" s="186" t="n"/>
      <c r="E10" s="184" t="n"/>
      <c r="F10" s="178" t="n"/>
      <c r="G10" s="184" t="n"/>
    </row>
    <row r="11">
      <c r="B11" s="33" t="inlineStr">
        <is>
          <t>Judicial Costs</t>
        </is>
      </c>
      <c r="C11" s="228">
        <f>+I17</f>
        <v/>
      </c>
      <c r="D11" s="24" t="inlineStr">
        <is>
          <t>Judicial Costs</t>
        </is>
      </c>
      <c r="E11" s="221">
        <f>+$F$25</f>
        <v/>
      </c>
      <c r="F11" s="35" t="inlineStr">
        <is>
          <t>Judicial Costs</t>
        </is>
      </c>
      <c r="G11" s="228">
        <f>+$F$41</f>
        <v/>
      </c>
      <c r="I11" s="20" t="n"/>
    </row>
    <row r="12">
      <c r="B12" s="22" t="inlineStr">
        <is>
          <t>Other Expenses</t>
        </is>
      </c>
      <c r="C12" s="223">
        <f>'Informe Subasta'!$D$13</f>
        <v/>
      </c>
      <c r="D12" s="22" t="inlineStr">
        <is>
          <t>Other Expenses</t>
        </is>
      </c>
      <c r="E12" s="229">
        <f>+$G$25</f>
        <v/>
      </c>
      <c r="F12" s="37" t="inlineStr">
        <is>
          <t>Other Expenses</t>
        </is>
      </c>
      <c r="G12" s="221">
        <f>+$G$41</f>
        <v/>
      </c>
      <c r="I12" s="20" t="n"/>
    </row>
    <row r="13">
      <c r="B13" s="38" t="inlineStr">
        <is>
          <t>TOTAL</t>
        </is>
      </c>
      <c r="C13" s="230">
        <f>SUM(C7:C11)</f>
        <v/>
      </c>
      <c r="D13" s="38" t="inlineStr">
        <is>
          <t>TOTAL</t>
        </is>
      </c>
      <c r="E13" s="231">
        <f>SUM(E7:E11)</f>
        <v/>
      </c>
      <c r="F13" s="38" t="inlineStr">
        <is>
          <t>TOTAL</t>
        </is>
      </c>
      <c r="G13" s="231">
        <f>SUM(G7:G12)</f>
        <v/>
      </c>
    </row>
    <row r="15">
      <c r="B15" s="173" t="inlineStr">
        <is>
          <t>DEBT CALCULATION (UPDATED INTEREST &amp; JUDICIAL COSTS)</t>
        </is>
      </c>
      <c r="C15" s="174" t="n"/>
      <c r="D15" s="174" t="n"/>
      <c r="E15" s="174" t="n"/>
      <c r="F15" s="174" t="n"/>
      <c r="G15" s="174" t="n"/>
      <c r="H15" s="174" t="n"/>
      <c r="I15" s="174" t="n"/>
      <c r="J15" s="179" t="inlineStr">
        <is>
          <t>*If any property is "First Residence", "Judicial Costs" are calculated and capped at 5% of the "Initial Claim Amount". Otherwise, the user must be able to enter the value manually</t>
        </is>
      </c>
      <c r="K15" s="71" t="inlineStr">
        <is>
          <t>Datos y modo se gestionan en «Informe Subasta». Vista enlazada (formato cliente).</t>
        </is>
      </c>
      <c r="S15" s="41" t="n"/>
    </row>
    <row r="16" ht="27" customHeight="1" s="123">
      <c r="B16" s="42" t="inlineStr">
        <is>
          <t>Account Closure Date</t>
        </is>
      </c>
      <c r="C16" s="42" t="inlineStr">
        <is>
          <t>Calculation Date</t>
        </is>
      </c>
      <c r="D16" s="42" t="inlineStr">
        <is>
          <t>Interest Applicable Rate (%)</t>
        </is>
      </c>
      <c r="E16" s="42" t="inlineStr">
        <is>
          <t>Penalty Interest Applicable Rate (%)</t>
        </is>
      </c>
      <c r="F16" s="42" t="inlineStr">
        <is>
          <t>Consumer</t>
        </is>
      </c>
      <c r="G16" s="42" t="inlineStr">
        <is>
          <t>Updated Interest  (€)</t>
        </is>
      </c>
      <c r="H16" s="42" t="inlineStr">
        <is>
          <t>First Residence</t>
        </is>
      </c>
      <c r="I16" s="42" t="inlineStr">
        <is>
          <t>Judicial Costs*</t>
        </is>
      </c>
      <c r="S16" s="41" t="n"/>
    </row>
    <row r="17">
      <c r="B17" s="43">
        <f>'Informe Subasta'!$D$15</f>
        <v/>
      </c>
      <c r="C17" s="43">
        <f>'Informe Subasta'!$D$16</f>
        <v/>
      </c>
      <c r="D17" s="232">
        <f>'Informe Subasta'!$D$22</f>
        <v/>
      </c>
      <c r="E17" s="232">
        <f>'Informe Subasta'!$D$23</f>
        <v/>
      </c>
      <c r="F17" s="233">
        <f>'Informe Subasta'!$D$21</f>
        <v/>
      </c>
      <c r="G17" s="234">
        <f>'Cálculo Intereses'!$D$21</f>
        <v/>
      </c>
      <c r="H17" s="233">
        <f>IF('Informe Subasta'!$D$17&gt;0,"Y","N")</f>
        <v/>
      </c>
      <c r="I17" s="235">
        <f>+IF($H$17="Y",($C$7+$C$8+$C$9+$C$12)*0.05,0)</f>
        <v/>
      </c>
    </row>
    <row r="19">
      <c r="B19" s="180" t="inlineStr">
        <is>
          <t>MAXIMUM SECURED AMOUNT</t>
        </is>
      </c>
      <c r="C19" s="176" t="n"/>
      <c r="D19" s="176" t="n"/>
      <c r="E19" s="176" t="n"/>
      <c r="F19" s="176" t="n"/>
      <c r="G19" s="176" t="n"/>
      <c r="H19" s="176" t="n"/>
      <c r="I19" s="176" t="n"/>
    </row>
    <row r="20" ht="27" customHeight="1" s="123">
      <c r="A20" s="48" t="n"/>
      <c r="B20" s="49" t="inlineStr">
        <is>
          <t>Property_ID</t>
        </is>
      </c>
      <c r="C20" s="49" t="inlineStr">
        <is>
          <t>Principal Maximum Secured Amount</t>
        </is>
      </c>
      <c r="D20" s="50" t="inlineStr">
        <is>
          <t>Interest Maximum Secured Amount</t>
        </is>
      </c>
      <c r="E20" s="50" t="inlineStr">
        <is>
          <t>Penalty Interest Maximum Secured Amount</t>
        </is>
      </c>
      <c r="F20" s="50" t="inlineStr">
        <is>
          <t>Judicial Costs Maximum Secured Amount</t>
        </is>
      </c>
      <c r="G20" s="50" t="inlineStr">
        <is>
          <t>Other Expenses Maximum Secured Amount</t>
        </is>
      </c>
      <c r="H20" s="51" t="inlineStr">
        <is>
          <t>Total R.H.</t>
        </is>
      </c>
      <c r="I20" s="52" t="inlineStr">
        <is>
          <t>% Property Weight</t>
        </is>
      </c>
      <c r="X20" s="48" t="n"/>
      <c r="Y20" s="48" t="n"/>
      <c r="Z20" s="48" t="n"/>
      <c r="AA20" s="48" t="n"/>
    </row>
    <row r="21">
      <c r="B21" s="53">
        <f>'Informe Subasta'!A30</f>
        <v/>
      </c>
      <c r="C21" s="236">
        <f>'Informe Subasta'!I30</f>
        <v/>
      </c>
      <c r="D21" s="237">
        <f>'Informe Subasta'!J30</f>
        <v/>
      </c>
      <c r="E21" s="237">
        <f>'Informe Subasta'!K30</f>
        <v/>
      </c>
      <c r="F21" s="237">
        <f>'Informe Subasta'!L30</f>
        <v/>
      </c>
      <c r="G21" s="238" t="n">
        <v>0</v>
      </c>
      <c r="H21" s="219">
        <f>+SUM(C21:F21)</f>
        <v/>
      </c>
      <c r="I21" s="57">
        <f>+H21/$H$25</f>
        <v/>
      </c>
    </row>
    <row r="22">
      <c r="B22" s="53">
        <f>'Informe Subasta'!A31</f>
        <v/>
      </c>
      <c r="C22" s="236">
        <f>'Informe Subasta'!I31</f>
        <v/>
      </c>
      <c r="D22" s="237">
        <f>'Informe Subasta'!J31</f>
        <v/>
      </c>
      <c r="E22" s="237">
        <f>'Informe Subasta'!K31</f>
        <v/>
      </c>
      <c r="F22" s="237">
        <f>'Informe Subasta'!L31</f>
        <v/>
      </c>
      <c r="G22" s="238" t="n">
        <v>0</v>
      </c>
      <c r="H22" s="219">
        <f>+SUM(C22:F22)</f>
        <v/>
      </c>
      <c r="I22" s="57">
        <f>+H22/$H$25</f>
        <v/>
      </c>
    </row>
    <row r="23">
      <c r="B23" s="53">
        <f>'Informe Subasta'!A32</f>
        <v/>
      </c>
      <c r="C23" s="236">
        <f>'Informe Subasta'!I32</f>
        <v/>
      </c>
      <c r="D23" s="237">
        <f>'Informe Subasta'!J32</f>
        <v/>
      </c>
      <c r="E23" s="237">
        <f>'Informe Subasta'!K32</f>
        <v/>
      </c>
      <c r="F23" s="237">
        <f>'Informe Subasta'!L32</f>
        <v/>
      </c>
      <c r="G23" s="238" t="n">
        <v>0</v>
      </c>
      <c r="H23" s="219">
        <f>+SUM(C23:F23)</f>
        <v/>
      </c>
      <c r="I23" s="57">
        <f>+H23/$H$25</f>
        <v/>
      </c>
    </row>
    <row r="24">
      <c r="B24" s="53">
        <f>'Informe Subasta'!A33</f>
        <v/>
      </c>
      <c r="C24" s="236">
        <f>'Informe Subasta'!I33</f>
        <v/>
      </c>
      <c r="D24" s="237">
        <f>'Informe Subasta'!J33</f>
        <v/>
      </c>
      <c r="E24" s="237">
        <f>'Informe Subasta'!K33</f>
        <v/>
      </c>
      <c r="F24" s="237">
        <f>'Informe Subasta'!L33</f>
        <v/>
      </c>
      <c r="G24" s="238" t="n">
        <v>0</v>
      </c>
      <c r="H24" s="219">
        <f>+SUM(C24:F24)</f>
        <v/>
      </c>
      <c r="I24" s="57">
        <f>+H24/$H$25</f>
        <v/>
      </c>
    </row>
    <row r="25">
      <c r="B25" s="58" t="inlineStr">
        <is>
          <t>TOTALES</t>
        </is>
      </c>
      <c r="C25" s="239">
        <f>+SUM(C$21:C$24)</f>
        <v/>
      </c>
      <c r="D25" s="239">
        <f>+SUM(D$21:D$24)</f>
        <v/>
      </c>
      <c r="E25" s="239">
        <f>+SUM(E$21:E$24)</f>
        <v/>
      </c>
      <c r="F25" s="239">
        <f>+SUM(F$21:F$24)</f>
        <v/>
      </c>
      <c r="G25" s="239">
        <f>+SUM(G$21:G$24)</f>
        <v/>
      </c>
      <c r="H25" s="239">
        <f>+SUM(H$21:H$24)</f>
        <v/>
      </c>
      <c r="I25" s="60">
        <f>+SUM(I$21:I$24)</f>
        <v/>
      </c>
    </row>
    <row r="27">
      <c r="B27" s="175" t="inlineStr">
        <is>
          <t>TOTAL UPDATED DEBT DISTRIBUTED BY (%)</t>
        </is>
      </c>
      <c r="C27" s="176" t="n"/>
      <c r="D27" s="176" t="n"/>
      <c r="E27" s="176" t="n"/>
      <c r="F27" s="176" t="n"/>
      <c r="G27" s="176" t="n"/>
      <c r="H27" s="176" t="n"/>
      <c r="L27" s="222" t="n"/>
    </row>
    <row r="28">
      <c r="B28" s="49" t="inlineStr">
        <is>
          <t>Property_ID</t>
        </is>
      </c>
      <c r="C28" s="49" t="inlineStr">
        <is>
          <t>Capital/Principal</t>
        </is>
      </c>
      <c r="D28" s="50" t="inlineStr">
        <is>
          <t>Interest</t>
        </is>
      </c>
      <c r="E28" s="50" t="inlineStr">
        <is>
          <t>Penalty Interest</t>
        </is>
      </c>
      <c r="F28" s="50" t="inlineStr">
        <is>
          <t>Judicial Costs</t>
        </is>
      </c>
      <c r="G28" s="50" t="inlineStr">
        <is>
          <t>Other Expenses</t>
        </is>
      </c>
      <c r="H28" s="51" t="inlineStr">
        <is>
          <t>TOTAL DEBT</t>
        </is>
      </c>
    </row>
    <row r="29">
      <c r="B29" s="61" t="n">
        <v>1</v>
      </c>
      <c r="C29" s="240">
        <f>$C$7*$I21</f>
        <v/>
      </c>
      <c r="D29" s="241">
        <f>$C$8*I21</f>
        <v/>
      </c>
      <c r="E29" s="241">
        <f>($C$9+$C$10)*$I21</f>
        <v/>
      </c>
      <c r="F29" s="241">
        <f>$C$11*$I21</f>
        <v/>
      </c>
      <c r="G29" s="241">
        <f>$C$12*$I21</f>
        <v/>
      </c>
      <c r="H29" s="242">
        <f>SUM(C29:G29)</f>
        <v/>
      </c>
    </row>
    <row r="30">
      <c r="B30" s="61" t="n">
        <v>2</v>
      </c>
      <c r="C30" s="240">
        <f>$C$7*$I22</f>
        <v/>
      </c>
      <c r="D30" s="241">
        <f>$C$8*I22</f>
        <v/>
      </c>
      <c r="E30" s="241">
        <f>($C$9+$C$10)*$I22</f>
        <v/>
      </c>
      <c r="F30" s="241">
        <f>$C$11*$I22</f>
        <v/>
      </c>
      <c r="G30" s="241">
        <f>$C$12*$I22</f>
        <v/>
      </c>
      <c r="H30" s="242">
        <f>SUM(C30:G30)</f>
        <v/>
      </c>
      <c r="R30" s="222" t="n"/>
    </row>
    <row r="31">
      <c r="B31" s="61" t="n">
        <v>3</v>
      </c>
      <c r="C31" s="240">
        <f>$C$7*$I23</f>
        <v/>
      </c>
      <c r="D31" s="241">
        <f>$C$8*I23</f>
        <v/>
      </c>
      <c r="E31" s="241">
        <f>($C$9+$C$10)*$I23</f>
        <v/>
      </c>
      <c r="F31" s="241">
        <f>$C$11*$I23</f>
        <v/>
      </c>
      <c r="G31" s="241">
        <f>$C$12*$I23</f>
        <v/>
      </c>
      <c r="H31" s="242">
        <f>SUM(C31:G31)</f>
        <v/>
      </c>
    </row>
    <row r="32">
      <c r="B32" s="65" t="n">
        <v>4</v>
      </c>
      <c r="C32" s="240">
        <f>$C$7*$I24</f>
        <v/>
      </c>
      <c r="D32" s="241">
        <f>$C$8*I24</f>
        <v/>
      </c>
      <c r="E32" s="241">
        <f>($C$9+$C$10)*$I24</f>
        <v/>
      </c>
      <c r="F32" s="241">
        <f>$C$11*$I24</f>
        <v/>
      </c>
      <c r="G32" s="241">
        <f>$C$12*$I24</f>
        <v/>
      </c>
      <c r="H32" s="242">
        <f>SUM(C32:G32)</f>
        <v/>
      </c>
    </row>
    <row r="33">
      <c r="B33" s="66" t="inlineStr">
        <is>
          <t>TOTALES</t>
        </is>
      </c>
      <c r="C33" s="239">
        <f>+SUM(C$29:C$32)</f>
        <v/>
      </c>
      <c r="D33" s="239">
        <f>+SUM(D$29:D$32)</f>
        <v/>
      </c>
      <c r="E33" s="239">
        <f>+SUM(E$29:E$32)</f>
        <v/>
      </c>
      <c r="F33" s="239">
        <f>+SUM(F$29:F$32)</f>
        <v/>
      </c>
      <c r="G33" s="239">
        <f>+SUM(G$29:G$32)</f>
        <v/>
      </c>
      <c r="H33" s="239">
        <f>+SUM(H$29:H$32)</f>
        <v/>
      </c>
    </row>
    <row r="35">
      <c r="B35" s="175" t="inlineStr">
        <is>
          <t>TOTAL LIMITED UPDATED DEBT DISTRIBUTED BY %</t>
        </is>
      </c>
      <c r="C35" s="176" t="n"/>
      <c r="D35" s="176" t="n"/>
      <c r="E35" s="176" t="n"/>
      <c r="F35" s="176" t="n"/>
      <c r="G35" s="176" t="n"/>
      <c r="H35" s="176" t="n"/>
    </row>
    <row r="36">
      <c r="B36" s="49" t="inlineStr">
        <is>
          <t>Property_ID</t>
        </is>
      </c>
      <c r="C36" s="49" t="inlineStr">
        <is>
          <t>Capital/Principal</t>
        </is>
      </c>
      <c r="D36" s="50" t="inlineStr">
        <is>
          <t>Interest</t>
        </is>
      </c>
      <c r="E36" s="50" t="inlineStr">
        <is>
          <t>Penalty Interest</t>
        </is>
      </c>
      <c r="F36" s="50" t="inlineStr">
        <is>
          <t>Judicial Costs</t>
        </is>
      </c>
      <c r="G36" s="50" t="inlineStr">
        <is>
          <t>Other Expenses</t>
        </is>
      </c>
      <c r="H36" s="51" t="inlineStr">
        <is>
          <t>TOTAL DEBT</t>
        </is>
      </c>
    </row>
    <row r="37">
      <c r="B37" s="61" t="n">
        <v>1</v>
      </c>
      <c r="C37" s="240">
        <f>MIN(($C$7*$I21),$C21)</f>
        <v/>
      </c>
      <c r="D37" s="240">
        <f>MIN(($C$8*$I21),$D21)</f>
        <v/>
      </c>
      <c r="E37" s="240">
        <f>MIN((($C$9+$C$10)*$I21),$E21)</f>
        <v/>
      </c>
      <c r="F37" s="240">
        <f>MIN(($C$11*$I21),$F21)</f>
        <v/>
      </c>
      <c r="G37" s="240">
        <f>MIN(($C$12*$I21),$G21)</f>
        <v/>
      </c>
      <c r="H37" s="242">
        <f>SUM(C37:G37)</f>
        <v/>
      </c>
    </row>
    <row r="38">
      <c r="B38" s="61" t="n">
        <v>2</v>
      </c>
      <c r="C38" s="240">
        <f>MIN(($C$7*$I22),$C22)</f>
        <v/>
      </c>
      <c r="D38" s="240">
        <f>MIN(($C$8*$I22),$D22)</f>
        <v/>
      </c>
      <c r="E38" s="240">
        <f>MIN((($C$9+$C$10)*$I22),$E22)</f>
        <v/>
      </c>
      <c r="F38" s="240">
        <f>MIN(($C$11*$I22),$F22)</f>
        <v/>
      </c>
      <c r="G38" s="240">
        <f>MIN(($C$12*$I22),$G22)</f>
        <v/>
      </c>
      <c r="H38" s="242">
        <f>SUM(C38:G38)</f>
        <v/>
      </c>
    </row>
    <row r="39">
      <c r="B39" s="61" t="n">
        <v>3</v>
      </c>
      <c r="C39" s="240">
        <f>MIN(($C$7*$I23),$C23)</f>
        <v/>
      </c>
      <c r="D39" s="240">
        <f>MIN(($C$8*$I23),$D23)</f>
        <v/>
      </c>
      <c r="E39" s="240">
        <f>MIN((($C$9+$C$10)*$I23),$E23)</f>
        <v/>
      </c>
      <c r="F39" s="240">
        <f>MIN(($C$11*$I23),$F23)</f>
        <v/>
      </c>
      <c r="G39" s="240">
        <f>MIN(($C$12*$I23),$G23)</f>
        <v/>
      </c>
      <c r="H39" s="242">
        <f>SUM(C39:G39)</f>
        <v/>
      </c>
    </row>
    <row r="40">
      <c r="B40" s="65" t="n">
        <v>4</v>
      </c>
      <c r="C40" s="240">
        <f>MIN(($C$7*$I24),$C24)</f>
        <v/>
      </c>
      <c r="D40" s="240">
        <f>MIN(($C$8*$I24),$D24)</f>
        <v/>
      </c>
      <c r="E40" s="240">
        <f>MIN((($C$9+$C$10)*$I24),$E24)</f>
        <v/>
      </c>
      <c r="F40" s="240">
        <f>MIN(($C$11*$I24),$F24)</f>
        <v/>
      </c>
      <c r="G40" s="240">
        <f>MIN(($C$12*$I24),$G24)</f>
        <v/>
      </c>
      <c r="H40" s="242">
        <f>SUM(C40:G40)</f>
        <v/>
      </c>
    </row>
    <row r="41">
      <c r="B41" s="66" t="inlineStr">
        <is>
          <t>TOTALES</t>
        </is>
      </c>
      <c r="C41" s="239">
        <f>+SUM(C$37:C$40)</f>
        <v/>
      </c>
      <c r="D41" s="239">
        <f>+SUM(D$37:D$40)</f>
        <v/>
      </c>
      <c r="E41" s="239">
        <f>+SUM(E$37:E$40)</f>
        <v/>
      </c>
      <c r="F41" s="239">
        <f>+SUM(F$37:F$40)</f>
        <v/>
      </c>
      <c r="G41" s="239">
        <f>+SUM(G$37:G$40)</f>
        <v/>
      </c>
      <c r="H41" s="239">
        <f>+SUM(H$37:H$40)</f>
        <v/>
      </c>
    </row>
  </sheetData>
  <mergeCells count="13">
    <mergeCell ref="D6:E6"/>
    <mergeCell ref="B6:C6"/>
    <mergeCell ref="G9:G10"/>
    <mergeCell ref="D9:D10"/>
    <mergeCell ref="E9:E10"/>
    <mergeCell ref="H9:H11"/>
    <mergeCell ref="B15:I15"/>
    <mergeCell ref="B27:H27"/>
    <mergeCell ref="F9:F10"/>
    <mergeCell ref="B35:H35"/>
    <mergeCell ref="J15:J17"/>
    <mergeCell ref="F6:G6"/>
    <mergeCell ref="B19:I1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B20"/>
  <sheetViews>
    <sheetView tabSelected="1" topLeftCell="A2" workbookViewId="0">
      <selection activeCell="G14" sqref="G14"/>
    </sheetView>
  </sheetViews>
  <sheetFormatPr baseColWidth="8" defaultRowHeight="14.5"/>
  <cols>
    <col width="3" customWidth="1" style="123" min="1" max="1"/>
    <col width="118" customWidth="1" style="123" min="2" max="2"/>
  </cols>
  <sheetData>
    <row r="2" ht="21" customHeight="1" s="123">
      <c r="B2" s="1" t="inlineStr">
        <is>
          <t>CÁLCULO DE DEUDA E INFORME DE SUBASTA</t>
        </is>
      </c>
    </row>
    <row r="4" ht="30" customHeight="1" s="123">
      <c r="B4" s="2" t="inlineStr">
        <is>
          <t>Todos los datos que usted introduce están en «Informe Subasta». Arriba un panel RESUMEN con KPIs; debajo los formularios en dos columnas y la tabla por finca.</t>
        </is>
      </c>
    </row>
    <row r="5" ht="15.75" customHeight="1" s="123">
      <c r="B5" s="3" t="inlineStr">
        <is>
          <t>Pestañas</t>
        </is>
      </c>
    </row>
    <row r="6" ht="30" customHeight="1" s="123">
      <c r="B6" s="2" t="inlineStr">
        <is>
          <t>• Informe Subasta — ÚNICA hoja de entrada. RESUMEN (dashboard) + formularios (izq: deuda e interés; dcha: subasta, devengo y check-list) + tabla por finca con límites registrales, distribución y pujas.</t>
        </is>
      </c>
    </row>
    <row r="7" ht="30" customHeight="1" s="123">
      <c r="B7" s="2" t="inlineStr">
        <is>
          <t>• Cálculo Intereses — cálculo automático por tramos (fijo/variable/legal) + mini-gráfico; enlazado, no se edita.</t>
        </is>
      </c>
    </row>
    <row r="8" ht="30" customHeight="1" s="123">
      <c r="B8" s="70" t="inlineStr">
        <is>
          <t>• Formato cliente — el mismo cálculo en formato cliente, enlazado.</t>
        </is>
      </c>
    </row>
    <row r="9" ht="30" customHeight="1" s="123">
      <c r="B9" s="2" t="inlineStr">
        <is>
          <t>• Tipos BdE — tipos del Banco de España (actualícelos con «Actualizar_Tipos_BdE.bat»).</t>
        </is>
      </c>
    </row>
    <row r="10" ht="15.75" customHeight="1" s="123">
      <c r="B10" s="3" t="inlineStr">
        <is>
          <t>Código de colores</t>
        </is>
      </c>
    </row>
    <row r="11" ht="30" customHeight="1" s="123">
      <c r="B11" s="2" t="inlineStr">
        <is>
          <t>Azul = entrada · Verde = enlace (no editar) · Morado = interruptor · Amarillo = total · Blanco = fórmula.</t>
        </is>
      </c>
    </row>
    <row r="12" ht="15.75" customHeight="1" s="123">
      <c r="B12" s="3" t="inlineStr">
        <is>
          <t>Lógica</t>
        </is>
      </c>
    </row>
    <row r="13" ht="30" customHeight="1" s="123">
      <c r="B13" s="70" t="inlineStr">
        <is>
          <t xml:space="preserve">Interés simple Actual/365 = capital × tipo% × días ÷ 36.500. </t>
        </is>
      </c>
    </row>
    <row r="15">
      <c r="B15" s="74" t="inlineStr">
        <is>
          <t>Criterios de adjudicación (valor mínimo - Previo Ley 1/2025):</t>
        </is>
      </c>
    </row>
    <row r="16">
      <c r="B16" s="86" t="inlineStr">
        <is>
          <t>1. Si NO es vivienda habitual: adjudicación sin postores = MÍN(50% del tipo de subasta, deuda total).</t>
        </is>
      </c>
    </row>
    <row r="17">
      <c r="B17" s="86" t="inlineStr">
        <is>
          <t>2. Si es vivienda habitual y la deuda supera el 70%: adjudicación = 70% del tipo de subasta.</t>
        </is>
      </c>
    </row>
    <row r="18">
      <c r="B18" s="86" t="inlineStr">
        <is>
          <t>3. Si es vivienda habitual y la deuda es inferior al 70%: adjudicación = 60% del tipo de subasta.</t>
        </is>
      </c>
    </row>
    <row r="19">
      <c r="B19" s="86" t="inlineStr">
        <is>
          <t>4. Si hay riesgo de cash-out: puja de tercero vía REOCO = MÍN(51% del tipo de subasta, deuda total).</t>
        </is>
      </c>
    </row>
    <row r="20">
      <c r="B20" s="87" t="inlineStr">
        <is>
          <t>(Régimen POST Ley 1/2025: suelos 40/50/60/70% según vivienda habitual.)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0" sqref="A10"/>
    </sheetView>
  </sheetViews>
  <sheetFormatPr baseColWidth="8" defaultRowHeight="14.5"/>
  <cols>
    <col width="15.54296875" bestFit="1" customWidth="1" style="123" min="1" max="1"/>
    <col width="6.7265625" bestFit="1" customWidth="1" style="123" min="2" max="2"/>
    <col width="10.54296875" bestFit="1" customWidth="1" style="123" min="3" max="3"/>
    <col width="9.54296875" bestFit="1" customWidth="1" style="123" min="4" max="4"/>
    <col width="10.54296875" bestFit="1" customWidth="1" style="123" min="5" max="5"/>
    <col width="9.54296875" bestFit="1" customWidth="1" style="123" min="6" max="6"/>
    <col width="10.54296875" bestFit="1" customWidth="1" style="123" min="7" max="7"/>
    <col width="10.7265625" bestFit="1" customWidth="1" style="123" min="8" max="9"/>
    <col width="9.54296875" bestFit="1" customWidth="1" style="123" min="10" max="10"/>
    <col width="8" bestFit="1" customWidth="1" style="123" min="11" max="11"/>
    <col width="9" bestFit="1" customWidth="1" style="123" min="12" max="12"/>
    <col width="8.81640625" bestFit="1" customWidth="1" style="123" min="13" max="13"/>
    <col width="17.54296875" bestFit="1" customWidth="1" style="123" min="14" max="14"/>
    <col width="8.7265625" bestFit="1" customWidth="1" style="123" min="15" max="15"/>
    <col width="8.54296875" bestFit="1" customWidth="1" style="123" min="16" max="16"/>
    <col width="10.7265625" bestFit="1" customWidth="1" style="123" min="17" max="17"/>
    <col width="6.453125" bestFit="1" customWidth="1" style="123" min="18" max="18"/>
    <col width="8.54296875" bestFit="1" customWidth="1" style="123" min="19" max="19"/>
    <col width="7.26953125" bestFit="1" customWidth="1" style="123" min="20" max="20"/>
    <col width="7.81640625" bestFit="1" customWidth="1" style="123" min="21" max="21"/>
    <col width="8.7265625" bestFit="1" customWidth="1" style="123" min="22" max="22"/>
    <col width="7" bestFit="1" customWidth="1" style="123" min="23" max="23"/>
    <col width="5.81640625" bestFit="1" customWidth="1" style="123" min="24" max="24"/>
    <col width="10.54296875" bestFit="1" customWidth="1" style="123" min="25" max="25"/>
    <col width="11.54296875" bestFit="1" customWidth="1" style="123" min="26" max="26"/>
    <col width="9.54296875" bestFit="1" customWidth="1" style="123" min="27" max="27"/>
    <col width="11.54296875" bestFit="1" customWidth="1" style="123" min="28" max="29"/>
    <col width="5" bestFit="1" customWidth="1" style="123" min="30" max="30"/>
    <col width="12" bestFit="1" customWidth="1" style="123" min="31" max="31"/>
    <col width="11.54296875" bestFit="1" customWidth="1" style="123" min="32" max="32"/>
    <col width="10.54296875" bestFit="1" customWidth="1" style="123" min="33" max="33"/>
    <col width="7.81640625" bestFit="1" customWidth="1" style="123" min="34" max="34"/>
    <col width="11.54296875" bestFit="1" customWidth="1" style="123" min="35" max="35"/>
  </cols>
  <sheetData>
    <row r="1" ht="36.75" customHeight="1" s="123">
      <c r="A1" s="119" t="inlineStr">
        <is>
          <t>FechaGuardado</t>
        </is>
      </c>
      <c r="B1" s="119" t="inlineStr">
        <is>
          <t>LegalID</t>
        </is>
      </c>
      <c r="C1" s="119" t="inlineStr">
        <is>
          <t>LoanID</t>
        </is>
      </c>
      <c r="D1" s="119" t="inlineStr">
        <is>
          <t>LoanNumber</t>
        </is>
      </c>
      <c r="E1" s="119" t="inlineStr">
        <is>
          <t>OriginalLoanNumber</t>
        </is>
      </c>
      <c r="F1" s="119" t="inlineStr">
        <is>
          <t>Principal</t>
        </is>
      </c>
      <c r="G1" s="119" t="inlineStr">
        <is>
          <t>Interest</t>
        </is>
      </c>
      <c r="H1" s="119" t="inlineStr">
        <is>
          <t>PenaltyInterest</t>
        </is>
      </c>
      <c r="I1" s="119" t="inlineStr">
        <is>
          <t>Expenses</t>
        </is>
      </c>
      <c r="J1" s="119" t="inlineStr">
        <is>
          <t>JudicialCostsAmount</t>
        </is>
      </c>
      <c r="K1" s="119" t="inlineStr">
        <is>
          <t>AccountClosureDate</t>
        </is>
      </c>
      <c r="L1" s="119" t="inlineStr">
        <is>
          <t>CalculationDate</t>
        </is>
      </c>
      <c r="M1" s="119" t="inlineStr">
        <is>
          <t>Mode</t>
        </is>
      </c>
      <c r="N1" s="119" t="inlineStr">
        <is>
          <t>IsConsumer</t>
        </is>
      </c>
      <c r="O1" s="119" t="inlineStr">
        <is>
          <t>InterestApplicableRate(%)</t>
        </is>
      </c>
      <c r="P1" s="119" t="inlineStr">
        <is>
          <t>PenaltyInterestApplicableRate(%)</t>
        </is>
      </c>
      <c r="Q1" s="119" t="inlineStr">
        <is>
          <t>ReferenceRate</t>
        </is>
      </c>
      <c r="R1" s="119" t="inlineStr">
        <is>
          <t>DifferentialRate</t>
        </is>
      </c>
      <c r="S1" s="119" t="inlineStr">
        <is>
          <t>UpdateRateFrequency</t>
        </is>
      </c>
      <c r="T1" s="119" t="inlineStr">
        <is>
          <t>LastRateUpdateDate</t>
        </is>
      </c>
      <c r="U1" s="119" t="inlineStr">
        <is>
          <t>RateDelay</t>
        </is>
      </c>
      <c r="V1" s="119" t="inlineStr">
        <is>
          <t>NegativeRatesToZero</t>
        </is>
      </c>
      <c r="W1" s="119" t="inlineStr">
        <is>
          <t>Law12025Regime</t>
        </is>
      </c>
      <c r="X1" s="119" t="inlineStr">
        <is>
          <t>ExecutionOrderAmount</t>
        </is>
      </c>
      <c r="Y1" s="119" t="inlineStr">
        <is>
          <t>BudgetAmount</t>
        </is>
      </c>
      <c r="Z1" s="119" t="inlineStr">
        <is>
          <t>SecondLienAmount</t>
        </is>
      </c>
      <c r="AA1" s="119" t="inlineStr">
        <is>
          <t>ThirdLienAmount</t>
        </is>
      </c>
      <c r="AB1" s="119" t="inlineStr">
        <is>
          <t>UpdatedInterestAmount</t>
        </is>
      </c>
      <c r="AC1" s="119" t="inlineStr">
        <is>
          <t>Total_ADE</t>
        </is>
      </c>
      <c r="AD1" s="119" t="inlineStr">
        <is>
          <t>Costas_aplicada</t>
        </is>
      </c>
      <c r="AE1" s="119" t="inlineStr">
        <is>
          <t>TOTAL_DEUDA</t>
        </is>
      </c>
      <c r="AF1" s="119" t="inlineStr">
        <is>
          <t>TOTAL_DEUDAS_cargas</t>
        </is>
      </c>
      <c r="AG1" s="119" t="inlineStr">
        <is>
          <t>Dias</t>
        </is>
      </c>
      <c r="AH1" s="119" t="inlineStr">
        <is>
          <t>Tipo_medio</t>
        </is>
      </c>
      <c r="AI1" s="119" t="inlineStr">
        <is>
          <t>Puja_LOANCO</t>
        </is>
      </c>
      <c r="AJ1" s="119" t="inlineStr">
        <is>
          <t>Puja_REOCO</t>
        </is>
      </c>
      <c r="AK1" s="119" t="inlineStr">
        <is>
          <t>Cobertura</t>
        </is>
      </c>
      <c r="AL1" s="119" t="inlineStr">
        <is>
          <t>Cash_out</t>
        </is>
      </c>
    </row>
    <row r="2">
      <c r="C2" s="243" t="n"/>
      <c r="D2" s="243" t="n"/>
      <c r="E2" s="243" t="n"/>
      <c r="F2" s="243" t="n"/>
      <c r="G2" s="243" t="n"/>
      <c r="H2" s="77" t="n"/>
      <c r="I2" s="77" t="n"/>
      <c r="Q2" s="77" t="n"/>
      <c r="Y2" s="243" t="n"/>
      <c r="Z2" s="243" t="n"/>
      <c r="AA2" s="243" t="n"/>
      <c r="AB2" s="243" t="n"/>
      <c r="AC2" s="243" t="n"/>
      <c r="AF2" s="243" t="n"/>
      <c r="AG2" s="243" t="n"/>
      <c r="AH2" s="244" t="n"/>
      <c r="AI2" s="243" t="n"/>
    </row>
    <row r="3">
      <c r="C3" s="243" t="n"/>
      <c r="D3" s="243" t="n"/>
      <c r="E3" s="243" t="n"/>
      <c r="F3" s="243" t="n"/>
      <c r="G3" s="243" t="n"/>
      <c r="H3" s="77" t="n"/>
      <c r="I3" s="77" t="n"/>
      <c r="Q3" s="77" t="n"/>
      <c r="Y3" s="243" t="n"/>
      <c r="Z3" s="243" t="n"/>
      <c r="AA3" s="243" t="n"/>
      <c r="AB3" s="243" t="n"/>
      <c r="AC3" s="243" t="n"/>
      <c r="AF3" s="243" t="n"/>
      <c r="AG3" s="243" t="n"/>
      <c r="AH3" s="244" t="n"/>
      <c r="AI3" s="24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D5" sqref="D5"/>
    </sheetView>
  </sheetViews>
  <sheetFormatPr baseColWidth="8" defaultRowHeight="14.5"/>
  <cols>
    <col width="6.7265625" bestFit="1" customWidth="1" style="123" min="1" max="1"/>
    <col width="6" bestFit="1" customWidth="1" style="123" min="2" max="2"/>
    <col width="3.1796875" bestFit="1" customWidth="1" style="123" min="3" max="3"/>
    <col width="8.54296875" bestFit="1" customWidth="1" style="123" min="4" max="4"/>
    <col width="11.54296875" bestFit="1" customWidth="1" style="123" min="5" max="6"/>
    <col width="10.54296875" bestFit="1" customWidth="1" style="123" min="7" max="8"/>
    <col width="9.54296875" bestFit="1" customWidth="1" style="123" min="9" max="9"/>
    <col width="6.81640625" bestFit="1" customWidth="1" style="123" min="11" max="11"/>
    <col width="8.453125" bestFit="1" customWidth="1" style="123" min="12" max="12"/>
    <col width="6.1796875" bestFit="1" customWidth="1" style="123" min="13" max="13"/>
    <col width="10.54296875" bestFit="1" customWidth="1" style="123" min="14" max="14"/>
    <col width="10.54296875" bestFit="1" customWidth="1" style="123" min="16" max="16"/>
    <col width="9.54296875" bestFit="1" customWidth="1" style="123" min="17" max="17"/>
    <col width="10.54296875" bestFit="1" customWidth="1" style="123" min="18" max="19"/>
    <col width="11.54296875" bestFit="1" customWidth="1" style="123" min="20" max="22"/>
    <col width="10.54296875" bestFit="1" customWidth="1" style="123" min="23" max="23"/>
    <col width="8.26953125" bestFit="1" customWidth="1" style="123" min="24" max="24"/>
  </cols>
  <sheetData>
    <row r="1" ht="24.75" customHeight="1" s="123">
      <c r="A1" s="119" t="inlineStr">
        <is>
          <t>LegalID</t>
        </is>
      </c>
      <c r="B1" s="119" t="inlineStr">
        <is>
          <t>LoanID</t>
        </is>
      </c>
      <c r="C1" s="119" t="inlineStr">
        <is>
          <t>PropertyID</t>
        </is>
      </c>
      <c r="D1" s="119" t="inlineStr">
        <is>
          <t>IsFirstResidence</t>
        </is>
      </c>
      <c r="E1" s="119" t="inlineStr">
        <is>
          <t>LoancoReoco</t>
        </is>
      </c>
      <c r="F1" s="119" t="inlineStr">
        <is>
          <t>BaseAmount</t>
        </is>
      </c>
      <c r="G1" s="119" t="inlineStr">
        <is>
          <t>CapitalMSA</t>
        </is>
      </c>
      <c r="H1" s="119" t="inlineStr">
        <is>
          <t>InterestMSA</t>
        </is>
      </c>
      <c r="I1" s="119" t="inlineStr">
        <is>
          <t>PenaltyInterestMSA</t>
        </is>
      </c>
      <c r="J1" s="119" t="inlineStr">
        <is>
          <t>OtherExp+JudCosts MSA</t>
        </is>
      </c>
      <c r="K1" s="119" t="inlineStr">
        <is>
          <t>CadastralReference</t>
        </is>
      </c>
      <c r="L1" s="119" t="inlineStr">
        <is>
          <t>LandRegistry</t>
        </is>
      </c>
      <c r="M1" s="119" t="inlineStr">
        <is>
          <t>TomoLibroFolio</t>
        </is>
      </c>
      <c r="N1" s="119" t="inlineStr">
        <is>
          <t>Peso</t>
        </is>
      </c>
      <c r="O1" s="119" t="inlineStr">
        <is>
          <t>Capital_deuda</t>
        </is>
      </c>
      <c r="P1" s="119" t="inlineStr">
        <is>
          <t>Ordinarios_deuda</t>
        </is>
      </c>
      <c r="Q1" s="119" t="inlineStr">
        <is>
          <t>Moratorios_deuda</t>
        </is>
      </c>
      <c r="R1" s="119" t="inlineStr">
        <is>
          <t>Costas_deuda</t>
        </is>
      </c>
      <c r="S1" s="119" t="inlineStr">
        <is>
          <t>TOTAL_DEBT</t>
        </is>
      </c>
      <c r="T1" s="119" t="inlineStr">
        <is>
          <t>Cargas</t>
        </is>
      </c>
      <c r="U1" s="119" t="inlineStr">
        <is>
          <t>TOTAL_cargas</t>
        </is>
      </c>
      <c r="V1" s="119" t="inlineStr">
        <is>
          <t>Puja_LOANCO</t>
        </is>
      </c>
      <c r="W1" s="119" t="inlineStr">
        <is>
          <t>Cash_out_LOANCO</t>
        </is>
      </c>
      <c r="X1" s="119" t="inlineStr">
        <is>
          <t>Puja_REOCO</t>
        </is>
      </c>
      <c r="Y1" s="119" t="inlineStr">
        <is>
          <t>Cash_out_REOCO</t>
        </is>
      </c>
    </row>
    <row r="2">
      <c r="E2" s="243" t="n"/>
      <c r="F2" s="243" t="n"/>
      <c r="G2" s="243" t="n"/>
      <c r="H2" s="243" t="n"/>
      <c r="I2" s="243" t="n"/>
      <c r="M2" s="244" t="n"/>
      <c r="N2" s="243" t="n"/>
      <c r="O2" s="243" t="n"/>
      <c r="P2" s="243" t="n"/>
      <c r="Q2" s="243" t="n"/>
      <c r="R2" s="243" t="n"/>
      <c r="S2" s="243" t="n"/>
      <c r="T2" s="243" t="n"/>
      <c r="U2" s="243" t="n"/>
      <c r="V2" s="243" t="n"/>
      <c r="W2" s="243" t="n"/>
      <c r="X2" s="243" t="n"/>
    </row>
    <row r="3">
      <c r="E3" s="243" t="n"/>
      <c r="F3" s="243" t="n"/>
      <c r="G3" s="243" t="n"/>
      <c r="H3" s="243" t="n"/>
      <c r="I3" s="243" t="n"/>
      <c r="M3" s="244" t="n"/>
      <c r="N3" s="243" t="n"/>
      <c r="O3" s="243" t="n"/>
      <c r="P3" s="243" t="n"/>
      <c r="Q3" s="243" t="n"/>
      <c r="R3" s="243" t="n"/>
      <c r="S3" s="243" t="n"/>
      <c r="T3" s="243" t="n"/>
      <c r="U3" s="243" t="n"/>
      <c r="V3" s="243" t="n"/>
      <c r="W3" s="243" t="n"/>
      <c r="X3" s="243" t="n"/>
    </row>
    <row r="4">
      <c r="E4" s="243" t="n"/>
      <c r="F4" s="243" t="n"/>
      <c r="G4" s="243" t="n"/>
      <c r="H4" s="243" t="n"/>
      <c r="I4" s="243" t="n"/>
      <c r="M4" s="244" t="n"/>
      <c r="N4" s="243" t="n"/>
      <c r="O4" s="243" t="n"/>
      <c r="P4" s="243" t="n"/>
      <c r="Q4" s="243" t="n"/>
      <c r="R4" s="243" t="n"/>
      <c r="S4" s="243" t="n"/>
      <c r="T4" s="243" t="n"/>
      <c r="U4" s="243" t="n"/>
      <c r="V4" s="243" t="n"/>
      <c r="W4" s="243" t="n"/>
      <c r="X4" s="243" t="n"/>
    </row>
    <row r="5">
      <c r="E5" s="243" t="n"/>
      <c r="F5" s="243" t="n"/>
      <c r="G5" s="243" t="n"/>
      <c r="H5" s="243" t="n"/>
      <c r="I5" s="243" t="n"/>
      <c r="M5" s="244" t="n"/>
      <c r="N5" s="243" t="n"/>
      <c r="O5" s="243" t="n"/>
      <c r="P5" s="243" t="n"/>
      <c r="Q5" s="243" t="n"/>
      <c r="R5" s="243" t="n"/>
      <c r="S5" s="243" t="n"/>
      <c r="T5" s="243" t="n"/>
      <c r="U5" s="243" t="n"/>
      <c r="V5" s="243" t="n"/>
      <c r="W5" s="243" t="n"/>
      <c r="X5" s="24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theme="6" tint="0.7999816888943144"/>
    <outlinePr summaryBelow="1" summaryRight="1"/>
    <pageSetUpPr fitToPage="1"/>
  </sheetPr>
  <dimension ref="A1:P304"/>
  <sheetViews>
    <sheetView workbookViewId="0">
      <selection activeCell="A1" sqref="A1"/>
    </sheetView>
  </sheetViews>
  <sheetFormatPr baseColWidth="8" defaultRowHeight="14.5"/>
  <cols>
    <col width="26" customWidth="1" style="123" min="1" max="1"/>
    <col width="3" customWidth="1" style="123" min="2" max="3"/>
    <col width="11" customWidth="1" style="123" min="4" max="4"/>
    <col width="7.26953125" customWidth="1" style="123" min="5" max="5"/>
    <col width="2" customWidth="1" style="123" min="6" max="6"/>
    <col width="6" customWidth="1" style="123" min="7" max="7"/>
    <col width="13" customWidth="1" style="123" min="8" max="9"/>
    <col width="7" customWidth="1" style="123" min="10" max="10"/>
    <col width="13" customWidth="1" style="123" min="11" max="11"/>
    <col width="12" customWidth="1" style="123" min="12" max="14"/>
    <col width="14" customWidth="1" style="123" min="15" max="15"/>
    <col width="16" customWidth="1" style="123" min="16" max="16"/>
  </cols>
  <sheetData>
    <row r="1" ht="15.75" customHeight="1" s="123">
      <c r="A1" s="160" t="inlineStr">
        <is>
          <t>CÁLCULO AUTOMÁTICO DE INTERESES (por tramos)</t>
        </is>
      </c>
    </row>
    <row r="2">
      <c r="A2" s="162" t="inlineStr">
        <is>
          <t>Interés simple, Actual/365 = capital × tipo% × días ÷ 36.500. Datos enlazados desde «Informe Subasta» (no editar aquí).</t>
        </is>
      </c>
    </row>
    <row r="4" ht="26.15" customHeight="1" s="123">
      <c r="A4" s="144" t="inlineStr">
        <is>
          <t>PARÁMETROS (enlazados)</t>
        </is>
      </c>
      <c r="B4" s="131" t="n"/>
      <c r="C4" s="131" t="n"/>
      <c r="D4" s="131" t="n"/>
      <c r="E4" s="132" t="n"/>
      <c r="G4" s="4" t="inlineStr">
        <is>
          <t>Nº</t>
        </is>
      </c>
      <c r="H4" s="4" t="inlineStr">
        <is>
          <t>Fecha inicio</t>
        </is>
      </c>
      <c r="I4" s="4" t="inlineStr">
        <is>
          <t>Fecha fin</t>
        </is>
      </c>
      <c r="J4" s="4" t="inlineStr">
        <is>
          <t>Días</t>
        </is>
      </c>
      <c r="K4" s="4" t="inlineStr">
        <is>
          <t>Fecha ref. tipo</t>
        </is>
      </c>
      <c r="L4" s="4" t="inlineStr">
        <is>
          <t>Tipo base (%)</t>
        </is>
      </c>
      <c r="M4" s="4" t="inlineStr">
        <is>
          <t>Diferencial (%)</t>
        </is>
      </c>
      <c r="N4" s="4" t="inlineStr">
        <is>
          <t>Tipo aplicado (%)</t>
        </is>
      </c>
      <c r="O4" s="4" t="inlineStr">
        <is>
          <t>Intereses (€)</t>
        </is>
      </c>
      <c r="P4" s="4" t="inlineStr">
        <is>
          <t>Deuda acumulada (€)</t>
        </is>
      </c>
    </row>
    <row r="5">
      <c r="A5" s="135" t="inlineStr">
        <is>
          <t>Principal (€)</t>
        </is>
      </c>
      <c r="B5" s="131" t="n"/>
      <c r="C5" s="132" t="n"/>
      <c r="D5" s="194">
        <f>'Informe Subasta'!$D$10</f>
        <v/>
      </c>
      <c r="E5" s="132" t="n"/>
      <c r="G5" s="11">
        <f>IF(H5="","",ROW()-4)</f>
        <v/>
      </c>
      <c r="H5" s="12">
        <f>$D$6</f>
        <v/>
      </c>
      <c r="I5" s="12">
        <f>IF(H5="","",MIN(IF($D$18="LEGAL",DATE(YEAR(H5)+1,1,1),EDATE($D$12,$D$11*(INT((((YEAR(H5)-YEAR($D$12))*12+(MONTH(H5)-MONTH($D$12))-IF(DAY(H5)&lt;DAY($D$12),1,0))/$D$11))+1))),$D$7))</f>
        <v/>
      </c>
      <c r="J5" s="11">
        <f>IF(H5="","",I5-H5)</f>
        <v/>
      </c>
      <c r="K5" s="12">
        <f>IF(H5="","",IF($D$18="LEGAL",H5,EDATE($D$12,-$D$13)))</f>
        <v/>
      </c>
      <c r="L5" s="13">
        <f>IF(H5="","",IFERROR(INDEX('Tipos BdE'!$B$7:$M$336,MATCH(DATE(YEAR(K5),MONTH(K5),1),'Tipos BdE'!$A$7:$A$336,1),MATCH($D$9,'Tipos BdE'!$B$6:$M$6,0)),0))</f>
        <v/>
      </c>
      <c r="M5" s="13">
        <f>IF(H5="","",IF($D$18="LEGAL",0,$D$10))</f>
        <v/>
      </c>
      <c r="N5" s="13">
        <f>IF(H5="","",IF(AND($D$14="Sí",(L5+M5)&lt;0),0,L5+M5))</f>
        <v/>
      </c>
      <c r="O5" s="199">
        <f>IF(H5="","",$D$5*N5*J5/36500)</f>
        <v/>
      </c>
      <c r="P5" s="199">
        <f>IF(H5="","",$D$5+SUM($O$5:O5))</f>
        <v/>
      </c>
    </row>
    <row r="6">
      <c r="A6" s="135" t="inlineStr">
        <is>
          <t>AccountClosureDate (cierre)</t>
        </is>
      </c>
      <c r="B6" s="131" t="n"/>
      <c r="C6" s="132" t="n"/>
      <c r="D6" s="158">
        <f>'Informe Subasta'!$D$15</f>
        <v/>
      </c>
      <c r="E6" s="132" t="n"/>
      <c r="G6" s="11">
        <f>IF(H6="","",ROW()-4)</f>
        <v/>
      </c>
      <c r="H6" s="12">
        <f>IF(OR(I5="",I5&gt;=$D$7),"",I5)</f>
        <v/>
      </c>
      <c r="I6" s="12">
        <f>IF(H6="","",MIN(IF($D$18="LEGAL",DATE(YEAR(H6)+1,1,1),EDATE($D$12,$D$11*(INT((((YEAR(H6)-YEAR($D$12))*12+(MONTH(H6)-MONTH($D$12))-IF(DAY(H6)&lt;DAY($D$12),1,0))/$D$11))+1))),$D$7))</f>
        <v/>
      </c>
      <c r="J6" s="11">
        <f>IF(H6="","",I6-H6)</f>
        <v/>
      </c>
      <c r="K6" s="12">
        <f>IF(H6="","",IF($D$18="LEGAL",H6,EDATE(H6,-$D$13)))</f>
        <v/>
      </c>
      <c r="L6" s="13">
        <f>IF(H6="","",IFERROR(INDEX('Tipos BdE'!$B$7:$M$336,MATCH(DATE(YEAR(K6),MONTH(K6),1),'Tipos BdE'!$A$7:$A$336,1),MATCH($D$9,'Tipos BdE'!$B$6:$M$6,0)),0))</f>
        <v/>
      </c>
      <c r="M6" s="13">
        <f>IF(H6="","",IF($D$18="LEGAL",0,$D$10))</f>
        <v/>
      </c>
      <c r="N6" s="13">
        <f>IF(H6="","",IF(AND($D$14="Sí",(L6+M6)&lt;0),0,L6+M6))</f>
        <v/>
      </c>
      <c r="O6" s="199">
        <f>IF(H6="","",$D$5*N6*J6/36500)</f>
        <v/>
      </c>
      <c r="P6" s="199">
        <f>IF(H6="","",$D$5+SUM($O$5:O6))</f>
        <v/>
      </c>
    </row>
    <row r="7">
      <c r="A7" s="135" t="inlineStr">
        <is>
          <t>CalculationDate</t>
        </is>
      </c>
      <c r="B7" s="131" t="n"/>
      <c r="C7" s="132" t="n"/>
      <c r="D7" s="158">
        <f>'Informe Subasta'!$D$16</f>
        <v/>
      </c>
      <c r="E7" s="132" t="n"/>
      <c r="G7" s="11">
        <f>IF(H7="","",ROW()-4)</f>
        <v/>
      </c>
      <c r="H7" s="12">
        <f>IF(OR(I6="",I6&gt;=$D$7),"",I6)</f>
        <v/>
      </c>
      <c r="I7" s="12">
        <f>IF(H7="","",MIN(IF($D$18="LEGAL",DATE(YEAR(H7)+1,1,1),EDATE($D$12,$D$11*(INT((((YEAR(H7)-YEAR($D$12))*12+(MONTH(H7)-MONTH($D$12))-IF(DAY(H7)&lt;DAY($D$12),1,0))/$D$11))+1))),$D$7))</f>
        <v/>
      </c>
      <c r="J7" s="11">
        <f>IF(H7="","",I7-H7)</f>
        <v/>
      </c>
      <c r="K7" s="12">
        <f>IF(H7="","",IF($D$18="LEGAL",H7,EDATE(H7,-$D$13)))</f>
        <v/>
      </c>
      <c r="L7" s="13">
        <f>IF(H7="","",IFERROR(INDEX('Tipos BdE'!$B$7:$M$336,MATCH(DATE(YEAR(K7),MONTH(K7),1),'Tipos BdE'!$A$7:$A$336,1),MATCH($D$9,'Tipos BdE'!$B$6:$M$6,0)),0))</f>
        <v/>
      </c>
      <c r="M7" s="13">
        <f>IF(H7="","",IF($D$18="LEGAL",0,$D$10))</f>
        <v/>
      </c>
      <c r="N7" s="13">
        <f>IF(H7="","",IF(AND($D$14="Sí",(L7+M7)&lt;0),0,L7+M7))</f>
        <v/>
      </c>
      <c r="O7" s="199">
        <f>IF(H7="","",$D$5*N7*J7/36500)</f>
        <v/>
      </c>
      <c r="P7" s="199">
        <f>IF(H7="","",$D$5+SUM($O$5:O7))</f>
        <v/>
      </c>
    </row>
    <row r="8">
      <c r="A8" s="135" t="inlineStr">
        <is>
          <t>Mode</t>
        </is>
      </c>
      <c r="B8" s="131" t="n"/>
      <c r="C8" s="132" t="n"/>
      <c r="D8" s="140">
        <f>'Informe Subasta'!$D$20</f>
        <v/>
      </c>
      <c r="E8" s="132" t="n"/>
      <c r="G8" s="11">
        <f>IF(H8="","",ROW()-4)</f>
        <v/>
      </c>
      <c r="H8" s="12">
        <f>IF(OR(I7="",I7&gt;=$D$7),"",I7)</f>
        <v/>
      </c>
      <c r="I8" s="12">
        <f>IF(H8="","",MIN(IF($D$18="LEGAL",DATE(YEAR(H8)+1,1,1),EDATE($D$12,$D$11*(INT((((YEAR(H8)-YEAR($D$12))*12+(MONTH(H8)-MONTH($D$12))-IF(DAY(H8)&lt;DAY($D$12),1,0))/$D$11))+1))),$D$7))</f>
        <v/>
      </c>
      <c r="J8" s="11">
        <f>IF(H8="","",I8-H8)</f>
        <v/>
      </c>
      <c r="K8" s="12">
        <f>IF(H8="","",IF($D$18="LEGAL",H8,EDATE(H8,-$D$13)))</f>
        <v/>
      </c>
      <c r="L8" s="13">
        <f>IF(H8="","",IFERROR(INDEX('Tipos BdE'!$B$7:$M$336,MATCH(DATE(YEAR(K8),MONTH(K8),1),'Tipos BdE'!$A$7:$A$336,1),MATCH($D$9,'Tipos BdE'!$B$6:$M$6,0)),0))</f>
        <v/>
      </c>
      <c r="M8" s="13">
        <f>IF(H8="","",IF($D$18="LEGAL",0,$D$10))</f>
        <v/>
      </c>
      <c r="N8" s="13">
        <f>IF(H8="","",IF(AND($D$14="Sí",(L8+M8)&lt;0),0,L8+M8))</f>
        <v/>
      </c>
      <c r="O8" s="199">
        <f>IF(H8="","",$D$5*N8*J8/36500)</f>
        <v/>
      </c>
      <c r="P8" s="199">
        <f>IF(H8="","",$D$5+SUM($O$5:O8))</f>
        <v/>
      </c>
    </row>
    <row r="9">
      <c r="A9" s="135" t="inlineStr">
        <is>
          <t>ReferenceRate (BdE)</t>
        </is>
      </c>
      <c r="B9" s="131" t="n"/>
      <c r="C9" s="132" t="n"/>
      <c r="D9" s="140">
        <f>'Informe Subasta'!$K$20</f>
        <v/>
      </c>
      <c r="E9" s="132" t="n"/>
      <c r="G9" s="11">
        <f>IF(H9="","",ROW()-4)</f>
        <v/>
      </c>
      <c r="H9" s="12">
        <f>IF(OR(I8="",I8&gt;=$D$7),"",I8)</f>
        <v/>
      </c>
      <c r="I9" s="12">
        <f>IF(H9="","",MIN(IF($D$18="LEGAL",DATE(YEAR(H9)+1,1,1),EDATE($D$12,$D$11*(INT((((YEAR(H9)-YEAR($D$12))*12+(MONTH(H9)-MONTH($D$12))-IF(DAY(H9)&lt;DAY($D$12),1,0))/$D$11))+1))),$D$7))</f>
        <v/>
      </c>
      <c r="J9" s="11">
        <f>IF(H9="","",I9-H9)</f>
        <v/>
      </c>
      <c r="K9" s="12">
        <f>IF(H9="","",IF($D$18="LEGAL",H9,EDATE(H9,-$D$13)))</f>
        <v/>
      </c>
      <c r="L9" s="13">
        <f>IF(H9="","",IFERROR(INDEX('Tipos BdE'!$B$7:$M$336,MATCH(DATE(YEAR(K9),MONTH(K9),1),'Tipos BdE'!$A$7:$A$336,1),MATCH($D$9,'Tipos BdE'!$B$6:$M$6,0)),0))</f>
        <v/>
      </c>
      <c r="M9" s="13">
        <f>IF(H9="","",IF($D$18="LEGAL",0,$D$10))</f>
        <v/>
      </c>
      <c r="N9" s="13">
        <f>IF(H9="","",IF(AND($D$14="Sí",(L9+M9)&lt;0),0,L9+M9))</f>
        <v/>
      </c>
      <c r="O9" s="199">
        <f>IF(H9="","",$D$5*N9*J9/36500)</f>
        <v/>
      </c>
      <c r="P9" s="199">
        <f>IF(H9="","",$D$5+SUM($O$5:O9))</f>
        <v/>
      </c>
    </row>
    <row r="10">
      <c r="A10" s="135" t="inlineStr">
        <is>
          <t>DifferentialRate (puntos)</t>
        </is>
      </c>
      <c r="B10" s="131" t="n"/>
      <c r="C10" s="132" t="n"/>
      <c r="D10" s="145">
        <f>'Informe Subasta'!$K$21</f>
        <v/>
      </c>
      <c r="E10" s="132" t="n"/>
      <c r="G10" s="11">
        <f>IF(H10="","",ROW()-4)</f>
        <v/>
      </c>
      <c r="H10" s="12">
        <f>IF(OR(I9="",I9&gt;=$D$7),"",I9)</f>
        <v/>
      </c>
      <c r="I10" s="12">
        <f>IF(H10="","",MIN(IF($D$18="LEGAL",DATE(YEAR(H10)+1,1,1),EDATE($D$12,$D$11*(INT((((YEAR(H10)-YEAR($D$12))*12+(MONTH(H10)-MONTH($D$12))-IF(DAY(H10)&lt;DAY($D$12),1,0))/$D$11))+1))),$D$7))</f>
        <v/>
      </c>
      <c r="J10" s="11">
        <f>IF(H10="","",I10-H10)</f>
        <v/>
      </c>
      <c r="K10" s="12">
        <f>IF(H10="","",IF($D$18="LEGAL",H10,EDATE(H10,-$D$13)))</f>
        <v/>
      </c>
      <c r="L10" s="13">
        <f>IF(H10="","",IFERROR(INDEX('Tipos BdE'!$B$7:$M$336,MATCH(DATE(YEAR(K10),MONTH(K10),1),'Tipos BdE'!$A$7:$A$336,1),MATCH($D$9,'Tipos BdE'!$B$6:$M$6,0)),0))</f>
        <v/>
      </c>
      <c r="M10" s="13">
        <f>IF(H10="","",IF($D$18="LEGAL",0,$D$10))</f>
        <v/>
      </c>
      <c r="N10" s="13">
        <f>IF(H10="","",IF(AND($D$14="Sí",(L10+M10)&lt;0),0,L10+M10))</f>
        <v/>
      </c>
      <c r="O10" s="199">
        <f>IF(H10="","",$D$5*N10*J10/36500)</f>
        <v/>
      </c>
      <c r="P10" s="199">
        <f>IF(H10="","",$D$5+SUM($O$5:O10))</f>
        <v/>
      </c>
    </row>
    <row r="11">
      <c r="A11" s="135" t="inlineStr">
        <is>
          <t>UpdateRateFrequency (meses)</t>
        </is>
      </c>
      <c r="B11" s="131" t="n"/>
      <c r="C11" s="132" t="n"/>
      <c r="D11" s="140">
        <f>'Informe Subasta'!$K$22</f>
        <v/>
      </c>
      <c r="E11" s="132" t="n"/>
      <c r="G11" s="11">
        <f>IF(H11="","",ROW()-4)</f>
        <v/>
      </c>
      <c r="H11" s="12">
        <f>IF(OR(I10="",I10&gt;=$D$7),"",I10)</f>
        <v/>
      </c>
      <c r="I11" s="12">
        <f>IF(H11="","",MIN(IF($D$18="LEGAL",DATE(YEAR(H11)+1,1,1),EDATE($D$12,$D$11*(INT((((YEAR(H11)-YEAR($D$12))*12+(MONTH(H11)-MONTH($D$12))-IF(DAY(H11)&lt;DAY($D$12),1,0))/$D$11))+1))),$D$7))</f>
        <v/>
      </c>
      <c r="J11" s="11">
        <f>IF(H11="","",I11-H11)</f>
        <v/>
      </c>
      <c r="K11" s="12">
        <f>IF(H11="","",IF($D$18="LEGAL",H11,EDATE(H11,-$D$13)))</f>
        <v/>
      </c>
      <c r="L11" s="13">
        <f>IF(H11="","",IFERROR(INDEX('Tipos BdE'!$B$7:$M$336,MATCH(DATE(YEAR(K11),MONTH(K11),1),'Tipos BdE'!$A$7:$A$336,1),MATCH($D$9,'Tipos BdE'!$B$6:$M$6,0)),0))</f>
        <v/>
      </c>
      <c r="M11" s="13">
        <f>IF(H11="","",IF($D$18="LEGAL",0,$D$10))</f>
        <v/>
      </c>
      <c r="N11" s="13">
        <f>IF(H11="","",IF(AND($D$14="Sí",(L11+M11)&lt;0),0,L11+M11))</f>
        <v/>
      </c>
      <c r="O11" s="199">
        <f>IF(H11="","",$D$5*N11*J11/36500)</f>
        <v/>
      </c>
      <c r="P11" s="199">
        <f>IF(H11="","",$D$5+SUM($O$5:O11))</f>
        <v/>
      </c>
    </row>
    <row r="12">
      <c r="A12" s="135" t="inlineStr">
        <is>
          <t>LastRateUpdateDate</t>
        </is>
      </c>
      <c r="B12" s="131" t="n"/>
      <c r="C12" s="132" t="n"/>
      <c r="D12" s="158">
        <f>'Informe Subasta'!$K$23</f>
        <v/>
      </c>
      <c r="E12" s="132" t="n"/>
      <c r="G12" s="11">
        <f>IF(H12="","",ROW()-4)</f>
        <v/>
      </c>
      <c r="H12" s="12">
        <f>IF(OR(I11="",I11&gt;=$D$7),"",I11)</f>
        <v/>
      </c>
      <c r="I12" s="12">
        <f>IF(H12="","",MIN(IF($D$18="LEGAL",DATE(YEAR(H12)+1,1,1),EDATE($D$12,$D$11*(INT((((YEAR(H12)-YEAR($D$12))*12+(MONTH(H12)-MONTH($D$12))-IF(DAY(H12)&lt;DAY($D$12),1,0))/$D$11))+1))),$D$7))</f>
        <v/>
      </c>
      <c r="J12" s="11">
        <f>IF(H12="","",I12-H12)</f>
        <v/>
      </c>
      <c r="K12" s="12">
        <f>IF(H12="","",IF($D$18="LEGAL",H12,EDATE(H12,-$D$13)))</f>
        <v/>
      </c>
      <c r="L12" s="13">
        <f>IF(H12="","",IFERROR(INDEX('Tipos BdE'!$B$7:$M$336,MATCH(DATE(YEAR(K12),MONTH(K12),1),'Tipos BdE'!$A$7:$A$336,1),MATCH($D$9,'Tipos BdE'!$B$6:$M$6,0)),0))</f>
        <v/>
      </c>
      <c r="M12" s="13">
        <f>IF(H12="","",IF($D$18="LEGAL",0,$D$10))</f>
        <v/>
      </c>
      <c r="N12" s="13">
        <f>IF(H12="","",IF(AND($D$14="Sí",(L12+M12)&lt;0),0,L12+M12))</f>
        <v/>
      </c>
      <c r="O12" s="199">
        <f>IF(H12="","",$D$5*N12*J12/36500)</f>
        <v/>
      </c>
      <c r="P12" s="199">
        <f>IF(H12="","",$D$5+SUM($O$5:O12))</f>
        <v/>
      </c>
    </row>
    <row r="13">
      <c r="A13" s="135" t="inlineStr">
        <is>
          <t>RateDelay (meses)</t>
        </is>
      </c>
      <c r="B13" s="131" t="n"/>
      <c r="C13" s="132" t="n"/>
      <c r="D13" s="140">
        <f>'Informe Subasta'!$K$24</f>
        <v/>
      </c>
      <c r="E13" s="132" t="n"/>
      <c r="G13" s="11">
        <f>IF(H13="","",ROW()-4)</f>
        <v/>
      </c>
      <c r="H13" s="12">
        <f>IF(OR(I12="",I12&gt;=$D$7),"",I12)</f>
        <v/>
      </c>
      <c r="I13" s="12">
        <f>IF(H13="","",MIN(IF($D$18="LEGAL",DATE(YEAR(H13)+1,1,1),EDATE($D$12,$D$11*(INT((((YEAR(H13)-YEAR($D$12))*12+(MONTH(H13)-MONTH($D$12))-IF(DAY(H13)&lt;DAY($D$12),1,0))/$D$11))+1))),$D$7))</f>
        <v/>
      </c>
      <c r="J13" s="11">
        <f>IF(H13="","",I13-H13)</f>
        <v/>
      </c>
      <c r="K13" s="12">
        <f>IF(H13="","",IF($D$18="LEGAL",H13,EDATE(H13,-$D$13)))</f>
        <v/>
      </c>
      <c r="L13" s="13">
        <f>IF(H13="","",IFERROR(INDEX('Tipos BdE'!$B$7:$M$336,MATCH(DATE(YEAR(K13),MONTH(K13),1),'Tipos BdE'!$A$7:$A$336,1),MATCH($D$9,'Tipos BdE'!$B$6:$M$6,0)),0))</f>
        <v/>
      </c>
      <c r="M13" s="13">
        <f>IF(H13="","",IF($D$18="LEGAL",0,$D$10))</f>
        <v/>
      </c>
      <c r="N13" s="13">
        <f>IF(H13="","",IF(AND($D$14="Sí",(L13+M13)&lt;0),0,L13+M13))</f>
        <v/>
      </c>
      <c r="O13" s="199">
        <f>IF(H13="","",$D$5*N13*J13/36500)</f>
        <v/>
      </c>
      <c r="P13" s="199">
        <f>IF(H13="","",$D$5+SUM($O$5:O13))</f>
        <v/>
      </c>
    </row>
    <row r="14">
      <c r="A14" s="135" t="inlineStr">
        <is>
          <t>NegativeRatesToZero</t>
        </is>
      </c>
      <c r="B14" s="131" t="n"/>
      <c r="C14" s="132" t="n"/>
      <c r="D14" s="140">
        <f>'Informe Subasta'!$D$24</f>
        <v/>
      </c>
      <c r="E14" s="132" t="n"/>
      <c r="G14" s="11">
        <f>IF(H14="","",ROW()-4)</f>
        <v/>
      </c>
      <c r="H14" s="12">
        <f>IF(OR(I13="",I13&gt;=$D$7),"",I13)</f>
        <v/>
      </c>
      <c r="I14" s="12">
        <f>IF(H14="","",MIN(IF($D$18="LEGAL",DATE(YEAR(H14)+1,1,1),EDATE($D$12,$D$11*(INT((((YEAR(H14)-YEAR($D$12))*12+(MONTH(H14)-MONTH($D$12))-IF(DAY(H14)&lt;DAY($D$12),1,0))/$D$11))+1))),$D$7))</f>
        <v/>
      </c>
      <c r="J14" s="11">
        <f>IF(H14="","",I14-H14)</f>
        <v/>
      </c>
      <c r="K14" s="12">
        <f>IF(H14="","",IF($D$18="LEGAL",H14,EDATE(H14,-$D$13)))</f>
        <v/>
      </c>
      <c r="L14" s="13">
        <f>IF(H14="","",IFERROR(INDEX('Tipos BdE'!$B$7:$M$336,MATCH(DATE(YEAR(K14),MONTH(K14),1),'Tipos BdE'!$A$7:$A$336,1),MATCH($D$9,'Tipos BdE'!$B$6:$M$6,0)),0))</f>
        <v/>
      </c>
      <c r="M14" s="13">
        <f>IF(H14="","",IF($D$18="LEGAL",0,$D$10))</f>
        <v/>
      </c>
      <c r="N14" s="13">
        <f>IF(H14="","",IF(AND($D$14="Sí",(L14+M14)&lt;0),0,L14+M14))</f>
        <v/>
      </c>
      <c r="O14" s="199">
        <f>IF(H14="","",$D$5*N14*J14/36500)</f>
        <v/>
      </c>
      <c r="P14" s="199">
        <f>IF(H14="","",$D$5+SUM($O$5:O14))</f>
        <v/>
      </c>
    </row>
    <row r="15">
      <c r="A15" s="135" t="inlineStr">
        <is>
          <t>IsConsumer</t>
        </is>
      </c>
      <c r="B15" s="131" t="n"/>
      <c r="C15" s="132" t="n"/>
      <c r="D15" s="140">
        <f>'Informe Subasta'!$D$21</f>
        <v/>
      </c>
      <c r="E15" s="132" t="n"/>
      <c r="G15" s="11">
        <f>IF(H15="","",ROW()-4)</f>
        <v/>
      </c>
      <c r="H15" s="12">
        <f>IF(OR(I14="",I14&gt;=$D$7),"",I14)</f>
        <v/>
      </c>
      <c r="I15" s="12">
        <f>IF(H15="","",MIN(IF($D$18="LEGAL",DATE(YEAR(H15)+1,1,1),EDATE($D$12,$D$11*(INT((((YEAR(H15)-YEAR($D$12))*12+(MONTH(H15)-MONTH($D$12))-IF(DAY(H15)&lt;DAY($D$12),1,0))/$D$11))+1))),$D$7))</f>
        <v/>
      </c>
      <c r="J15" s="11">
        <f>IF(H15="","",I15-H15)</f>
        <v/>
      </c>
      <c r="K15" s="12">
        <f>IF(H15="","",IF($D$18="LEGAL",H15,EDATE(H15,-$D$13)))</f>
        <v/>
      </c>
      <c r="L15" s="13">
        <f>IF(H15="","",IFERROR(INDEX('Tipos BdE'!$B$7:$M$336,MATCH(DATE(YEAR(K15),MONTH(K15),1),'Tipos BdE'!$A$7:$A$336,1),MATCH($D$9,'Tipos BdE'!$B$6:$M$6,0)),0))</f>
        <v/>
      </c>
      <c r="M15" s="13">
        <f>IF(H15="","",IF($D$18="LEGAL",0,$D$10))</f>
        <v/>
      </c>
      <c r="N15" s="13">
        <f>IF(H15="","",IF(AND($D$14="Sí",(L15+M15)&lt;0),0,L15+M15))</f>
        <v/>
      </c>
      <c r="O15" s="199">
        <f>IF(H15="","",$D$5*N15*J15/36500)</f>
        <v/>
      </c>
      <c r="P15" s="199">
        <f>IF(H15="","",$D$5+SUM($O$5:O15))</f>
        <v/>
      </c>
    </row>
    <row r="16">
      <c r="A16" s="135" t="inlineStr">
        <is>
          <t>InterestApplicableRate</t>
        </is>
      </c>
      <c r="B16" s="131" t="n"/>
      <c r="C16" s="132" t="n"/>
      <c r="D16" s="200">
        <f>'Informe Subasta'!$D$22</f>
        <v/>
      </c>
      <c r="E16" s="132" t="n"/>
      <c r="G16" s="11">
        <f>IF(H16="","",ROW()-4)</f>
        <v/>
      </c>
      <c r="H16" s="12">
        <f>IF(OR(I15="",I15&gt;=$D$7),"",I15)</f>
        <v/>
      </c>
      <c r="I16" s="12">
        <f>IF(H16="","",MIN(IF($D$18="LEGAL",DATE(YEAR(H16)+1,1,1),EDATE($D$12,$D$11*(INT((((YEAR(H16)-YEAR($D$12))*12+(MONTH(H16)-MONTH($D$12))-IF(DAY(H16)&lt;DAY($D$12),1,0))/$D$11))+1))),$D$7))</f>
        <v/>
      </c>
      <c r="J16" s="11">
        <f>IF(H16="","",I16-H16)</f>
        <v/>
      </c>
      <c r="K16" s="12">
        <f>IF(H16="","",IF($D$18="LEGAL",H16,EDATE(H16,-$D$13)))</f>
        <v/>
      </c>
      <c r="L16" s="13">
        <f>IF(H16="","",IFERROR(INDEX('Tipos BdE'!$B$7:$M$336,MATCH(DATE(YEAR(K16),MONTH(K16),1),'Tipos BdE'!$A$7:$A$336,1),MATCH($D$9,'Tipos BdE'!$B$6:$M$6,0)),0))</f>
        <v/>
      </c>
      <c r="M16" s="13">
        <f>IF(H16="","",IF($D$18="LEGAL",0,$D$10))</f>
        <v/>
      </c>
      <c r="N16" s="13">
        <f>IF(H16="","",IF(AND($D$14="Sí",(L16+M16)&lt;0),0,L16+M16))</f>
        <v/>
      </c>
      <c r="O16" s="199">
        <f>IF(H16="","",$D$5*N16*J16/36500)</f>
        <v/>
      </c>
      <c r="P16" s="199">
        <f>IF(H16="","",$D$5+SUM($O$5:O16))</f>
        <v/>
      </c>
    </row>
    <row r="17">
      <c r="A17" s="135" t="inlineStr">
        <is>
          <t>PenaltyInterestApplicableRate</t>
        </is>
      </c>
      <c r="B17" s="131" t="n"/>
      <c r="C17" s="132" t="n"/>
      <c r="D17" s="200">
        <f>'Informe Subasta'!$D$23</f>
        <v/>
      </c>
      <c r="E17" s="132" t="n"/>
      <c r="G17" s="11">
        <f>IF(H17="","",ROW()-4)</f>
        <v/>
      </c>
      <c r="H17" s="12">
        <f>IF(OR(I16="",I16&gt;=$D$7),"",I16)</f>
        <v/>
      </c>
      <c r="I17" s="12">
        <f>IF(H17="","",MIN(IF($D$18="LEGAL",DATE(YEAR(H17)+1,1,1),EDATE($D$12,$D$11*(INT((((YEAR(H17)-YEAR($D$12))*12+(MONTH(H17)-MONTH($D$12))-IF(DAY(H17)&lt;DAY($D$12),1,0))/$D$11))+1))),$D$7))</f>
        <v/>
      </c>
      <c r="J17" s="11">
        <f>IF(H17="","",I17-H17)</f>
        <v/>
      </c>
      <c r="K17" s="12">
        <f>IF(H17="","",IF($D$18="LEGAL",H17,EDATE(H17,-$D$13)))</f>
        <v/>
      </c>
      <c r="L17" s="13">
        <f>IF(H17="","",IFERROR(INDEX('Tipos BdE'!$B$7:$M$336,MATCH(DATE(YEAR(K17),MONTH(K17),1),'Tipos BdE'!$A$7:$A$336,1),MATCH($D$9,'Tipos BdE'!$B$6:$M$6,0)),0))</f>
        <v/>
      </c>
      <c r="M17" s="13">
        <f>IF(H17="","",IF($D$18="LEGAL",0,$D$10))</f>
        <v/>
      </c>
      <c r="N17" s="13">
        <f>IF(H17="","",IF(AND($D$14="Sí",(L17+M17)&lt;0),0,L17+M17))</f>
        <v/>
      </c>
      <c r="O17" s="199">
        <f>IF(H17="","",$D$5*N17*J17/36500)</f>
        <v/>
      </c>
      <c r="P17" s="199">
        <f>IF(H17="","",$D$5+SUM($O$5:O17))</f>
        <v/>
      </c>
    </row>
    <row r="18">
      <c r="A18" s="135" t="inlineStr">
        <is>
          <t>Régimen (automático)</t>
        </is>
      </c>
      <c r="B18" s="131" t="n"/>
      <c r="C18" s="132" t="n"/>
      <c r="D18" s="161">
        <f>IF(OR(ISNUMBER(SEARCH("legal",$D$9)),ISNUMBER(SEARCH("demora",$D$9)),ISNUMBER(SEARCH("mora procesal",$D$9)),ISNUMBER(SEARCH("576",$D$9))),"LEGAL","VARIABLE")</f>
        <v/>
      </c>
      <c r="E18" s="132" t="n"/>
      <c r="G18" s="11">
        <f>IF(H18="","",ROW()-4)</f>
        <v/>
      </c>
      <c r="H18" s="12">
        <f>IF(OR(I17="",I17&gt;=$D$7),"",I17)</f>
        <v/>
      </c>
      <c r="I18" s="12">
        <f>IF(H18="","",MIN(IF($D$18="LEGAL",DATE(YEAR(H18)+1,1,1),EDATE($D$12,$D$11*(INT((((YEAR(H18)-YEAR($D$12))*12+(MONTH(H18)-MONTH($D$12))-IF(DAY(H18)&lt;DAY($D$12),1,0))/$D$11))+1))),$D$7))</f>
        <v/>
      </c>
      <c r="J18" s="11">
        <f>IF(H18="","",I18-H18)</f>
        <v/>
      </c>
      <c r="K18" s="12">
        <f>IF(H18="","",IF($D$18="LEGAL",H18,EDATE(H18,-$D$13)))</f>
        <v/>
      </c>
      <c r="L18" s="13">
        <f>IF(H18="","",IFERROR(INDEX('Tipos BdE'!$B$7:$M$336,MATCH(DATE(YEAR(K18),MONTH(K18),1),'Tipos BdE'!$A$7:$A$336,1),MATCH($D$9,'Tipos BdE'!$B$6:$M$6,0)),0))</f>
        <v/>
      </c>
      <c r="M18" s="13">
        <f>IF(H18="","",IF($D$18="LEGAL",0,$D$10))</f>
        <v/>
      </c>
      <c r="N18" s="13">
        <f>IF(H18="","",IF(AND($D$14="Sí",(L18+M18)&lt;0),0,L18+M18))</f>
        <v/>
      </c>
      <c r="O18" s="199">
        <f>IF(H18="","",$D$5*N18*J18/36500)</f>
        <v/>
      </c>
      <c r="P18" s="199">
        <f>IF(H18="","",$D$5+SUM($O$5:O18))</f>
        <v/>
      </c>
    </row>
    <row r="19">
      <c r="G19" s="11">
        <f>IF(H19="","",ROW()-4)</f>
        <v/>
      </c>
      <c r="H19" s="12">
        <f>IF(OR(I18="",I18&gt;=$D$7),"",I18)</f>
        <v/>
      </c>
      <c r="I19" s="12">
        <f>IF(H19="","",MIN(IF($D$18="LEGAL",DATE(YEAR(H19)+1,1,1),EDATE($D$12,$D$11*(INT((((YEAR(H19)-YEAR($D$12))*12+(MONTH(H19)-MONTH($D$12))-IF(DAY(H19)&lt;DAY($D$12),1,0))/$D$11))+1))),$D$7))</f>
        <v/>
      </c>
      <c r="J19" s="11">
        <f>IF(H19="","",I19-H19)</f>
        <v/>
      </c>
      <c r="K19" s="12">
        <f>IF(H19="","",IF($D$18="LEGAL",H19,EDATE(H19,-$D$13)))</f>
        <v/>
      </c>
      <c r="L19" s="13">
        <f>IF(H19="","",IFERROR(INDEX('Tipos BdE'!$B$7:$M$336,MATCH(DATE(YEAR(K19),MONTH(K19),1),'Tipos BdE'!$A$7:$A$336,1),MATCH($D$9,'Tipos BdE'!$B$6:$M$6,0)),0))</f>
        <v/>
      </c>
      <c r="M19" s="13">
        <f>IF(H19="","",IF($D$18="LEGAL",0,$D$10))</f>
        <v/>
      </c>
      <c r="N19" s="13">
        <f>IF(H19="","",IF(AND($D$14="Sí",(L19+M19)&lt;0),0,L19+M19))</f>
        <v/>
      </c>
      <c r="O19" s="199">
        <f>IF(H19="","",$D$5*N19*J19/36500)</f>
        <v/>
      </c>
      <c r="P19" s="199">
        <f>IF(H19="","",$D$5+SUM($O$5:O19))</f>
        <v/>
      </c>
    </row>
    <row r="20">
      <c r="A20" s="144" t="inlineStr">
        <is>
          <t>RESULTADO</t>
        </is>
      </c>
      <c r="B20" s="131" t="n"/>
      <c r="C20" s="131" t="n"/>
      <c r="D20" s="131" t="n"/>
      <c r="E20" s="132" t="n"/>
      <c r="G20" s="11">
        <f>IF(H20="","",ROW()-4)</f>
        <v/>
      </c>
      <c r="H20" s="12">
        <f>IF(OR(I19="",I19&gt;=$D$7),"",I19)</f>
        <v/>
      </c>
      <c r="I20" s="12">
        <f>IF(H20="","",MIN(IF($D$18="LEGAL",DATE(YEAR(H20)+1,1,1),EDATE($D$12,$D$11*(INT((((YEAR(H20)-YEAR($D$12))*12+(MONTH(H20)-MONTH($D$12))-IF(DAY(H20)&lt;DAY($D$12),1,0))/$D$11))+1))),$D$7))</f>
        <v/>
      </c>
      <c r="J20" s="11">
        <f>IF(H20="","",I20-H20)</f>
        <v/>
      </c>
      <c r="K20" s="12">
        <f>IF(H20="","",IF($D$18="LEGAL",H20,EDATE(H20,-$D$13)))</f>
        <v/>
      </c>
      <c r="L20" s="13">
        <f>IF(H20="","",IFERROR(INDEX('Tipos BdE'!$B$7:$M$336,MATCH(DATE(YEAR(K20),MONTH(K20),1),'Tipos BdE'!$A$7:$A$336,1),MATCH($D$9,'Tipos BdE'!$B$6:$M$6,0)),0))</f>
        <v/>
      </c>
      <c r="M20" s="13">
        <f>IF(H20="","",IF($D$18="LEGAL",0,$D$10))</f>
        <v/>
      </c>
      <c r="N20" s="13">
        <f>IF(H20="","",IF(AND($D$14="Sí",(L20+M20)&lt;0),0,L20+M20))</f>
        <v/>
      </c>
      <c r="O20" s="199">
        <f>IF(H20="","",$D$5*N20*J20/36500)</f>
        <v/>
      </c>
      <c r="P20" s="199">
        <f>IF(H20="","",$D$5+SUM($O$5:O20))</f>
        <v/>
      </c>
    </row>
    <row r="21">
      <c r="A21" s="135" t="inlineStr">
        <is>
          <t>TOTAL INTERÉS ACTUALIZADO (€)</t>
        </is>
      </c>
      <c r="B21" s="131" t="n"/>
      <c r="C21" s="132" t="n"/>
      <c r="D21" s="201">
        <f>IF($D$8="FIJO",($D$7-$D$6)*IF($D$15="Y",$D$16,$D$17)*$D$5/365,SUM($O$5:$O$304))</f>
        <v/>
      </c>
      <c r="E21" s="148" t="n"/>
      <c r="G21" s="11">
        <f>IF(H21="","",ROW()-4)</f>
        <v/>
      </c>
      <c r="H21" s="12">
        <f>IF(OR(I20="",I20&gt;=$D$7),"",I20)</f>
        <v/>
      </c>
      <c r="I21" s="12">
        <f>IF(H21="","",MIN(IF($D$18="LEGAL",DATE(YEAR(H21)+1,1,1),EDATE($D$12,$D$11*(INT((((YEAR(H21)-YEAR($D$12))*12+(MONTH(H21)-MONTH($D$12))-IF(DAY(H21)&lt;DAY($D$12),1,0))/$D$11))+1))),$D$7))</f>
        <v/>
      </c>
      <c r="J21" s="11">
        <f>IF(H21="","",I21-H21)</f>
        <v/>
      </c>
      <c r="K21" s="12">
        <f>IF(H21="","",IF($D$18="LEGAL",H21,EDATE(H21,-$D$13)))</f>
        <v/>
      </c>
      <c r="L21" s="13">
        <f>IF(H21="","",IFERROR(INDEX('Tipos BdE'!$B$7:$M$336,MATCH(DATE(YEAR(K21),MONTH(K21),1),'Tipos BdE'!$A$7:$A$336,1),MATCH($D$9,'Tipos BdE'!$B$6:$M$6,0)),0))</f>
        <v/>
      </c>
      <c r="M21" s="13">
        <f>IF(H21="","",IF($D$18="LEGAL",0,$D$10))</f>
        <v/>
      </c>
      <c r="N21" s="13">
        <f>IF(H21="","",IF(AND($D$14="Sí",(L21+M21)&lt;0),0,L21+M21))</f>
        <v/>
      </c>
      <c r="O21" s="199">
        <f>IF(H21="","",$D$5*N21*J21/36500)</f>
        <v/>
      </c>
      <c r="P21" s="199">
        <f>IF(H21="","",$D$5+SUM($O$5:O21))</f>
        <v/>
      </c>
    </row>
    <row r="22">
      <c r="A22" s="72" t="n"/>
      <c r="D22" s="202" t="n"/>
      <c r="G22" s="11">
        <f>IF(H22="","",ROW()-4)</f>
        <v/>
      </c>
      <c r="H22" s="12">
        <f>IF(OR(I21="",I21&gt;=$D$7),"",I21)</f>
        <v/>
      </c>
      <c r="I22" s="12">
        <f>IF(H22="","",MIN(IF($D$18="LEGAL",DATE(YEAR(H22)+1,1,1),EDATE($D$12,$D$11*(INT((((YEAR(H22)-YEAR($D$12))*12+(MONTH(H22)-MONTH($D$12))-IF(DAY(H22)&lt;DAY($D$12),1,0))/$D$11))+1))),$D$7))</f>
        <v/>
      </c>
      <c r="J22" s="11">
        <f>IF(H22="","",I22-H22)</f>
        <v/>
      </c>
      <c r="K22" s="12">
        <f>IF(H22="","",IF($D$18="LEGAL",H22,EDATE(H22,-$D$13)))</f>
        <v/>
      </c>
      <c r="L22" s="13">
        <f>IF(H22="","",IFERROR(INDEX('Tipos BdE'!$B$7:$M$336,MATCH(DATE(YEAR(K22),MONTH(K22),1),'Tipos BdE'!$A$7:$A$336,1),MATCH($D$9,'Tipos BdE'!$B$6:$M$6,0)),0))</f>
        <v/>
      </c>
      <c r="M22" s="13">
        <f>IF(H22="","",IF($D$18="LEGAL",0,$D$10))</f>
        <v/>
      </c>
      <c r="N22" s="13">
        <f>IF(H22="","",IF(AND($D$14="Sí",(L22+M22)&lt;0),0,L22+M22))</f>
        <v/>
      </c>
      <c r="O22" s="199">
        <f>IF(H22="","",$D$5*N22*J22/36500)</f>
        <v/>
      </c>
      <c r="P22" s="199">
        <f>IF(H22="","",$D$5+SUM($O$5:O22))</f>
        <v/>
      </c>
    </row>
    <row r="23">
      <c r="A23" s="135" t="inlineStr">
        <is>
          <t>Nº de tramos</t>
        </is>
      </c>
      <c r="B23" s="131" t="n"/>
      <c r="C23" s="132" t="n"/>
      <c r="D23" s="149">
        <f>COUNT($J$5:$J$304)</f>
        <v/>
      </c>
      <c r="E23" s="132" t="n"/>
      <c r="G23" s="11">
        <f>IF(H23="","",ROW()-4)</f>
        <v/>
      </c>
      <c r="H23" s="12">
        <f>IF(OR(I22="",I22&gt;=$D$7),"",I22)</f>
        <v/>
      </c>
      <c r="I23" s="12">
        <f>IF(H23="","",MIN(IF($D$18="LEGAL",DATE(YEAR(H23)+1,1,1),EDATE($D$12,$D$11*(INT((((YEAR(H23)-YEAR($D$12))*12+(MONTH(H23)-MONTH($D$12))-IF(DAY(H23)&lt;DAY($D$12),1,0))/$D$11))+1))),$D$7))</f>
        <v/>
      </c>
      <c r="J23" s="11">
        <f>IF(H23="","",I23-H23)</f>
        <v/>
      </c>
      <c r="K23" s="12">
        <f>IF(H23="","",IF($D$18="LEGAL",H23,EDATE(H23,-$D$13)))</f>
        <v/>
      </c>
      <c r="L23" s="13">
        <f>IF(H23="","",IFERROR(INDEX('Tipos BdE'!$B$7:$M$336,MATCH(DATE(YEAR(K23),MONTH(K23),1),'Tipos BdE'!$A$7:$A$336,1),MATCH($D$9,'Tipos BdE'!$B$6:$M$6,0)),0))</f>
        <v/>
      </c>
      <c r="M23" s="13">
        <f>IF(H23="","",IF($D$18="LEGAL",0,$D$10))</f>
        <v/>
      </c>
      <c r="N23" s="13">
        <f>IF(H23="","",IF(AND($D$14="Sí",(L23+M23)&lt;0),0,L23+M23))</f>
        <v/>
      </c>
      <c r="O23" s="199">
        <f>IF(H23="","",$D$5*N23*J23/36500)</f>
        <v/>
      </c>
      <c r="P23" s="199">
        <f>IF(H23="","",$D$5+SUM($O$5:O23))</f>
        <v/>
      </c>
    </row>
    <row r="24">
      <c r="A24" s="135" t="inlineStr">
        <is>
          <t>Tipo medio aplicado (ponderado)</t>
        </is>
      </c>
      <c r="B24" s="131" t="n"/>
      <c r="C24" s="132" t="n"/>
      <c r="D24" s="159">
        <f>IFERROR($D$21*36500/($D$5*IF($D$8="FIJO",$D$7-$D$6,SUM($J$5:$J$304))),0)</f>
        <v/>
      </c>
      <c r="E24" s="132" t="n"/>
      <c r="G24" s="11">
        <f>IF(H24="","",ROW()-4)</f>
        <v/>
      </c>
      <c r="H24" s="12">
        <f>IF(OR(I23="",I23&gt;=$D$7),"",I23)</f>
        <v/>
      </c>
      <c r="I24" s="12">
        <f>IF(H24="","",MIN(IF($D$18="LEGAL",DATE(YEAR(H24)+1,1,1),EDATE($D$12,$D$11*(INT((((YEAR(H24)-YEAR($D$12))*12+(MONTH(H24)-MONTH($D$12))-IF(DAY(H24)&lt;DAY($D$12),1,0))/$D$11))+1))),$D$7))</f>
        <v/>
      </c>
      <c r="J24" s="11">
        <f>IF(H24="","",I24-H24)</f>
        <v/>
      </c>
      <c r="K24" s="12">
        <f>IF(H24="","",IF($D$18="LEGAL",H24,EDATE(H24,-$D$13)))</f>
        <v/>
      </c>
      <c r="L24" s="13">
        <f>IF(H24="","",IFERROR(INDEX('Tipos BdE'!$B$7:$M$336,MATCH(DATE(YEAR(K24),MONTH(K24),1),'Tipos BdE'!$A$7:$A$336,1),MATCH($D$9,'Tipos BdE'!$B$6:$M$6,0)),0))</f>
        <v/>
      </c>
      <c r="M24" s="13">
        <f>IF(H24="","",IF($D$18="LEGAL",0,$D$10))</f>
        <v/>
      </c>
      <c r="N24" s="13">
        <f>IF(H24="","",IF(AND($D$14="Sí",(L24+M24)&lt;0),0,L24+M24))</f>
        <v/>
      </c>
      <c r="O24" s="199">
        <f>IF(H24="","",$D$5*N24*J24/36500)</f>
        <v/>
      </c>
      <c r="P24" s="199">
        <f>IF(H24="","",$D$5+SUM($O$5:O24))</f>
        <v/>
      </c>
    </row>
    <row r="25">
      <c r="G25" s="11">
        <f>IF(H25="","",ROW()-4)</f>
        <v/>
      </c>
      <c r="H25" s="12">
        <f>IF(OR(I24="",I24&gt;=$D$7),"",I24)</f>
        <v/>
      </c>
      <c r="I25" s="12">
        <f>IF(H25="","",MIN(IF($D$18="LEGAL",DATE(YEAR(H25)+1,1,1),EDATE($D$12,$D$11*(INT((((YEAR(H25)-YEAR($D$12))*12+(MONTH(H25)-MONTH($D$12))-IF(DAY(H25)&lt;DAY($D$12),1,0))/$D$11))+1))),$D$7))</f>
        <v/>
      </c>
      <c r="J25" s="11">
        <f>IF(H25="","",I25-H25)</f>
        <v/>
      </c>
      <c r="K25" s="12">
        <f>IF(H25="","",IF($D$18="LEGAL",H25,EDATE(H25,-$D$13)))</f>
        <v/>
      </c>
      <c r="L25" s="13">
        <f>IF(H25="","",IFERROR(INDEX('Tipos BdE'!$B$7:$M$336,MATCH(DATE(YEAR(K25),MONTH(K25),1),'Tipos BdE'!$A$7:$A$336,1),MATCH($D$9,'Tipos BdE'!$B$6:$M$6,0)),0))</f>
        <v/>
      </c>
      <c r="M25" s="13">
        <f>IF(H25="","",IF($D$18="LEGAL",0,$D$10))</f>
        <v/>
      </c>
      <c r="N25" s="13">
        <f>IF(H25="","",IF(AND($D$14="Sí",(L25+M25)&lt;0),0,L25+M25))</f>
        <v/>
      </c>
      <c r="O25" s="199">
        <f>IF(H25="","",$D$5*N25*J25/36500)</f>
        <v/>
      </c>
      <c r="P25" s="199">
        <f>IF(H25="","",$D$5+SUM($O$5:O25))</f>
        <v/>
      </c>
    </row>
    <row r="26">
      <c r="G26" s="11">
        <f>IF(H26="","",ROW()-4)</f>
        <v/>
      </c>
      <c r="H26" s="12">
        <f>IF(OR(I25="",I25&gt;=$D$7),"",I25)</f>
        <v/>
      </c>
      <c r="I26" s="12">
        <f>IF(H26="","",MIN(IF($D$18="LEGAL",DATE(YEAR(H26)+1,1,1),EDATE($D$12,$D$11*(INT((((YEAR(H26)-YEAR($D$12))*12+(MONTH(H26)-MONTH($D$12))-IF(DAY(H26)&lt;DAY($D$12),1,0))/$D$11))+1))),$D$7))</f>
        <v/>
      </c>
      <c r="J26" s="11">
        <f>IF(H26="","",I26-H26)</f>
        <v/>
      </c>
      <c r="K26" s="12">
        <f>IF(H26="","",IF($D$18="LEGAL",H26,EDATE(H26,-$D$13)))</f>
        <v/>
      </c>
      <c r="L26" s="13">
        <f>IF(H26="","",IFERROR(INDEX('Tipos BdE'!$B$7:$M$336,MATCH(DATE(YEAR(K26),MONTH(K26),1),'Tipos BdE'!$A$7:$A$336,1),MATCH($D$9,'Tipos BdE'!$B$6:$M$6,0)),0))</f>
        <v/>
      </c>
      <c r="M26" s="13">
        <f>IF(H26="","",IF($D$18="LEGAL",0,$D$10))</f>
        <v/>
      </c>
      <c r="N26" s="13">
        <f>IF(H26="","",IF(AND($D$14="Sí",(L26+M26)&lt;0),0,L26+M26))</f>
        <v/>
      </c>
      <c r="O26" s="199">
        <f>IF(H26="","",$D$5*N26*J26/36500)</f>
        <v/>
      </c>
      <c r="P26" s="199">
        <f>IF(H26="","",$D$5+SUM($O$5:O26))</f>
        <v/>
      </c>
    </row>
    <row r="27">
      <c r="G27" s="11">
        <f>IF(H27="","",ROW()-4)</f>
        <v/>
      </c>
      <c r="H27" s="12">
        <f>IF(OR(I26="",I26&gt;=$D$7),"",I26)</f>
        <v/>
      </c>
      <c r="I27" s="12">
        <f>IF(H27="","",MIN(IF($D$18="LEGAL",DATE(YEAR(H27)+1,1,1),EDATE($D$12,$D$11*(INT((((YEAR(H27)-YEAR($D$12))*12+(MONTH(H27)-MONTH($D$12))-IF(DAY(H27)&lt;DAY($D$12),1,0))/$D$11))+1))),$D$7))</f>
        <v/>
      </c>
      <c r="J27" s="11">
        <f>IF(H27="","",I27-H27)</f>
        <v/>
      </c>
      <c r="K27" s="12">
        <f>IF(H27="","",IF($D$18="LEGAL",H27,EDATE(H27,-$D$13)))</f>
        <v/>
      </c>
      <c r="L27" s="13">
        <f>IF(H27="","",IFERROR(INDEX('Tipos BdE'!$B$7:$M$336,MATCH(DATE(YEAR(K27),MONTH(K27),1),'Tipos BdE'!$A$7:$A$336,1),MATCH($D$9,'Tipos BdE'!$B$6:$M$6,0)),0))</f>
        <v/>
      </c>
      <c r="M27" s="13">
        <f>IF(H27="","",IF($D$18="LEGAL",0,$D$10))</f>
        <v/>
      </c>
      <c r="N27" s="13">
        <f>IF(H27="","",IF(AND($D$14="Sí",(L27+M27)&lt;0),0,L27+M27))</f>
        <v/>
      </c>
      <c r="O27" s="199">
        <f>IF(H27="","",$D$5*N27*J27/36500)</f>
        <v/>
      </c>
      <c r="P27" s="199">
        <f>IF(H27="","",$D$5+SUM($O$5:O27))</f>
        <v/>
      </c>
    </row>
    <row r="28">
      <c r="G28" s="11">
        <f>IF(H28="","",ROW()-4)</f>
        <v/>
      </c>
      <c r="H28" s="12">
        <f>IF(OR(I27="",I27&gt;=$D$7),"",I27)</f>
        <v/>
      </c>
      <c r="I28" s="12">
        <f>IF(H28="","",MIN(IF($D$18="LEGAL",DATE(YEAR(H28)+1,1,1),EDATE($D$12,$D$11*(INT((((YEAR(H28)-YEAR($D$12))*12+(MONTH(H28)-MONTH($D$12))-IF(DAY(H28)&lt;DAY($D$12),1,0))/$D$11))+1))),$D$7))</f>
        <v/>
      </c>
      <c r="J28" s="11">
        <f>IF(H28="","",I28-H28)</f>
        <v/>
      </c>
      <c r="K28" s="12">
        <f>IF(H28="","",IF($D$18="LEGAL",H28,EDATE(H28,-$D$13)))</f>
        <v/>
      </c>
      <c r="L28" s="13">
        <f>IF(H28="","",IFERROR(INDEX('Tipos BdE'!$B$7:$M$336,MATCH(DATE(YEAR(K28),MONTH(K28),1),'Tipos BdE'!$A$7:$A$336,1),MATCH($D$9,'Tipos BdE'!$B$6:$M$6,0)),0))</f>
        <v/>
      </c>
      <c r="M28" s="13">
        <f>IF(H28="","",IF($D$18="LEGAL",0,$D$10))</f>
        <v/>
      </c>
      <c r="N28" s="13">
        <f>IF(H28="","",IF(AND($D$14="Sí",(L28+M28)&lt;0),0,L28+M28))</f>
        <v/>
      </c>
      <c r="O28" s="199">
        <f>IF(H28="","",$D$5*N28*J28/36500)</f>
        <v/>
      </c>
      <c r="P28" s="199">
        <f>IF(H28="","",$D$5+SUM($O$5:O28))</f>
        <v/>
      </c>
    </row>
    <row r="29">
      <c r="G29" s="11">
        <f>IF(H29="","",ROW()-4)</f>
        <v/>
      </c>
      <c r="H29" s="12">
        <f>IF(OR(I28="",I28&gt;=$D$7),"",I28)</f>
        <v/>
      </c>
      <c r="I29" s="12">
        <f>IF(H29="","",MIN(IF($D$18="LEGAL",DATE(YEAR(H29)+1,1,1),EDATE($D$12,$D$11*(INT((((YEAR(H29)-YEAR($D$12))*12+(MONTH(H29)-MONTH($D$12))-IF(DAY(H29)&lt;DAY($D$12),1,0))/$D$11))+1))),$D$7))</f>
        <v/>
      </c>
      <c r="J29" s="11">
        <f>IF(H29="","",I29-H29)</f>
        <v/>
      </c>
      <c r="K29" s="12">
        <f>IF(H29="","",IF($D$18="LEGAL",H29,EDATE(H29,-$D$13)))</f>
        <v/>
      </c>
      <c r="L29" s="13">
        <f>IF(H29="","",IFERROR(INDEX('Tipos BdE'!$B$7:$M$336,MATCH(DATE(YEAR(K29),MONTH(K29),1),'Tipos BdE'!$A$7:$A$336,1),MATCH($D$9,'Tipos BdE'!$B$6:$M$6,0)),0))</f>
        <v/>
      </c>
      <c r="M29" s="13">
        <f>IF(H29="","",IF($D$18="LEGAL",0,$D$10))</f>
        <v/>
      </c>
      <c r="N29" s="13">
        <f>IF(H29="","",IF(AND($D$14="Sí",(L29+M29)&lt;0),0,L29+M29))</f>
        <v/>
      </c>
      <c r="O29" s="199">
        <f>IF(H29="","",$D$5*N29*J29/36500)</f>
        <v/>
      </c>
      <c r="P29" s="199">
        <f>IF(H29="","",$D$5+SUM($O$5:O29))</f>
        <v/>
      </c>
    </row>
    <row r="30">
      <c r="G30" s="11">
        <f>IF(H30="","",ROW()-4)</f>
        <v/>
      </c>
      <c r="H30" s="12">
        <f>IF(OR(I29="",I29&gt;=$D$7),"",I29)</f>
        <v/>
      </c>
      <c r="I30" s="12">
        <f>IF(H30="","",MIN(IF($D$18="LEGAL",DATE(YEAR(H30)+1,1,1),EDATE($D$12,$D$11*(INT((((YEAR(H30)-YEAR($D$12))*12+(MONTH(H30)-MONTH($D$12))-IF(DAY(H30)&lt;DAY($D$12),1,0))/$D$11))+1))),$D$7))</f>
        <v/>
      </c>
      <c r="J30" s="11">
        <f>IF(H30="","",I30-H30)</f>
        <v/>
      </c>
      <c r="K30" s="12">
        <f>IF(H30="","",IF($D$18="LEGAL",H30,EDATE(H30,-$D$13)))</f>
        <v/>
      </c>
      <c r="L30" s="13">
        <f>IF(H30="","",IFERROR(INDEX('Tipos BdE'!$B$7:$M$336,MATCH(DATE(YEAR(K30),MONTH(K30),1),'Tipos BdE'!$A$7:$A$336,1),MATCH($D$9,'Tipos BdE'!$B$6:$M$6,0)),0))</f>
        <v/>
      </c>
      <c r="M30" s="13">
        <f>IF(H30="","",IF($D$18="LEGAL",0,$D$10))</f>
        <v/>
      </c>
      <c r="N30" s="13">
        <f>IF(H30="","",IF(AND($D$14="Sí",(L30+M30)&lt;0),0,L30+M30))</f>
        <v/>
      </c>
      <c r="O30" s="199">
        <f>IF(H30="","",$D$5*N30*J30/36500)</f>
        <v/>
      </c>
      <c r="P30" s="199">
        <f>IF(H30="","",$D$5+SUM($O$5:O30))</f>
        <v/>
      </c>
    </row>
    <row r="31">
      <c r="G31" s="11">
        <f>IF(H31="","",ROW()-4)</f>
        <v/>
      </c>
      <c r="H31" s="12">
        <f>IF(OR(I30="",I30&gt;=$D$7),"",I30)</f>
        <v/>
      </c>
      <c r="I31" s="12">
        <f>IF(H31="","",MIN(IF($D$18="LEGAL",DATE(YEAR(H31)+1,1,1),EDATE($D$12,$D$11*(INT((((YEAR(H31)-YEAR($D$12))*12+(MONTH(H31)-MONTH($D$12))-IF(DAY(H31)&lt;DAY($D$12),1,0))/$D$11))+1))),$D$7))</f>
        <v/>
      </c>
      <c r="J31" s="11">
        <f>IF(H31="","",I31-H31)</f>
        <v/>
      </c>
      <c r="K31" s="12">
        <f>IF(H31="","",IF($D$18="LEGAL",H31,EDATE(H31,-$D$13)))</f>
        <v/>
      </c>
      <c r="L31" s="13">
        <f>IF(H31="","",IFERROR(INDEX('Tipos BdE'!$B$7:$M$336,MATCH(DATE(YEAR(K31),MONTH(K31),1),'Tipos BdE'!$A$7:$A$336,1),MATCH($D$9,'Tipos BdE'!$B$6:$M$6,0)),0))</f>
        <v/>
      </c>
      <c r="M31" s="13">
        <f>IF(H31="","",IF($D$18="LEGAL",0,$D$10))</f>
        <v/>
      </c>
      <c r="N31" s="13">
        <f>IF(H31="","",IF(AND($D$14="Sí",(L31+M31)&lt;0),0,L31+M31))</f>
        <v/>
      </c>
      <c r="O31" s="199">
        <f>IF(H31="","",$D$5*N31*J31/36500)</f>
        <v/>
      </c>
      <c r="P31" s="199">
        <f>IF(H31="","",$D$5+SUM($O$5:O31))</f>
        <v/>
      </c>
    </row>
    <row r="32">
      <c r="G32" s="11">
        <f>IF(H32="","",ROW()-4)</f>
        <v/>
      </c>
      <c r="H32" s="12">
        <f>IF(OR(I31="",I31&gt;=$D$7),"",I31)</f>
        <v/>
      </c>
      <c r="I32" s="12">
        <f>IF(H32="","",MIN(IF($D$18="LEGAL",DATE(YEAR(H32)+1,1,1),EDATE($D$12,$D$11*(INT((((YEAR(H32)-YEAR($D$12))*12+(MONTH(H32)-MONTH($D$12))-IF(DAY(H32)&lt;DAY($D$12),1,0))/$D$11))+1))),$D$7))</f>
        <v/>
      </c>
      <c r="J32" s="11">
        <f>IF(H32="","",I32-H32)</f>
        <v/>
      </c>
      <c r="K32" s="12">
        <f>IF(H32="","",IF($D$18="LEGAL",H32,EDATE(H32,-$D$13)))</f>
        <v/>
      </c>
      <c r="L32" s="13">
        <f>IF(H32="","",IFERROR(INDEX('Tipos BdE'!$B$7:$M$336,MATCH(DATE(YEAR(K32),MONTH(K32),1),'Tipos BdE'!$A$7:$A$336,1),MATCH($D$9,'Tipos BdE'!$B$6:$M$6,0)),0))</f>
        <v/>
      </c>
      <c r="M32" s="13">
        <f>IF(H32="","",IF($D$18="LEGAL",0,$D$10))</f>
        <v/>
      </c>
      <c r="N32" s="13">
        <f>IF(H32="","",IF(AND($D$14="Sí",(L32+M32)&lt;0),0,L32+M32))</f>
        <v/>
      </c>
      <c r="O32" s="199">
        <f>IF(H32="","",$D$5*N32*J32/36500)</f>
        <v/>
      </c>
      <c r="P32" s="199">
        <f>IF(H32="","",$D$5+SUM($O$5:O32))</f>
        <v/>
      </c>
    </row>
    <row r="33">
      <c r="G33" s="11">
        <f>IF(H33="","",ROW()-4)</f>
        <v/>
      </c>
      <c r="H33" s="12">
        <f>IF(OR(I32="",I32&gt;=$D$7),"",I32)</f>
        <v/>
      </c>
      <c r="I33" s="12">
        <f>IF(H33="","",MIN(IF($D$18="LEGAL",DATE(YEAR(H33)+1,1,1),EDATE($D$12,$D$11*(INT((((YEAR(H33)-YEAR($D$12))*12+(MONTH(H33)-MONTH($D$12))-IF(DAY(H33)&lt;DAY($D$12),1,0))/$D$11))+1))),$D$7))</f>
        <v/>
      </c>
      <c r="J33" s="11">
        <f>IF(H33="","",I33-H33)</f>
        <v/>
      </c>
      <c r="K33" s="12">
        <f>IF(H33="","",IF($D$18="LEGAL",H33,EDATE(H33,-$D$13)))</f>
        <v/>
      </c>
      <c r="L33" s="13">
        <f>IF(H33="","",IFERROR(INDEX('Tipos BdE'!$B$7:$M$336,MATCH(DATE(YEAR(K33),MONTH(K33),1),'Tipos BdE'!$A$7:$A$336,1),MATCH($D$9,'Tipos BdE'!$B$6:$M$6,0)),0))</f>
        <v/>
      </c>
      <c r="M33" s="13">
        <f>IF(H33="","",IF($D$18="LEGAL",0,$D$10))</f>
        <v/>
      </c>
      <c r="N33" s="13">
        <f>IF(H33="","",IF(AND($D$14="Sí",(L33+M33)&lt;0),0,L33+M33))</f>
        <v/>
      </c>
      <c r="O33" s="199">
        <f>IF(H33="","",$D$5*N33*J33/36500)</f>
        <v/>
      </c>
      <c r="P33" s="199">
        <f>IF(H33="","",$D$5+SUM($O$5:O33))</f>
        <v/>
      </c>
    </row>
    <row r="34">
      <c r="G34" s="11">
        <f>IF(H34="","",ROW()-4)</f>
        <v/>
      </c>
      <c r="H34" s="12">
        <f>IF(OR(I33="",I33&gt;=$D$7),"",I33)</f>
        <v/>
      </c>
      <c r="I34" s="12">
        <f>IF(H34="","",MIN(IF($D$18="LEGAL",DATE(YEAR(H34)+1,1,1),EDATE($D$12,$D$11*(INT((((YEAR(H34)-YEAR($D$12))*12+(MONTH(H34)-MONTH($D$12))-IF(DAY(H34)&lt;DAY($D$12),1,0))/$D$11))+1))),$D$7))</f>
        <v/>
      </c>
      <c r="J34" s="11">
        <f>IF(H34="","",I34-H34)</f>
        <v/>
      </c>
      <c r="K34" s="12">
        <f>IF(H34="","",IF($D$18="LEGAL",H34,EDATE(H34,-$D$13)))</f>
        <v/>
      </c>
      <c r="L34" s="13">
        <f>IF(H34="","",IFERROR(INDEX('Tipos BdE'!$B$7:$M$336,MATCH(DATE(YEAR(K34),MONTH(K34),1),'Tipos BdE'!$A$7:$A$336,1),MATCH($D$9,'Tipos BdE'!$B$6:$M$6,0)),0))</f>
        <v/>
      </c>
      <c r="M34" s="13">
        <f>IF(H34="","",IF($D$18="LEGAL",0,$D$10))</f>
        <v/>
      </c>
      <c r="N34" s="13">
        <f>IF(H34="","",IF(AND($D$14="Sí",(L34+M34)&lt;0),0,L34+M34))</f>
        <v/>
      </c>
      <c r="O34" s="199">
        <f>IF(H34="","",$D$5*N34*J34/36500)</f>
        <v/>
      </c>
      <c r="P34" s="199">
        <f>IF(H34="","",$D$5+SUM($O$5:O34))</f>
        <v/>
      </c>
    </row>
    <row r="35">
      <c r="G35" s="11">
        <f>IF(H35="","",ROW()-4)</f>
        <v/>
      </c>
      <c r="H35" s="12">
        <f>IF(OR(I34="",I34&gt;=$D$7),"",I34)</f>
        <v/>
      </c>
      <c r="I35" s="12">
        <f>IF(H35="","",MIN(IF($D$18="LEGAL",DATE(YEAR(H35)+1,1,1),EDATE($D$12,$D$11*(INT((((YEAR(H35)-YEAR($D$12))*12+(MONTH(H35)-MONTH($D$12))-IF(DAY(H35)&lt;DAY($D$12),1,0))/$D$11))+1))),$D$7))</f>
        <v/>
      </c>
      <c r="J35" s="11">
        <f>IF(H35="","",I35-H35)</f>
        <v/>
      </c>
      <c r="K35" s="12">
        <f>IF(H35="","",IF($D$18="LEGAL",H35,EDATE(H35,-$D$13)))</f>
        <v/>
      </c>
      <c r="L35" s="13">
        <f>IF(H35="","",IFERROR(INDEX('Tipos BdE'!$B$7:$M$336,MATCH(DATE(YEAR(K35),MONTH(K35),1),'Tipos BdE'!$A$7:$A$336,1),MATCH($D$9,'Tipos BdE'!$B$6:$M$6,0)),0))</f>
        <v/>
      </c>
      <c r="M35" s="13">
        <f>IF(H35="","",IF($D$18="LEGAL",0,$D$10))</f>
        <v/>
      </c>
      <c r="N35" s="13">
        <f>IF(H35="","",IF(AND($D$14="Sí",(L35+M35)&lt;0),0,L35+M35))</f>
        <v/>
      </c>
      <c r="O35" s="199">
        <f>IF(H35="","",$D$5*N35*J35/36500)</f>
        <v/>
      </c>
      <c r="P35" s="199">
        <f>IF(H35="","",$D$5+SUM($O$5:O35))</f>
        <v/>
      </c>
    </row>
    <row r="36">
      <c r="G36" s="11">
        <f>IF(H36="","",ROW()-4)</f>
        <v/>
      </c>
      <c r="H36" s="12">
        <f>IF(OR(I35="",I35&gt;=$D$7),"",I35)</f>
        <v/>
      </c>
      <c r="I36" s="12">
        <f>IF(H36="","",MIN(IF($D$18="LEGAL",DATE(YEAR(H36)+1,1,1),EDATE($D$12,$D$11*(INT((((YEAR(H36)-YEAR($D$12))*12+(MONTH(H36)-MONTH($D$12))-IF(DAY(H36)&lt;DAY($D$12),1,0))/$D$11))+1))),$D$7))</f>
        <v/>
      </c>
      <c r="J36" s="11">
        <f>IF(H36="","",I36-H36)</f>
        <v/>
      </c>
      <c r="K36" s="12">
        <f>IF(H36="","",IF($D$18="LEGAL",H36,EDATE(H36,-$D$13)))</f>
        <v/>
      </c>
      <c r="L36" s="13">
        <f>IF(H36="","",IFERROR(INDEX('Tipos BdE'!$B$7:$M$336,MATCH(DATE(YEAR(K36),MONTH(K36),1),'Tipos BdE'!$A$7:$A$336,1),MATCH($D$9,'Tipos BdE'!$B$6:$M$6,0)),0))</f>
        <v/>
      </c>
      <c r="M36" s="13">
        <f>IF(H36="","",IF($D$18="LEGAL",0,$D$10))</f>
        <v/>
      </c>
      <c r="N36" s="13">
        <f>IF(H36="","",IF(AND($D$14="Sí",(L36+M36)&lt;0),0,L36+M36))</f>
        <v/>
      </c>
      <c r="O36" s="199">
        <f>IF(H36="","",$D$5*N36*J36/36500)</f>
        <v/>
      </c>
      <c r="P36" s="199">
        <f>IF(H36="","",$D$5+SUM($O$5:O36))</f>
        <v/>
      </c>
    </row>
    <row r="37">
      <c r="G37" s="11">
        <f>IF(H37="","",ROW()-4)</f>
        <v/>
      </c>
      <c r="H37" s="12">
        <f>IF(OR(I36="",I36&gt;=$D$7),"",I36)</f>
        <v/>
      </c>
      <c r="I37" s="12">
        <f>IF(H37="","",MIN(IF($D$18="LEGAL",DATE(YEAR(H37)+1,1,1),EDATE($D$12,$D$11*(INT((((YEAR(H37)-YEAR($D$12))*12+(MONTH(H37)-MONTH($D$12))-IF(DAY(H37)&lt;DAY($D$12),1,0))/$D$11))+1))),$D$7))</f>
        <v/>
      </c>
      <c r="J37" s="11">
        <f>IF(H37="","",I37-H37)</f>
        <v/>
      </c>
      <c r="K37" s="12">
        <f>IF(H37="","",IF($D$18="LEGAL",H37,EDATE(H37,-$D$13)))</f>
        <v/>
      </c>
      <c r="L37" s="13">
        <f>IF(H37="","",IFERROR(INDEX('Tipos BdE'!$B$7:$M$336,MATCH(DATE(YEAR(K37),MONTH(K37),1),'Tipos BdE'!$A$7:$A$336,1),MATCH($D$9,'Tipos BdE'!$B$6:$M$6,0)),0))</f>
        <v/>
      </c>
      <c r="M37" s="13">
        <f>IF(H37="","",IF($D$18="LEGAL",0,$D$10))</f>
        <v/>
      </c>
      <c r="N37" s="13">
        <f>IF(H37="","",IF(AND($D$14="Sí",(L37+M37)&lt;0),0,L37+M37))</f>
        <v/>
      </c>
      <c r="O37" s="199">
        <f>IF(H37="","",$D$5*N37*J37/36500)</f>
        <v/>
      </c>
      <c r="P37" s="199">
        <f>IF(H37="","",$D$5+SUM($O$5:O37))</f>
        <v/>
      </c>
    </row>
    <row r="38">
      <c r="G38" s="11">
        <f>IF(H38="","",ROW()-4)</f>
        <v/>
      </c>
      <c r="H38" s="12">
        <f>IF(OR(I37="",I37&gt;=$D$7),"",I37)</f>
        <v/>
      </c>
      <c r="I38" s="12">
        <f>IF(H38="","",MIN(IF($D$18="LEGAL",DATE(YEAR(H38)+1,1,1),EDATE($D$12,$D$11*(INT((((YEAR(H38)-YEAR($D$12))*12+(MONTH(H38)-MONTH($D$12))-IF(DAY(H38)&lt;DAY($D$12),1,0))/$D$11))+1))),$D$7))</f>
        <v/>
      </c>
      <c r="J38" s="11">
        <f>IF(H38="","",I38-H38)</f>
        <v/>
      </c>
      <c r="K38" s="12">
        <f>IF(H38="","",IF($D$18="LEGAL",H38,EDATE(H38,-$D$13)))</f>
        <v/>
      </c>
      <c r="L38" s="13">
        <f>IF(H38="","",IFERROR(INDEX('Tipos BdE'!$B$7:$M$336,MATCH(DATE(YEAR(K38),MONTH(K38),1),'Tipos BdE'!$A$7:$A$336,1),MATCH($D$9,'Tipos BdE'!$B$6:$M$6,0)),0))</f>
        <v/>
      </c>
      <c r="M38" s="13">
        <f>IF(H38="","",IF($D$18="LEGAL",0,$D$10))</f>
        <v/>
      </c>
      <c r="N38" s="13">
        <f>IF(H38="","",IF(AND($D$14="Sí",(L38+M38)&lt;0),0,L38+M38))</f>
        <v/>
      </c>
      <c r="O38" s="199">
        <f>IF(H38="","",$D$5*N38*J38/36500)</f>
        <v/>
      </c>
      <c r="P38" s="199">
        <f>IF(H38="","",$D$5+SUM($O$5:O38))</f>
        <v/>
      </c>
    </row>
    <row r="39">
      <c r="G39" s="11">
        <f>IF(H39="","",ROW()-4)</f>
        <v/>
      </c>
      <c r="H39" s="12">
        <f>IF(OR(I38="",I38&gt;=$D$7),"",I38)</f>
        <v/>
      </c>
      <c r="I39" s="12">
        <f>IF(H39="","",MIN(IF($D$18="LEGAL",DATE(YEAR(H39)+1,1,1),EDATE($D$12,$D$11*(INT((((YEAR(H39)-YEAR($D$12))*12+(MONTH(H39)-MONTH($D$12))-IF(DAY(H39)&lt;DAY($D$12),1,0))/$D$11))+1))),$D$7))</f>
        <v/>
      </c>
      <c r="J39" s="11">
        <f>IF(H39="","",I39-H39)</f>
        <v/>
      </c>
      <c r="K39" s="12">
        <f>IF(H39="","",IF($D$18="LEGAL",H39,EDATE(H39,-$D$13)))</f>
        <v/>
      </c>
      <c r="L39" s="13">
        <f>IF(H39="","",IFERROR(INDEX('Tipos BdE'!$B$7:$M$336,MATCH(DATE(YEAR(K39),MONTH(K39),1),'Tipos BdE'!$A$7:$A$336,1),MATCH($D$9,'Tipos BdE'!$B$6:$M$6,0)),0))</f>
        <v/>
      </c>
      <c r="M39" s="13">
        <f>IF(H39="","",IF($D$18="LEGAL",0,$D$10))</f>
        <v/>
      </c>
      <c r="N39" s="13">
        <f>IF(H39="","",IF(AND($D$14="Sí",(L39+M39)&lt;0),0,L39+M39))</f>
        <v/>
      </c>
      <c r="O39" s="199">
        <f>IF(H39="","",$D$5*N39*J39/36500)</f>
        <v/>
      </c>
      <c r="P39" s="199">
        <f>IF(H39="","",$D$5+SUM($O$5:O39))</f>
        <v/>
      </c>
    </row>
    <row r="40">
      <c r="G40" s="11">
        <f>IF(H40="","",ROW()-4)</f>
        <v/>
      </c>
      <c r="H40" s="12">
        <f>IF(OR(I39="",I39&gt;=$D$7),"",I39)</f>
        <v/>
      </c>
      <c r="I40" s="12">
        <f>IF(H40="","",MIN(IF($D$18="LEGAL",DATE(YEAR(H40)+1,1,1),EDATE($D$12,$D$11*(INT((((YEAR(H40)-YEAR($D$12))*12+(MONTH(H40)-MONTH($D$12))-IF(DAY(H40)&lt;DAY($D$12),1,0))/$D$11))+1))),$D$7))</f>
        <v/>
      </c>
      <c r="J40" s="11">
        <f>IF(H40="","",I40-H40)</f>
        <v/>
      </c>
      <c r="K40" s="12">
        <f>IF(H40="","",IF($D$18="LEGAL",H40,EDATE(H40,-$D$13)))</f>
        <v/>
      </c>
      <c r="L40" s="13">
        <f>IF(H40="","",IFERROR(INDEX('Tipos BdE'!$B$7:$M$336,MATCH(DATE(YEAR(K40),MONTH(K40),1),'Tipos BdE'!$A$7:$A$336,1),MATCH($D$9,'Tipos BdE'!$B$6:$M$6,0)),0))</f>
        <v/>
      </c>
      <c r="M40" s="13">
        <f>IF(H40="","",IF($D$18="LEGAL",0,$D$10))</f>
        <v/>
      </c>
      <c r="N40" s="13">
        <f>IF(H40="","",IF(AND($D$14="Sí",(L40+M40)&lt;0),0,L40+M40))</f>
        <v/>
      </c>
      <c r="O40" s="199">
        <f>IF(H40="","",$D$5*N40*J40/36500)</f>
        <v/>
      </c>
      <c r="P40" s="199">
        <f>IF(H40="","",$D$5+SUM($O$5:O40))</f>
        <v/>
      </c>
    </row>
    <row r="41">
      <c r="G41" s="11">
        <f>IF(H41="","",ROW()-4)</f>
        <v/>
      </c>
      <c r="H41" s="12">
        <f>IF(OR(I40="",I40&gt;=$D$7),"",I40)</f>
        <v/>
      </c>
      <c r="I41" s="12">
        <f>IF(H41="","",MIN(IF($D$18="LEGAL",DATE(YEAR(H41)+1,1,1),EDATE($D$12,$D$11*(INT((((YEAR(H41)-YEAR($D$12))*12+(MONTH(H41)-MONTH($D$12))-IF(DAY(H41)&lt;DAY($D$12),1,0))/$D$11))+1))),$D$7))</f>
        <v/>
      </c>
      <c r="J41" s="11">
        <f>IF(H41="","",I41-H41)</f>
        <v/>
      </c>
      <c r="K41" s="12">
        <f>IF(H41="","",IF($D$18="LEGAL",H41,EDATE(H41,-$D$13)))</f>
        <v/>
      </c>
      <c r="L41" s="13">
        <f>IF(H41="","",IFERROR(INDEX('Tipos BdE'!$B$7:$M$336,MATCH(DATE(YEAR(K41),MONTH(K41),1),'Tipos BdE'!$A$7:$A$336,1),MATCH($D$9,'Tipos BdE'!$B$6:$M$6,0)),0))</f>
        <v/>
      </c>
      <c r="M41" s="13">
        <f>IF(H41="","",IF($D$18="LEGAL",0,$D$10))</f>
        <v/>
      </c>
      <c r="N41" s="13">
        <f>IF(H41="","",IF(AND($D$14="Sí",(L41+M41)&lt;0),0,L41+M41))</f>
        <v/>
      </c>
      <c r="O41" s="199">
        <f>IF(H41="","",$D$5*N41*J41/36500)</f>
        <v/>
      </c>
      <c r="P41" s="199">
        <f>IF(H41="","",$D$5+SUM($O$5:O41))</f>
        <v/>
      </c>
    </row>
    <row r="42">
      <c r="G42" s="11">
        <f>IF(H42="","",ROW()-4)</f>
        <v/>
      </c>
      <c r="H42" s="12">
        <f>IF(OR(I41="",I41&gt;=$D$7),"",I41)</f>
        <v/>
      </c>
      <c r="I42" s="12">
        <f>IF(H42="","",MIN(IF($D$18="LEGAL",DATE(YEAR(H42)+1,1,1),EDATE($D$12,$D$11*(INT((((YEAR(H42)-YEAR($D$12))*12+(MONTH(H42)-MONTH($D$12))-IF(DAY(H42)&lt;DAY($D$12),1,0))/$D$11))+1))),$D$7))</f>
        <v/>
      </c>
      <c r="J42" s="11">
        <f>IF(H42="","",I42-H42)</f>
        <v/>
      </c>
      <c r="K42" s="12">
        <f>IF(H42="","",IF($D$18="LEGAL",H42,EDATE(H42,-$D$13)))</f>
        <v/>
      </c>
      <c r="L42" s="13">
        <f>IF(H42="","",IFERROR(INDEX('Tipos BdE'!$B$7:$M$336,MATCH(DATE(YEAR(K42),MONTH(K42),1),'Tipos BdE'!$A$7:$A$336,1),MATCH($D$9,'Tipos BdE'!$B$6:$M$6,0)),0))</f>
        <v/>
      </c>
      <c r="M42" s="13">
        <f>IF(H42="","",IF($D$18="LEGAL",0,$D$10))</f>
        <v/>
      </c>
      <c r="N42" s="13">
        <f>IF(H42="","",IF(AND($D$14="Sí",(L42+M42)&lt;0),0,L42+M42))</f>
        <v/>
      </c>
      <c r="O42" s="199">
        <f>IF(H42="","",$D$5*N42*J42/36500)</f>
        <v/>
      </c>
      <c r="P42" s="199">
        <f>IF(H42="","",$D$5+SUM($O$5:O42))</f>
        <v/>
      </c>
    </row>
    <row r="43">
      <c r="G43" s="11">
        <f>IF(H43="","",ROW()-4)</f>
        <v/>
      </c>
      <c r="H43" s="12">
        <f>IF(OR(I42="",I42&gt;=$D$7),"",I42)</f>
        <v/>
      </c>
      <c r="I43" s="12">
        <f>IF(H43="","",MIN(IF($D$18="LEGAL",DATE(YEAR(H43)+1,1,1),EDATE($D$12,$D$11*(INT((((YEAR(H43)-YEAR($D$12))*12+(MONTH(H43)-MONTH($D$12))-IF(DAY(H43)&lt;DAY($D$12),1,0))/$D$11))+1))),$D$7))</f>
        <v/>
      </c>
      <c r="J43" s="11">
        <f>IF(H43="","",I43-H43)</f>
        <v/>
      </c>
      <c r="K43" s="12">
        <f>IF(H43="","",IF($D$18="LEGAL",H43,EDATE(H43,-$D$13)))</f>
        <v/>
      </c>
      <c r="L43" s="13">
        <f>IF(H43="","",IFERROR(INDEX('Tipos BdE'!$B$7:$M$336,MATCH(DATE(YEAR(K43),MONTH(K43),1),'Tipos BdE'!$A$7:$A$336,1),MATCH($D$9,'Tipos BdE'!$B$6:$M$6,0)),0))</f>
        <v/>
      </c>
      <c r="M43" s="13">
        <f>IF(H43="","",IF($D$18="LEGAL",0,$D$10))</f>
        <v/>
      </c>
      <c r="N43" s="13">
        <f>IF(H43="","",IF(AND($D$14="Sí",(L43+M43)&lt;0),0,L43+M43))</f>
        <v/>
      </c>
      <c r="O43" s="199">
        <f>IF(H43="","",$D$5*N43*J43/36500)</f>
        <v/>
      </c>
      <c r="P43" s="199">
        <f>IF(H43="","",$D$5+SUM($O$5:O43))</f>
        <v/>
      </c>
    </row>
    <row r="44">
      <c r="G44" s="11">
        <f>IF(H44="","",ROW()-4)</f>
        <v/>
      </c>
      <c r="H44" s="12">
        <f>IF(OR(I43="",I43&gt;=$D$7),"",I43)</f>
        <v/>
      </c>
      <c r="I44" s="12">
        <f>IF(H44="","",MIN(IF($D$18="LEGAL",DATE(YEAR(H44)+1,1,1),EDATE($D$12,$D$11*(INT((((YEAR(H44)-YEAR($D$12))*12+(MONTH(H44)-MONTH($D$12))-IF(DAY(H44)&lt;DAY($D$12),1,0))/$D$11))+1))),$D$7))</f>
        <v/>
      </c>
      <c r="J44" s="11">
        <f>IF(H44="","",I44-H44)</f>
        <v/>
      </c>
      <c r="K44" s="12">
        <f>IF(H44="","",IF($D$18="LEGAL",H44,EDATE(H44,-$D$13)))</f>
        <v/>
      </c>
      <c r="L44" s="13">
        <f>IF(H44="","",IFERROR(INDEX('Tipos BdE'!$B$7:$M$336,MATCH(DATE(YEAR(K44),MONTH(K44),1),'Tipos BdE'!$A$7:$A$336,1),MATCH($D$9,'Tipos BdE'!$B$6:$M$6,0)),0))</f>
        <v/>
      </c>
      <c r="M44" s="13">
        <f>IF(H44="","",IF($D$18="LEGAL",0,$D$10))</f>
        <v/>
      </c>
      <c r="N44" s="13">
        <f>IF(H44="","",IF(AND($D$14="Sí",(L44+M44)&lt;0),0,L44+M44))</f>
        <v/>
      </c>
      <c r="O44" s="199">
        <f>IF(H44="","",$D$5*N44*J44/36500)</f>
        <v/>
      </c>
      <c r="P44" s="199">
        <f>IF(H44="","",$D$5+SUM($O$5:O44))</f>
        <v/>
      </c>
    </row>
    <row r="45">
      <c r="G45" s="11">
        <f>IF(H45="","",ROW()-4)</f>
        <v/>
      </c>
      <c r="H45" s="12">
        <f>IF(OR(I44="",I44&gt;=$D$7),"",I44)</f>
        <v/>
      </c>
      <c r="I45" s="12">
        <f>IF(H45="","",MIN(IF($D$18="LEGAL",DATE(YEAR(H45)+1,1,1),EDATE($D$12,$D$11*(INT((((YEAR(H45)-YEAR($D$12))*12+(MONTH(H45)-MONTH($D$12))-IF(DAY(H45)&lt;DAY($D$12),1,0))/$D$11))+1))),$D$7))</f>
        <v/>
      </c>
      <c r="J45" s="11">
        <f>IF(H45="","",I45-H45)</f>
        <v/>
      </c>
      <c r="K45" s="12">
        <f>IF(H45="","",IF($D$18="LEGAL",H45,EDATE(H45,-$D$13)))</f>
        <v/>
      </c>
      <c r="L45" s="13">
        <f>IF(H45="","",IFERROR(INDEX('Tipos BdE'!$B$7:$M$336,MATCH(DATE(YEAR(K45),MONTH(K45),1),'Tipos BdE'!$A$7:$A$336,1),MATCH($D$9,'Tipos BdE'!$B$6:$M$6,0)),0))</f>
        <v/>
      </c>
      <c r="M45" s="13">
        <f>IF(H45="","",IF($D$18="LEGAL",0,$D$10))</f>
        <v/>
      </c>
      <c r="N45" s="13">
        <f>IF(H45="","",IF(AND($D$14="Sí",(L45+M45)&lt;0),0,L45+M45))</f>
        <v/>
      </c>
      <c r="O45" s="199">
        <f>IF(H45="","",$D$5*N45*J45/36500)</f>
        <v/>
      </c>
      <c r="P45" s="199">
        <f>IF(H45="","",$D$5+SUM($O$5:O45))</f>
        <v/>
      </c>
    </row>
    <row r="46">
      <c r="G46" s="11">
        <f>IF(H46="","",ROW()-4)</f>
        <v/>
      </c>
      <c r="H46" s="12">
        <f>IF(OR(I45="",I45&gt;=$D$7),"",I45)</f>
        <v/>
      </c>
      <c r="I46" s="12">
        <f>IF(H46="","",MIN(IF($D$18="LEGAL",DATE(YEAR(H46)+1,1,1),EDATE($D$12,$D$11*(INT((((YEAR(H46)-YEAR($D$12))*12+(MONTH(H46)-MONTH($D$12))-IF(DAY(H46)&lt;DAY($D$12),1,0))/$D$11))+1))),$D$7))</f>
        <v/>
      </c>
      <c r="J46" s="11">
        <f>IF(H46="","",I46-H46)</f>
        <v/>
      </c>
      <c r="K46" s="12">
        <f>IF(H46="","",IF($D$18="LEGAL",H46,EDATE(H46,-$D$13)))</f>
        <v/>
      </c>
      <c r="L46" s="13">
        <f>IF(H46="","",IFERROR(INDEX('Tipos BdE'!$B$7:$M$336,MATCH(DATE(YEAR(K46),MONTH(K46),1),'Tipos BdE'!$A$7:$A$336,1),MATCH($D$9,'Tipos BdE'!$B$6:$M$6,0)),0))</f>
        <v/>
      </c>
      <c r="M46" s="13">
        <f>IF(H46="","",IF($D$18="LEGAL",0,$D$10))</f>
        <v/>
      </c>
      <c r="N46" s="13">
        <f>IF(H46="","",IF(AND($D$14="Sí",(L46+M46)&lt;0),0,L46+M46))</f>
        <v/>
      </c>
      <c r="O46" s="199">
        <f>IF(H46="","",$D$5*N46*J46/36500)</f>
        <v/>
      </c>
      <c r="P46" s="199">
        <f>IF(H46="","",$D$5+SUM($O$5:O46))</f>
        <v/>
      </c>
    </row>
    <row r="47">
      <c r="G47" s="11">
        <f>IF(H47="","",ROW()-4)</f>
        <v/>
      </c>
      <c r="H47" s="12">
        <f>IF(OR(I46="",I46&gt;=$D$7),"",I46)</f>
        <v/>
      </c>
      <c r="I47" s="12">
        <f>IF(H47="","",MIN(IF($D$18="LEGAL",DATE(YEAR(H47)+1,1,1),EDATE($D$12,$D$11*(INT((((YEAR(H47)-YEAR($D$12))*12+(MONTH(H47)-MONTH($D$12))-IF(DAY(H47)&lt;DAY($D$12),1,0))/$D$11))+1))),$D$7))</f>
        <v/>
      </c>
      <c r="J47" s="11">
        <f>IF(H47="","",I47-H47)</f>
        <v/>
      </c>
      <c r="K47" s="12">
        <f>IF(H47="","",IF($D$18="LEGAL",H47,EDATE(H47,-$D$13)))</f>
        <v/>
      </c>
      <c r="L47" s="13">
        <f>IF(H47="","",IFERROR(INDEX('Tipos BdE'!$B$7:$M$336,MATCH(DATE(YEAR(K47),MONTH(K47),1),'Tipos BdE'!$A$7:$A$336,1),MATCH($D$9,'Tipos BdE'!$B$6:$M$6,0)),0))</f>
        <v/>
      </c>
      <c r="M47" s="13">
        <f>IF(H47="","",IF($D$18="LEGAL",0,$D$10))</f>
        <v/>
      </c>
      <c r="N47" s="13">
        <f>IF(H47="","",IF(AND($D$14="Sí",(L47+M47)&lt;0),0,L47+M47))</f>
        <v/>
      </c>
      <c r="O47" s="199">
        <f>IF(H47="","",$D$5*N47*J47/36500)</f>
        <v/>
      </c>
      <c r="P47" s="199">
        <f>IF(H47="","",$D$5+SUM($O$5:O47))</f>
        <v/>
      </c>
    </row>
    <row r="48">
      <c r="G48" s="11">
        <f>IF(H48="","",ROW()-4)</f>
        <v/>
      </c>
      <c r="H48" s="12">
        <f>IF(OR(I47="",I47&gt;=$D$7),"",I47)</f>
        <v/>
      </c>
      <c r="I48" s="12">
        <f>IF(H48="","",MIN(IF($D$18="LEGAL",DATE(YEAR(H48)+1,1,1),EDATE($D$12,$D$11*(INT((((YEAR(H48)-YEAR($D$12))*12+(MONTH(H48)-MONTH($D$12))-IF(DAY(H48)&lt;DAY($D$12),1,0))/$D$11))+1))),$D$7))</f>
        <v/>
      </c>
      <c r="J48" s="11">
        <f>IF(H48="","",I48-H48)</f>
        <v/>
      </c>
      <c r="K48" s="12">
        <f>IF(H48="","",IF($D$18="LEGAL",H48,EDATE(H48,-$D$13)))</f>
        <v/>
      </c>
      <c r="L48" s="13">
        <f>IF(H48="","",IFERROR(INDEX('Tipos BdE'!$B$7:$M$336,MATCH(DATE(YEAR(K48),MONTH(K48),1),'Tipos BdE'!$A$7:$A$336,1),MATCH($D$9,'Tipos BdE'!$B$6:$M$6,0)),0))</f>
        <v/>
      </c>
      <c r="M48" s="13">
        <f>IF(H48="","",IF($D$18="LEGAL",0,$D$10))</f>
        <v/>
      </c>
      <c r="N48" s="13">
        <f>IF(H48="","",IF(AND($D$14="Sí",(L48+M48)&lt;0),0,L48+M48))</f>
        <v/>
      </c>
      <c r="O48" s="199">
        <f>IF(H48="","",$D$5*N48*J48/36500)</f>
        <v/>
      </c>
      <c r="P48" s="199">
        <f>IF(H48="","",$D$5+SUM($O$5:O48))</f>
        <v/>
      </c>
    </row>
    <row r="49">
      <c r="G49" s="11">
        <f>IF(H49="","",ROW()-4)</f>
        <v/>
      </c>
      <c r="H49" s="12">
        <f>IF(OR(I48="",I48&gt;=$D$7),"",I48)</f>
        <v/>
      </c>
      <c r="I49" s="12">
        <f>IF(H49="","",MIN(IF($D$18="LEGAL",DATE(YEAR(H49)+1,1,1),EDATE($D$12,$D$11*(INT((((YEAR(H49)-YEAR($D$12))*12+(MONTH(H49)-MONTH($D$12))-IF(DAY(H49)&lt;DAY($D$12),1,0))/$D$11))+1))),$D$7))</f>
        <v/>
      </c>
      <c r="J49" s="11">
        <f>IF(H49="","",I49-H49)</f>
        <v/>
      </c>
      <c r="K49" s="12">
        <f>IF(H49="","",IF($D$18="LEGAL",H49,EDATE(H49,-$D$13)))</f>
        <v/>
      </c>
      <c r="L49" s="13">
        <f>IF(H49="","",IFERROR(INDEX('Tipos BdE'!$B$7:$M$336,MATCH(DATE(YEAR(K49),MONTH(K49),1),'Tipos BdE'!$A$7:$A$336,1),MATCH($D$9,'Tipos BdE'!$B$6:$M$6,0)),0))</f>
        <v/>
      </c>
      <c r="M49" s="13">
        <f>IF(H49="","",IF($D$18="LEGAL",0,$D$10))</f>
        <v/>
      </c>
      <c r="N49" s="13">
        <f>IF(H49="","",IF(AND($D$14="Sí",(L49+M49)&lt;0),0,L49+M49))</f>
        <v/>
      </c>
      <c r="O49" s="199">
        <f>IF(H49="","",$D$5*N49*J49/36500)</f>
        <v/>
      </c>
      <c r="P49" s="199">
        <f>IF(H49="","",$D$5+SUM($O$5:O49))</f>
        <v/>
      </c>
    </row>
    <row r="50">
      <c r="G50" s="11">
        <f>IF(H50="","",ROW()-4)</f>
        <v/>
      </c>
      <c r="H50" s="12">
        <f>IF(OR(I49="",I49&gt;=$D$7),"",I49)</f>
        <v/>
      </c>
      <c r="I50" s="12">
        <f>IF(H50="","",MIN(IF($D$18="LEGAL",DATE(YEAR(H50)+1,1,1),EDATE($D$12,$D$11*(INT((((YEAR(H50)-YEAR($D$12))*12+(MONTH(H50)-MONTH($D$12))-IF(DAY(H50)&lt;DAY($D$12),1,0))/$D$11))+1))),$D$7))</f>
        <v/>
      </c>
      <c r="J50" s="11">
        <f>IF(H50="","",I50-H50)</f>
        <v/>
      </c>
      <c r="K50" s="12">
        <f>IF(H50="","",IF($D$18="LEGAL",H50,EDATE(H50,-$D$13)))</f>
        <v/>
      </c>
      <c r="L50" s="13">
        <f>IF(H50="","",IFERROR(INDEX('Tipos BdE'!$B$7:$M$336,MATCH(DATE(YEAR(K50),MONTH(K50),1),'Tipos BdE'!$A$7:$A$336,1),MATCH($D$9,'Tipos BdE'!$B$6:$M$6,0)),0))</f>
        <v/>
      </c>
      <c r="M50" s="13">
        <f>IF(H50="","",IF($D$18="LEGAL",0,$D$10))</f>
        <v/>
      </c>
      <c r="N50" s="13">
        <f>IF(H50="","",IF(AND($D$14="Sí",(L50+M50)&lt;0),0,L50+M50))</f>
        <v/>
      </c>
      <c r="O50" s="199">
        <f>IF(H50="","",$D$5*N50*J50/36500)</f>
        <v/>
      </c>
      <c r="P50" s="199">
        <f>IF(H50="","",$D$5+SUM($O$5:O50))</f>
        <v/>
      </c>
    </row>
    <row r="51">
      <c r="G51" s="11">
        <f>IF(H51="","",ROW()-4)</f>
        <v/>
      </c>
      <c r="H51" s="12">
        <f>IF(OR(I50="",I50&gt;=$D$7),"",I50)</f>
        <v/>
      </c>
      <c r="I51" s="12">
        <f>IF(H51="","",MIN(IF($D$18="LEGAL",DATE(YEAR(H51)+1,1,1),EDATE($D$12,$D$11*(INT((((YEAR(H51)-YEAR($D$12))*12+(MONTH(H51)-MONTH($D$12))-IF(DAY(H51)&lt;DAY($D$12),1,0))/$D$11))+1))),$D$7))</f>
        <v/>
      </c>
      <c r="J51" s="11">
        <f>IF(H51="","",I51-H51)</f>
        <v/>
      </c>
      <c r="K51" s="12">
        <f>IF(H51="","",IF($D$18="LEGAL",H51,EDATE(H51,-$D$13)))</f>
        <v/>
      </c>
      <c r="L51" s="13">
        <f>IF(H51="","",IFERROR(INDEX('Tipos BdE'!$B$7:$M$336,MATCH(DATE(YEAR(K51),MONTH(K51),1),'Tipos BdE'!$A$7:$A$336,1),MATCH($D$9,'Tipos BdE'!$B$6:$M$6,0)),0))</f>
        <v/>
      </c>
      <c r="M51" s="13">
        <f>IF(H51="","",IF($D$18="LEGAL",0,$D$10))</f>
        <v/>
      </c>
      <c r="N51" s="13">
        <f>IF(H51="","",IF(AND($D$14="Sí",(L51+M51)&lt;0),0,L51+M51))</f>
        <v/>
      </c>
      <c r="O51" s="199">
        <f>IF(H51="","",$D$5*N51*J51/36500)</f>
        <v/>
      </c>
      <c r="P51" s="199">
        <f>IF(H51="","",$D$5+SUM($O$5:O51))</f>
        <v/>
      </c>
    </row>
    <row r="52">
      <c r="G52" s="11">
        <f>IF(H52="","",ROW()-4)</f>
        <v/>
      </c>
      <c r="H52" s="12">
        <f>IF(OR(I51="",I51&gt;=$D$7),"",I51)</f>
        <v/>
      </c>
      <c r="I52" s="12">
        <f>IF(H52="","",MIN(IF($D$18="LEGAL",DATE(YEAR(H52)+1,1,1),EDATE($D$12,$D$11*(INT((((YEAR(H52)-YEAR($D$12))*12+(MONTH(H52)-MONTH($D$12))-IF(DAY(H52)&lt;DAY($D$12),1,0))/$D$11))+1))),$D$7))</f>
        <v/>
      </c>
      <c r="J52" s="11">
        <f>IF(H52="","",I52-H52)</f>
        <v/>
      </c>
      <c r="K52" s="12">
        <f>IF(H52="","",IF($D$18="LEGAL",H52,EDATE(H52,-$D$13)))</f>
        <v/>
      </c>
      <c r="L52" s="13">
        <f>IF(H52="","",IFERROR(INDEX('Tipos BdE'!$B$7:$M$336,MATCH(DATE(YEAR(K52),MONTH(K52),1),'Tipos BdE'!$A$7:$A$336,1),MATCH($D$9,'Tipos BdE'!$B$6:$M$6,0)),0))</f>
        <v/>
      </c>
      <c r="M52" s="13">
        <f>IF(H52="","",IF($D$18="LEGAL",0,$D$10))</f>
        <v/>
      </c>
      <c r="N52" s="13">
        <f>IF(H52="","",IF(AND($D$14="Sí",(L52+M52)&lt;0),0,L52+M52))</f>
        <v/>
      </c>
      <c r="O52" s="199">
        <f>IF(H52="","",$D$5*N52*J52/36500)</f>
        <v/>
      </c>
      <c r="P52" s="199">
        <f>IF(H52="","",$D$5+SUM($O$5:O52))</f>
        <v/>
      </c>
    </row>
    <row r="53">
      <c r="G53" s="11">
        <f>IF(H53="","",ROW()-4)</f>
        <v/>
      </c>
      <c r="H53" s="12">
        <f>IF(OR(I52="",I52&gt;=$D$7),"",I52)</f>
        <v/>
      </c>
      <c r="I53" s="12">
        <f>IF(H53="","",MIN(IF($D$18="LEGAL",DATE(YEAR(H53)+1,1,1),EDATE($D$12,$D$11*(INT((((YEAR(H53)-YEAR($D$12))*12+(MONTH(H53)-MONTH($D$12))-IF(DAY(H53)&lt;DAY($D$12),1,0))/$D$11))+1))),$D$7))</f>
        <v/>
      </c>
      <c r="J53" s="11">
        <f>IF(H53="","",I53-H53)</f>
        <v/>
      </c>
      <c r="K53" s="12">
        <f>IF(H53="","",IF($D$18="LEGAL",H53,EDATE(H53,-$D$13)))</f>
        <v/>
      </c>
      <c r="L53" s="13">
        <f>IF(H53="","",IFERROR(INDEX('Tipos BdE'!$B$7:$M$336,MATCH(DATE(YEAR(K53),MONTH(K53),1),'Tipos BdE'!$A$7:$A$336,1),MATCH($D$9,'Tipos BdE'!$B$6:$M$6,0)),0))</f>
        <v/>
      </c>
      <c r="M53" s="13">
        <f>IF(H53="","",IF($D$18="LEGAL",0,$D$10))</f>
        <v/>
      </c>
      <c r="N53" s="13">
        <f>IF(H53="","",IF(AND($D$14="Sí",(L53+M53)&lt;0),0,L53+M53))</f>
        <v/>
      </c>
      <c r="O53" s="199">
        <f>IF(H53="","",$D$5*N53*J53/36500)</f>
        <v/>
      </c>
      <c r="P53" s="199">
        <f>IF(H53="","",$D$5+SUM($O$5:O53))</f>
        <v/>
      </c>
    </row>
    <row r="54">
      <c r="G54" s="11">
        <f>IF(H54="","",ROW()-4)</f>
        <v/>
      </c>
      <c r="H54" s="12">
        <f>IF(OR(I53="",I53&gt;=$D$7),"",I53)</f>
        <v/>
      </c>
      <c r="I54" s="12">
        <f>IF(H54="","",MIN(IF($D$18="LEGAL",DATE(YEAR(H54)+1,1,1),EDATE($D$12,$D$11*(INT((((YEAR(H54)-YEAR($D$12))*12+(MONTH(H54)-MONTH($D$12))-IF(DAY(H54)&lt;DAY($D$12),1,0))/$D$11))+1))),$D$7))</f>
        <v/>
      </c>
      <c r="J54" s="11">
        <f>IF(H54="","",I54-H54)</f>
        <v/>
      </c>
      <c r="K54" s="12">
        <f>IF(H54="","",IF($D$18="LEGAL",H54,EDATE(H54,-$D$13)))</f>
        <v/>
      </c>
      <c r="L54" s="13">
        <f>IF(H54="","",IFERROR(INDEX('Tipos BdE'!$B$7:$M$336,MATCH(DATE(YEAR(K54),MONTH(K54),1),'Tipos BdE'!$A$7:$A$336,1),MATCH($D$9,'Tipos BdE'!$B$6:$M$6,0)),0))</f>
        <v/>
      </c>
      <c r="M54" s="13">
        <f>IF(H54="","",IF($D$18="LEGAL",0,$D$10))</f>
        <v/>
      </c>
      <c r="N54" s="13">
        <f>IF(H54="","",IF(AND($D$14="Sí",(L54+M54)&lt;0),0,L54+M54))</f>
        <v/>
      </c>
      <c r="O54" s="199">
        <f>IF(H54="","",$D$5*N54*J54/36500)</f>
        <v/>
      </c>
      <c r="P54" s="199">
        <f>IF(H54="","",$D$5+SUM($O$5:O54))</f>
        <v/>
      </c>
    </row>
    <row r="55">
      <c r="G55" s="11">
        <f>IF(H55="","",ROW()-4)</f>
        <v/>
      </c>
      <c r="H55" s="12">
        <f>IF(OR(I54="",I54&gt;=$D$7),"",I54)</f>
        <v/>
      </c>
      <c r="I55" s="12">
        <f>IF(H55="","",MIN(IF($D$18="LEGAL",DATE(YEAR(H55)+1,1,1),EDATE($D$12,$D$11*(INT((((YEAR(H55)-YEAR($D$12))*12+(MONTH(H55)-MONTH($D$12))-IF(DAY(H55)&lt;DAY($D$12),1,0))/$D$11))+1))),$D$7))</f>
        <v/>
      </c>
      <c r="J55" s="11">
        <f>IF(H55="","",I55-H55)</f>
        <v/>
      </c>
      <c r="K55" s="12">
        <f>IF(H55="","",IF($D$18="LEGAL",H55,EDATE(H55,-$D$13)))</f>
        <v/>
      </c>
      <c r="L55" s="13">
        <f>IF(H55="","",IFERROR(INDEX('Tipos BdE'!$B$7:$M$336,MATCH(DATE(YEAR(K55),MONTH(K55),1),'Tipos BdE'!$A$7:$A$336,1),MATCH($D$9,'Tipos BdE'!$B$6:$M$6,0)),0))</f>
        <v/>
      </c>
      <c r="M55" s="13">
        <f>IF(H55="","",IF($D$18="LEGAL",0,$D$10))</f>
        <v/>
      </c>
      <c r="N55" s="13">
        <f>IF(H55="","",IF(AND($D$14="Sí",(L55+M55)&lt;0),0,L55+M55))</f>
        <v/>
      </c>
      <c r="O55" s="199">
        <f>IF(H55="","",$D$5*N55*J55/36500)</f>
        <v/>
      </c>
      <c r="P55" s="199">
        <f>IF(H55="","",$D$5+SUM($O$5:O55))</f>
        <v/>
      </c>
    </row>
    <row r="56">
      <c r="G56" s="11">
        <f>IF(H56="","",ROW()-4)</f>
        <v/>
      </c>
      <c r="H56" s="12">
        <f>IF(OR(I55="",I55&gt;=$D$7),"",I55)</f>
        <v/>
      </c>
      <c r="I56" s="12">
        <f>IF(H56="","",MIN(IF($D$18="LEGAL",DATE(YEAR(H56)+1,1,1),EDATE($D$12,$D$11*(INT((((YEAR(H56)-YEAR($D$12))*12+(MONTH(H56)-MONTH($D$12))-IF(DAY(H56)&lt;DAY($D$12),1,0))/$D$11))+1))),$D$7))</f>
        <v/>
      </c>
      <c r="J56" s="11">
        <f>IF(H56="","",I56-H56)</f>
        <v/>
      </c>
      <c r="K56" s="12">
        <f>IF(H56="","",IF($D$18="LEGAL",H56,EDATE(H56,-$D$13)))</f>
        <v/>
      </c>
      <c r="L56" s="13">
        <f>IF(H56="","",IFERROR(INDEX('Tipos BdE'!$B$7:$M$336,MATCH(DATE(YEAR(K56),MONTH(K56),1),'Tipos BdE'!$A$7:$A$336,1),MATCH($D$9,'Tipos BdE'!$B$6:$M$6,0)),0))</f>
        <v/>
      </c>
      <c r="M56" s="13">
        <f>IF(H56="","",IF($D$18="LEGAL",0,$D$10))</f>
        <v/>
      </c>
      <c r="N56" s="13">
        <f>IF(H56="","",IF(AND($D$14="Sí",(L56+M56)&lt;0),0,L56+M56))</f>
        <v/>
      </c>
      <c r="O56" s="199">
        <f>IF(H56="","",$D$5*N56*J56/36500)</f>
        <v/>
      </c>
      <c r="P56" s="199">
        <f>IF(H56="","",$D$5+SUM($O$5:O56))</f>
        <v/>
      </c>
    </row>
    <row r="57">
      <c r="G57" s="11">
        <f>IF(H57="","",ROW()-4)</f>
        <v/>
      </c>
      <c r="H57" s="12">
        <f>IF(OR(I56="",I56&gt;=$D$7),"",I56)</f>
        <v/>
      </c>
      <c r="I57" s="12">
        <f>IF(H57="","",MIN(IF($D$18="LEGAL",DATE(YEAR(H57)+1,1,1),EDATE($D$12,$D$11*(INT((((YEAR(H57)-YEAR($D$12))*12+(MONTH(H57)-MONTH($D$12))-IF(DAY(H57)&lt;DAY($D$12),1,0))/$D$11))+1))),$D$7))</f>
        <v/>
      </c>
      <c r="J57" s="11">
        <f>IF(H57="","",I57-H57)</f>
        <v/>
      </c>
      <c r="K57" s="12">
        <f>IF(H57="","",IF($D$18="LEGAL",H57,EDATE(H57,-$D$13)))</f>
        <v/>
      </c>
      <c r="L57" s="13">
        <f>IF(H57="","",IFERROR(INDEX('Tipos BdE'!$B$7:$M$336,MATCH(DATE(YEAR(K57),MONTH(K57),1),'Tipos BdE'!$A$7:$A$336,1),MATCH($D$9,'Tipos BdE'!$B$6:$M$6,0)),0))</f>
        <v/>
      </c>
      <c r="M57" s="13">
        <f>IF(H57="","",IF($D$18="LEGAL",0,$D$10))</f>
        <v/>
      </c>
      <c r="N57" s="13">
        <f>IF(H57="","",IF(AND($D$14="Sí",(L57+M57)&lt;0),0,L57+M57))</f>
        <v/>
      </c>
      <c r="O57" s="199">
        <f>IF(H57="","",$D$5*N57*J57/36500)</f>
        <v/>
      </c>
      <c r="P57" s="199">
        <f>IF(H57="","",$D$5+SUM($O$5:O57))</f>
        <v/>
      </c>
    </row>
    <row r="58">
      <c r="G58" s="11">
        <f>IF(H58="","",ROW()-4)</f>
        <v/>
      </c>
      <c r="H58" s="12">
        <f>IF(OR(I57="",I57&gt;=$D$7),"",I57)</f>
        <v/>
      </c>
      <c r="I58" s="12">
        <f>IF(H58="","",MIN(IF($D$18="LEGAL",DATE(YEAR(H58)+1,1,1),EDATE($D$12,$D$11*(INT((((YEAR(H58)-YEAR($D$12))*12+(MONTH(H58)-MONTH($D$12))-IF(DAY(H58)&lt;DAY($D$12),1,0))/$D$11))+1))),$D$7))</f>
        <v/>
      </c>
      <c r="J58" s="11">
        <f>IF(H58="","",I58-H58)</f>
        <v/>
      </c>
      <c r="K58" s="12">
        <f>IF(H58="","",IF($D$18="LEGAL",H58,EDATE(H58,-$D$13)))</f>
        <v/>
      </c>
      <c r="L58" s="13">
        <f>IF(H58="","",IFERROR(INDEX('Tipos BdE'!$B$7:$M$336,MATCH(DATE(YEAR(K58),MONTH(K58),1),'Tipos BdE'!$A$7:$A$336,1),MATCH($D$9,'Tipos BdE'!$B$6:$M$6,0)),0))</f>
        <v/>
      </c>
      <c r="M58" s="13">
        <f>IF(H58="","",IF($D$18="LEGAL",0,$D$10))</f>
        <v/>
      </c>
      <c r="N58" s="13">
        <f>IF(H58="","",IF(AND($D$14="Sí",(L58+M58)&lt;0),0,L58+M58))</f>
        <v/>
      </c>
      <c r="O58" s="199">
        <f>IF(H58="","",$D$5*N58*J58/36500)</f>
        <v/>
      </c>
      <c r="P58" s="199">
        <f>IF(H58="","",$D$5+SUM($O$5:O58))</f>
        <v/>
      </c>
    </row>
    <row r="59">
      <c r="G59" s="11">
        <f>IF(H59="","",ROW()-4)</f>
        <v/>
      </c>
      <c r="H59" s="12">
        <f>IF(OR(I58="",I58&gt;=$D$7),"",I58)</f>
        <v/>
      </c>
      <c r="I59" s="12">
        <f>IF(H59="","",MIN(IF($D$18="LEGAL",DATE(YEAR(H59)+1,1,1),EDATE($D$12,$D$11*(INT((((YEAR(H59)-YEAR($D$12))*12+(MONTH(H59)-MONTH($D$12))-IF(DAY(H59)&lt;DAY($D$12),1,0))/$D$11))+1))),$D$7))</f>
        <v/>
      </c>
      <c r="J59" s="11">
        <f>IF(H59="","",I59-H59)</f>
        <v/>
      </c>
      <c r="K59" s="12">
        <f>IF(H59="","",IF($D$18="LEGAL",H59,EDATE(H59,-$D$13)))</f>
        <v/>
      </c>
      <c r="L59" s="13">
        <f>IF(H59="","",IFERROR(INDEX('Tipos BdE'!$B$7:$M$336,MATCH(DATE(YEAR(K59),MONTH(K59),1),'Tipos BdE'!$A$7:$A$336,1),MATCH($D$9,'Tipos BdE'!$B$6:$M$6,0)),0))</f>
        <v/>
      </c>
      <c r="M59" s="13">
        <f>IF(H59="","",IF($D$18="LEGAL",0,$D$10))</f>
        <v/>
      </c>
      <c r="N59" s="13">
        <f>IF(H59="","",IF(AND($D$14="Sí",(L59+M59)&lt;0),0,L59+M59))</f>
        <v/>
      </c>
      <c r="O59" s="199">
        <f>IF(H59="","",$D$5*N59*J59/36500)</f>
        <v/>
      </c>
      <c r="P59" s="199">
        <f>IF(H59="","",$D$5+SUM($O$5:O59))</f>
        <v/>
      </c>
    </row>
    <row r="60">
      <c r="G60" s="11">
        <f>IF(H60="","",ROW()-4)</f>
        <v/>
      </c>
      <c r="H60" s="12">
        <f>IF(OR(I59="",I59&gt;=$D$7),"",I59)</f>
        <v/>
      </c>
      <c r="I60" s="12">
        <f>IF(H60="","",MIN(IF($D$18="LEGAL",DATE(YEAR(H60)+1,1,1),EDATE($D$12,$D$11*(INT((((YEAR(H60)-YEAR($D$12))*12+(MONTH(H60)-MONTH($D$12))-IF(DAY(H60)&lt;DAY($D$12),1,0))/$D$11))+1))),$D$7))</f>
        <v/>
      </c>
      <c r="J60" s="11">
        <f>IF(H60="","",I60-H60)</f>
        <v/>
      </c>
      <c r="K60" s="12">
        <f>IF(H60="","",IF($D$18="LEGAL",H60,EDATE(H60,-$D$13)))</f>
        <v/>
      </c>
      <c r="L60" s="13">
        <f>IF(H60="","",IFERROR(INDEX('Tipos BdE'!$B$7:$M$336,MATCH(DATE(YEAR(K60),MONTH(K60),1),'Tipos BdE'!$A$7:$A$336,1),MATCH($D$9,'Tipos BdE'!$B$6:$M$6,0)),0))</f>
        <v/>
      </c>
      <c r="M60" s="13">
        <f>IF(H60="","",IF($D$18="LEGAL",0,$D$10))</f>
        <v/>
      </c>
      <c r="N60" s="13">
        <f>IF(H60="","",IF(AND($D$14="Sí",(L60+M60)&lt;0),0,L60+M60))</f>
        <v/>
      </c>
      <c r="O60" s="199">
        <f>IF(H60="","",$D$5*N60*J60/36500)</f>
        <v/>
      </c>
      <c r="P60" s="199">
        <f>IF(H60="","",$D$5+SUM($O$5:O60))</f>
        <v/>
      </c>
    </row>
    <row r="61">
      <c r="G61" s="11">
        <f>IF(H61="","",ROW()-4)</f>
        <v/>
      </c>
      <c r="H61" s="12">
        <f>IF(OR(I60="",I60&gt;=$D$7),"",I60)</f>
        <v/>
      </c>
      <c r="I61" s="12">
        <f>IF(H61="","",MIN(IF($D$18="LEGAL",DATE(YEAR(H61)+1,1,1),EDATE($D$12,$D$11*(INT((((YEAR(H61)-YEAR($D$12))*12+(MONTH(H61)-MONTH($D$12))-IF(DAY(H61)&lt;DAY($D$12),1,0))/$D$11))+1))),$D$7))</f>
        <v/>
      </c>
      <c r="J61" s="11">
        <f>IF(H61="","",I61-H61)</f>
        <v/>
      </c>
      <c r="K61" s="12">
        <f>IF(H61="","",IF($D$18="LEGAL",H61,EDATE(H61,-$D$13)))</f>
        <v/>
      </c>
      <c r="L61" s="13">
        <f>IF(H61="","",IFERROR(INDEX('Tipos BdE'!$B$7:$M$336,MATCH(DATE(YEAR(K61),MONTH(K61),1),'Tipos BdE'!$A$7:$A$336,1),MATCH($D$9,'Tipos BdE'!$B$6:$M$6,0)),0))</f>
        <v/>
      </c>
      <c r="M61" s="13">
        <f>IF(H61="","",IF($D$18="LEGAL",0,$D$10))</f>
        <v/>
      </c>
      <c r="N61" s="13">
        <f>IF(H61="","",IF(AND($D$14="Sí",(L61+M61)&lt;0),0,L61+M61))</f>
        <v/>
      </c>
      <c r="O61" s="199">
        <f>IF(H61="","",$D$5*N61*J61/36500)</f>
        <v/>
      </c>
      <c r="P61" s="199">
        <f>IF(H61="","",$D$5+SUM($O$5:O61))</f>
        <v/>
      </c>
    </row>
    <row r="62">
      <c r="G62" s="11">
        <f>IF(H62="","",ROW()-4)</f>
        <v/>
      </c>
      <c r="H62" s="12">
        <f>IF(OR(I61="",I61&gt;=$D$7),"",I61)</f>
        <v/>
      </c>
      <c r="I62" s="12">
        <f>IF(H62="","",MIN(IF($D$18="LEGAL",DATE(YEAR(H62)+1,1,1),EDATE($D$12,$D$11*(INT((((YEAR(H62)-YEAR($D$12))*12+(MONTH(H62)-MONTH($D$12))-IF(DAY(H62)&lt;DAY($D$12),1,0))/$D$11))+1))),$D$7))</f>
        <v/>
      </c>
      <c r="J62" s="11">
        <f>IF(H62="","",I62-H62)</f>
        <v/>
      </c>
      <c r="K62" s="12">
        <f>IF(H62="","",IF($D$18="LEGAL",H62,EDATE(H62,-$D$13)))</f>
        <v/>
      </c>
      <c r="L62" s="13">
        <f>IF(H62="","",IFERROR(INDEX('Tipos BdE'!$B$7:$M$336,MATCH(DATE(YEAR(K62),MONTH(K62),1),'Tipos BdE'!$A$7:$A$336,1),MATCH($D$9,'Tipos BdE'!$B$6:$M$6,0)),0))</f>
        <v/>
      </c>
      <c r="M62" s="13">
        <f>IF(H62="","",IF($D$18="LEGAL",0,$D$10))</f>
        <v/>
      </c>
      <c r="N62" s="13">
        <f>IF(H62="","",IF(AND($D$14="Sí",(L62+M62)&lt;0),0,L62+M62))</f>
        <v/>
      </c>
      <c r="O62" s="199">
        <f>IF(H62="","",$D$5*N62*J62/36500)</f>
        <v/>
      </c>
      <c r="P62" s="199">
        <f>IF(H62="","",$D$5+SUM($O$5:O62))</f>
        <v/>
      </c>
    </row>
    <row r="63">
      <c r="G63" s="11">
        <f>IF(H63="","",ROW()-4)</f>
        <v/>
      </c>
      <c r="H63" s="12">
        <f>IF(OR(I62="",I62&gt;=$D$7),"",I62)</f>
        <v/>
      </c>
      <c r="I63" s="12">
        <f>IF(H63="","",MIN(IF($D$18="LEGAL",DATE(YEAR(H63)+1,1,1),EDATE($D$12,$D$11*(INT((((YEAR(H63)-YEAR($D$12))*12+(MONTH(H63)-MONTH($D$12))-IF(DAY(H63)&lt;DAY($D$12),1,0))/$D$11))+1))),$D$7))</f>
        <v/>
      </c>
      <c r="J63" s="11">
        <f>IF(H63="","",I63-H63)</f>
        <v/>
      </c>
      <c r="K63" s="12">
        <f>IF(H63="","",IF($D$18="LEGAL",H63,EDATE(H63,-$D$13)))</f>
        <v/>
      </c>
      <c r="L63" s="13">
        <f>IF(H63="","",IFERROR(INDEX('Tipos BdE'!$B$7:$M$336,MATCH(DATE(YEAR(K63),MONTH(K63),1),'Tipos BdE'!$A$7:$A$336,1),MATCH($D$9,'Tipos BdE'!$B$6:$M$6,0)),0))</f>
        <v/>
      </c>
      <c r="M63" s="13">
        <f>IF(H63="","",IF($D$18="LEGAL",0,$D$10))</f>
        <v/>
      </c>
      <c r="N63" s="13">
        <f>IF(H63="","",IF(AND($D$14="Sí",(L63+M63)&lt;0),0,L63+M63))</f>
        <v/>
      </c>
      <c r="O63" s="199">
        <f>IF(H63="","",$D$5*N63*J63/36500)</f>
        <v/>
      </c>
      <c r="P63" s="199">
        <f>IF(H63="","",$D$5+SUM($O$5:O63))</f>
        <v/>
      </c>
    </row>
    <row r="64">
      <c r="G64" s="11">
        <f>IF(H64="","",ROW()-4)</f>
        <v/>
      </c>
      <c r="H64" s="12">
        <f>IF(OR(I63="",I63&gt;=$D$7),"",I63)</f>
        <v/>
      </c>
      <c r="I64" s="12">
        <f>IF(H64="","",MIN(IF($D$18="LEGAL",DATE(YEAR(H64)+1,1,1),EDATE($D$12,$D$11*(INT((((YEAR(H64)-YEAR($D$12))*12+(MONTH(H64)-MONTH($D$12))-IF(DAY(H64)&lt;DAY($D$12),1,0))/$D$11))+1))),$D$7))</f>
        <v/>
      </c>
      <c r="J64" s="11">
        <f>IF(H64="","",I64-H64)</f>
        <v/>
      </c>
      <c r="K64" s="12">
        <f>IF(H64="","",IF($D$18="LEGAL",H64,EDATE(H64,-$D$13)))</f>
        <v/>
      </c>
      <c r="L64" s="13">
        <f>IF(H64="","",IFERROR(INDEX('Tipos BdE'!$B$7:$M$336,MATCH(DATE(YEAR(K64),MONTH(K64),1),'Tipos BdE'!$A$7:$A$336,1),MATCH($D$9,'Tipos BdE'!$B$6:$M$6,0)),0))</f>
        <v/>
      </c>
      <c r="M64" s="13">
        <f>IF(H64="","",IF($D$18="LEGAL",0,$D$10))</f>
        <v/>
      </c>
      <c r="N64" s="13">
        <f>IF(H64="","",IF(AND($D$14="Sí",(L64+M64)&lt;0),0,L64+M64))</f>
        <v/>
      </c>
      <c r="O64" s="199">
        <f>IF(H64="","",$D$5*N64*J64/36500)</f>
        <v/>
      </c>
      <c r="P64" s="199">
        <f>IF(H64="","",$D$5+SUM($O$5:O64))</f>
        <v/>
      </c>
    </row>
    <row r="65">
      <c r="G65" s="11">
        <f>IF(H65="","",ROW()-4)</f>
        <v/>
      </c>
      <c r="H65" s="12">
        <f>IF(OR(I64="",I64&gt;=$D$7),"",I64)</f>
        <v/>
      </c>
      <c r="I65" s="12">
        <f>IF(H65="","",MIN(IF($D$18="LEGAL",DATE(YEAR(H65)+1,1,1),EDATE($D$12,$D$11*(INT((((YEAR(H65)-YEAR($D$12))*12+(MONTH(H65)-MONTH($D$12))-IF(DAY(H65)&lt;DAY($D$12),1,0))/$D$11))+1))),$D$7))</f>
        <v/>
      </c>
      <c r="J65" s="11">
        <f>IF(H65="","",I65-H65)</f>
        <v/>
      </c>
      <c r="K65" s="12">
        <f>IF(H65="","",IF($D$18="LEGAL",H65,EDATE(H65,-$D$13)))</f>
        <v/>
      </c>
      <c r="L65" s="13">
        <f>IF(H65="","",IFERROR(INDEX('Tipos BdE'!$B$7:$M$336,MATCH(DATE(YEAR(K65),MONTH(K65),1),'Tipos BdE'!$A$7:$A$336,1),MATCH($D$9,'Tipos BdE'!$B$6:$M$6,0)),0))</f>
        <v/>
      </c>
      <c r="M65" s="13">
        <f>IF(H65="","",IF($D$18="LEGAL",0,$D$10))</f>
        <v/>
      </c>
      <c r="N65" s="13">
        <f>IF(H65="","",IF(AND($D$14="Sí",(L65+M65)&lt;0),0,L65+M65))</f>
        <v/>
      </c>
      <c r="O65" s="199">
        <f>IF(H65="","",$D$5*N65*J65/36500)</f>
        <v/>
      </c>
      <c r="P65" s="199">
        <f>IF(H65="","",$D$5+SUM($O$5:O65))</f>
        <v/>
      </c>
    </row>
    <row r="66">
      <c r="G66" s="11">
        <f>IF(H66="","",ROW()-4)</f>
        <v/>
      </c>
      <c r="H66" s="12">
        <f>IF(OR(I65="",I65&gt;=$D$7),"",I65)</f>
        <v/>
      </c>
      <c r="I66" s="12">
        <f>IF(H66="","",MIN(IF($D$18="LEGAL",DATE(YEAR(H66)+1,1,1),EDATE($D$12,$D$11*(INT((((YEAR(H66)-YEAR($D$12))*12+(MONTH(H66)-MONTH($D$12))-IF(DAY(H66)&lt;DAY($D$12),1,0))/$D$11))+1))),$D$7))</f>
        <v/>
      </c>
      <c r="J66" s="11">
        <f>IF(H66="","",I66-H66)</f>
        <v/>
      </c>
      <c r="K66" s="12">
        <f>IF(H66="","",IF($D$18="LEGAL",H66,EDATE(H66,-$D$13)))</f>
        <v/>
      </c>
      <c r="L66" s="13">
        <f>IF(H66="","",IFERROR(INDEX('Tipos BdE'!$B$7:$M$336,MATCH(DATE(YEAR(K66),MONTH(K66),1),'Tipos BdE'!$A$7:$A$336,1),MATCH($D$9,'Tipos BdE'!$B$6:$M$6,0)),0))</f>
        <v/>
      </c>
      <c r="M66" s="13">
        <f>IF(H66="","",IF($D$18="LEGAL",0,$D$10))</f>
        <v/>
      </c>
      <c r="N66" s="13">
        <f>IF(H66="","",IF(AND($D$14="Sí",(L66+M66)&lt;0),0,L66+M66))</f>
        <v/>
      </c>
      <c r="O66" s="199">
        <f>IF(H66="","",$D$5*N66*J66/36500)</f>
        <v/>
      </c>
      <c r="P66" s="199">
        <f>IF(H66="","",$D$5+SUM($O$5:O66))</f>
        <v/>
      </c>
    </row>
    <row r="67">
      <c r="G67" s="11">
        <f>IF(H67="","",ROW()-4)</f>
        <v/>
      </c>
      <c r="H67" s="12">
        <f>IF(OR(I66="",I66&gt;=$D$7),"",I66)</f>
        <v/>
      </c>
      <c r="I67" s="12">
        <f>IF(H67="","",MIN(IF($D$18="LEGAL",DATE(YEAR(H67)+1,1,1),EDATE($D$12,$D$11*(INT((((YEAR(H67)-YEAR($D$12))*12+(MONTH(H67)-MONTH($D$12))-IF(DAY(H67)&lt;DAY($D$12),1,0))/$D$11))+1))),$D$7))</f>
        <v/>
      </c>
      <c r="J67" s="11">
        <f>IF(H67="","",I67-H67)</f>
        <v/>
      </c>
      <c r="K67" s="12">
        <f>IF(H67="","",IF($D$18="LEGAL",H67,EDATE(H67,-$D$13)))</f>
        <v/>
      </c>
      <c r="L67" s="13">
        <f>IF(H67="","",IFERROR(INDEX('Tipos BdE'!$B$7:$M$336,MATCH(DATE(YEAR(K67),MONTH(K67),1),'Tipos BdE'!$A$7:$A$336,1),MATCH($D$9,'Tipos BdE'!$B$6:$M$6,0)),0))</f>
        <v/>
      </c>
      <c r="M67" s="13">
        <f>IF(H67="","",IF($D$18="LEGAL",0,$D$10))</f>
        <v/>
      </c>
      <c r="N67" s="13">
        <f>IF(H67="","",IF(AND($D$14="Sí",(L67+M67)&lt;0),0,L67+M67))</f>
        <v/>
      </c>
      <c r="O67" s="199">
        <f>IF(H67="","",$D$5*N67*J67/36500)</f>
        <v/>
      </c>
      <c r="P67" s="199">
        <f>IF(H67="","",$D$5+SUM($O$5:O67))</f>
        <v/>
      </c>
    </row>
    <row r="68">
      <c r="G68" s="11">
        <f>IF(H68="","",ROW()-4)</f>
        <v/>
      </c>
      <c r="H68" s="12">
        <f>IF(OR(I67="",I67&gt;=$D$7),"",I67)</f>
        <v/>
      </c>
      <c r="I68" s="12">
        <f>IF(H68="","",MIN(IF($D$18="LEGAL",DATE(YEAR(H68)+1,1,1),EDATE($D$12,$D$11*(INT((((YEAR(H68)-YEAR($D$12))*12+(MONTH(H68)-MONTH($D$12))-IF(DAY(H68)&lt;DAY($D$12),1,0))/$D$11))+1))),$D$7))</f>
        <v/>
      </c>
      <c r="J68" s="11">
        <f>IF(H68="","",I68-H68)</f>
        <v/>
      </c>
      <c r="K68" s="12">
        <f>IF(H68="","",IF($D$18="LEGAL",H68,EDATE(H68,-$D$13)))</f>
        <v/>
      </c>
      <c r="L68" s="13">
        <f>IF(H68="","",IFERROR(INDEX('Tipos BdE'!$B$7:$M$336,MATCH(DATE(YEAR(K68),MONTH(K68),1),'Tipos BdE'!$A$7:$A$336,1),MATCH($D$9,'Tipos BdE'!$B$6:$M$6,0)),0))</f>
        <v/>
      </c>
      <c r="M68" s="13">
        <f>IF(H68="","",IF($D$18="LEGAL",0,$D$10))</f>
        <v/>
      </c>
      <c r="N68" s="13">
        <f>IF(H68="","",IF(AND($D$14="Sí",(L68+M68)&lt;0),0,L68+M68))</f>
        <v/>
      </c>
      <c r="O68" s="199">
        <f>IF(H68="","",$D$5*N68*J68/36500)</f>
        <v/>
      </c>
      <c r="P68" s="199">
        <f>IF(H68="","",$D$5+SUM($O$5:O68))</f>
        <v/>
      </c>
    </row>
    <row r="69">
      <c r="G69" s="11">
        <f>IF(H69="","",ROW()-4)</f>
        <v/>
      </c>
      <c r="H69" s="12">
        <f>IF(OR(I68="",I68&gt;=$D$7),"",I68)</f>
        <v/>
      </c>
      <c r="I69" s="12">
        <f>IF(H69="","",MIN(IF($D$18="LEGAL",DATE(YEAR(H69)+1,1,1),EDATE($D$12,$D$11*(INT((((YEAR(H69)-YEAR($D$12))*12+(MONTH(H69)-MONTH($D$12))-IF(DAY(H69)&lt;DAY($D$12),1,0))/$D$11))+1))),$D$7))</f>
        <v/>
      </c>
      <c r="J69" s="11">
        <f>IF(H69="","",I69-H69)</f>
        <v/>
      </c>
      <c r="K69" s="12">
        <f>IF(H69="","",IF($D$18="LEGAL",H69,EDATE(H69,-$D$13)))</f>
        <v/>
      </c>
      <c r="L69" s="13">
        <f>IF(H69="","",IFERROR(INDEX('Tipos BdE'!$B$7:$M$336,MATCH(DATE(YEAR(K69),MONTH(K69),1),'Tipos BdE'!$A$7:$A$336,1),MATCH($D$9,'Tipos BdE'!$B$6:$M$6,0)),0))</f>
        <v/>
      </c>
      <c r="M69" s="13">
        <f>IF(H69="","",IF($D$18="LEGAL",0,$D$10))</f>
        <v/>
      </c>
      <c r="N69" s="13">
        <f>IF(H69="","",IF(AND($D$14="Sí",(L69+M69)&lt;0),0,L69+M69))</f>
        <v/>
      </c>
      <c r="O69" s="199">
        <f>IF(H69="","",$D$5*N69*J69/36500)</f>
        <v/>
      </c>
      <c r="P69" s="199">
        <f>IF(H69="","",$D$5+SUM($O$5:O69))</f>
        <v/>
      </c>
    </row>
    <row r="70">
      <c r="G70" s="11">
        <f>IF(H70="","",ROW()-4)</f>
        <v/>
      </c>
      <c r="H70" s="12">
        <f>IF(OR(I69="",I69&gt;=$D$7),"",I69)</f>
        <v/>
      </c>
      <c r="I70" s="12">
        <f>IF(H70="","",MIN(IF($D$18="LEGAL",DATE(YEAR(H70)+1,1,1),EDATE($D$12,$D$11*(INT((((YEAR(H70)-YEAR($D$12))*12+(MONTH(H70)-MONTH($D$12))-IF(DAY(H70)&lt;DAY($D$12),1,0))/$D$11))+1))),$D$7))</f>
        <v/>
      </c>
      <c r="J70" s="11">
        <f>IF(H70="","",I70-H70)</f>
        <v/>
      </c>
      <c r="K70" s="12">
        <f>IF(H70="","",IF($D$18="LEGAL",H70,EDATE(H70,-$D$13)))</f>
        <v/>
      </c>
      <c r="L70" s="13">
        <f>IF(H70="","",IFERROR(INDEX('Tipos BdE'!$B$7:$M$336,MATCH(DATE(YEAR(K70),MONTH(K70),1),'Tipos BdE'!$A$7:$A$336,1),MATCH($D$9,'Tipos BdE'!$B$6:$M$6,0)),0))</f>
        <v/>
      </c>
      <c r="M70" s="13">
        <f>IF(H70="","",IF($D$18="LEGAL",0,$D$10))</f>
        <v/>
      </c>
      <c r="N70" s="13">
        <f>IF(H70="","",IF(AND($D$14="Sí",(L70+M70)&lt;0),0,L70+M70))</f>
        <v/>
      </c>
      <c r="O70" s="199">
        <f>IF(H70="","",$D$5*N70*J70/36500)</f>
        <v/>
      </c>
      <c r="P70" s="199">
        <f>IF(H70="","",$D$5+SUM($O$5:O70))</f>
        <v/>
      </c>
    </row>
    <row r="71">
      <c r="G71" s="11">
        <f>IF(H71="","",ROW()-4)</f>
        <v/>
      </c>
      <c r="H71" s="12">
        <f>IF(OR(I70="",I70&gt;=$D$7),"",I70)</f>
        <v/>
      </c>
      <c r="I71" s="12">
        <f>IF(H71="","",MIN(IF($D$18="LEGAL",DATE(YEAR(H71)+1,1,1),EDATE($D$12,$D$11*(INT((((YEAR(H71)-YEAR($D$12))*12+(MONTH(H71)-MONTH($D$12))-IF(DAY(H71)&lt;DAY($D$12),1,0))/$D$11))+1))),$D$7))</f>
        <v/>
      </c>
      <c r="J71" s="11">
        <f>IF(H71="","",I71-H71)</f>
        <v/>
      </c>
      <c r="K71" s="12">
        <f>IF(H71="","",IF($D$18="LEGAL",H71,EDATE(H71,-$D$13)))</f>
        <v/>
      </c>
      <c r="L71" s="13">
        <f>IF(H71="","",IFERROR(INDEX('Tipos BdE'!$B$7:$M$336,MATCH(DATE(YEAR(K71),MONTH(K71),1),'Tipos BdE'!$A$7:$A$336,1),MATCH($D$9,'Tipos BdE'!$B$6:$M$6,0)),0))</f>
        <v/>
      </c>
      <c r="M71" s="13">
        <f>IF(H71="","",IF($D$18="LEGAL",0,$D$10))</f>
        <v/>
      </c>
      <c r="N71" s="13">
        <f>IF(H71="","",IF(AND($D$14="Sí",(L71+M71)&lt;0),0,L71+M71))</f>
        <v/>
      </c>
      <c r="O71" s="199">
        <f>IF(H71="","",$D$5*N71*J71/36500)</f>
        <v/>
      </c>
      <c r="P71" s="199">
        <f>IF(H71="","",$D$5+SUM($O$5:O71))</f>
        <v/>
      </c>
    </row>
    <row r="72">
      <c r="G72" s="11">
        <f>IF(H72="","",ROW()-4)</f>
        <v/>
      </c>
      <c r="H72" s="12">
        <f>IF(OR(I71="",I71&gt;=$D$7),"",I71)</f>
        <v/>
      </c>
      <c r="I72" s="12">
        <f>IF(H72="","",MIN(IF($D$18="LEGAL",DATE(YEAR(H72)+1,1,1),EDATE($D$12,$D$11*(INT((((YEAR(H72)-YEAR($D$12))*12+(MONTH(H72)-MONTH($D$12))-IF(DAY(H72)&lt;DAY($D$12),1,0))/$D$11))+1))),$D$7))</f>
        <v/>
      </c>
      <c r="J72" s="11">
        <f>IF(H72="","",I72-H72)</f>
        <v/>
      </c>
      <c r="K72" s="12">
        <f>IF(H72="","",IF($D$18="LEGAL",H72,EDATE(H72,-$D$13)))</f>
        <v/>
      </c>
      <c r="L72" s="13">
        <f>IF(H72="","",IFERROR(INDEX('Tipos BdE'!$B$7:$M$336,MATCH(DATE(YEAR(K72),MONTH(K72),1),'Tipos BdE'!$A$7:$A$336,1),MATCH($D$9,'Tipos BdE'!$B$6:$M$6,0)),0))</f>
        <v/>
      </c>
      <c r="M72" s="13">
        <f>IF(H72="","",IF($D$18="LEGAL",0,$D$10))</f>
        <v/>
      </c>
      <c r="N72" s="13">
        <f>IF(H72="","",IF(AND($D$14="Sí",(L72+M72)&lt;0),0,L72+M72))</f>
        <v/>
      </c>
      <c r="O72" s="199">
        <f>IF(H72="","",$D$5*N72*J72/36500)</f>
        <v/>
      </c>
      <c r="P72" s="199">
        <f>IF(H72="","",$D$5+SUM($O$5:O72))</f>
        <v/>
      </c>
    </row>
    <row r="73">
      <c r="G73" s="11">
        <f>IF(H73="","",ROW()-4)</f>
        <v/>
      </c>
      <c r="H73" s="12">
        <f>IF(OR(I72="",I72&gt;=$D$7),"",I72)</f>
        <v/>
      </c>
      <c r="I73" s="12">
        <f>IF(H73="","",MIN(IF($D$18="LEGAL",DATE(YEAR(H73)+1,1,1),EDATE($D$12,$D$11*(INT((((YEAR(H73)-YEAR($D$12))*12+(MONTH(H73)-MONTH($D$12))-IF(DAY(H73)&lt;DAY($D$12),1,0))/$D$11))+1))),$D$7))</f>
        <v/>
      </c>
      <c r="J73" s="11">
        <f>IF(H73="","",I73-H73)</f>
        <v/>
      </c>
      <c r="K73" s="12">
        <f>IF(H73="","",IF($D$18="LEGAL",H73,EDATE(H73,-$D$13)))</f>
        <v/>
      </c>
      <c r="L73" s="13">
        <f>IF(H73="","",IFERROR(INDEX('Tipos BdE'!$B$7:$M$336,MATCH(DATE(YEAR(K73),MONTH(K73),1),'Tipos BdE'!$A$7:$A$336,1),MATCH($D$9,'Tipos BdE'!$B$6:$M$6,0)),0))</f>
        <v/>
      </c>
      <c r="M73" s="13">
        <f>IF(H73="","",IF($D$18="LEGAL",0,$D$10))</f>
        <v/>
      </c>
      <c r="N73" s="13">
        <f>IF(H73="","",IF(AND($D$14="Sí",(L73+M73)&lt;0),0,L73+M73))</f>
        <v/>
      </c>
      <c r="O73" s="199">
        <f>IF(H73="","",$D$5*N73*J73/36500)</f>
        <v/>
      </c>
      <c r="P73" s="199">
        <f>IF(H73="","",$D$5+SUM($O$5:O73))</f>
        <v/>
      </c>
    </row>
    <row r="74">
      <c r="G74" s="11">
        <f>IF(H74="","",ROW()-4)</f>
        <v/>
      </c>
      <c r="H74" s="12">
        <f>IF(OR(I73="",I73&gt;=$D$7),"",I73)</f>
        <v/>
      </c>
      <c r="I74" s="12">
        <f>IF(H74="","",MIN(IF($D$18="LEGAL",DATE(YEAR(H74)+1,1,1),EDATE($D$12,$D$11*(INT((((YEAR(H74)-YEAR($D$12))*12+(MONTH(H74)-MONTH($D$12))-IF(DAY(H74)&lt;DAY($D$12),1,0))/$D$11))+1))),$D$7))</f>
        <v/>
      </c>
      <c r="J74" s="11">
        <f>IF(H74="","",I74-H74)</f>
        <v/>
      </c>
      <c r="K74" s="12">
        <f>IF(H74="","",IF($D$18="LEGAL",H74,EDATE(H74,-$D$13)))</f>
        <v/>
      </c>
      <c r="L74" s="13">
        <f>IF(H74="","",IFERROR(INDEX('Tipos BdE'!$B$7:$M$336,MATCH(DATE(YEAR(K74),MONTH(K74),1),'Tipos BdE'!$A$7:$A$336,1),MATCH($D$9,'Tipos BdE'!$B$6:$M$6,0)),0))</f>
        <v/>
      </c>
      <c r="M74" s="13">
        <f>IF(H74="","",IF($D$18="LEGAL",0,$D$10))</f>
        <v/>
      </c>
      <c r="N74" s="13">
        <f>IF(H74="","",IF(AND($D$14="Sí",(L74+M74)&lt;0),0,L74+M74))</f>
        <v/>
      </c>
      <c r="O74" s="199">
        <f>IF(H74="","",$D$5*N74*J74/36500)</f>
        <v/>
      </c>
      <c r="P74" s="199">
        <f>IF(H74="","",$D$5+SUM($O$5:O74))</f>
        <v/>
      </c>
    </row>
    <row r="75">
      <c r="G75" s="11">
        <f>IF(H75="","",ROW()-4)</f>
        <v/>
      </c>
      <c r="H75" s="12">
        <f>IF(OR(I74="",I74&gt;=$D$7),"",I74)</f>
        <v/>
      </c>
      <c r="I75" s="12">
        <f>IF(H75="","",MIN(IF($D$18="LEGAL",DATE(YEAR(H75)+1,1,1),EDATE($D$12,$D$11*(INT((((YEAR(H75)-YEAR($D$12))*12+(MONTH(H75)-MONTH($D$12))-IF(DAY(H75)&lt;DAY($D$12),1,0))/$D$11))+1))),$D$7))</f>
        <v/>
      </c>
      <c r="J75" s="11">
        <f>IF(H75="","",I75-H75)</f>
        <v/>
      </c>
      <c r="K75" s="12">
        <f>IF(H75="","",IF($D$18="LEGAL",H75,EDATE(H75,-$D$13)))</f>
        <v/>
      </c>
      <c r="L75" s="13">
        <f>IF(H75="","",IFERROR(INDEX('Tipos BdE'!$B$7:$M$336,MATCH(DATE(YEAR(K75),MONTH(K75),1),'Tipos BdE'!$A$7:$A$336,1),MATCH($D$9,'Tipos BdE'!$B$6:$M$6,0)),0))</f>
        <v/>
      </c>
      <c r="M75" s="13">
        <f>IF(H75="","",IF($D$18="LEGAL",0,$D$10))</f>
        <v/>
      </c>
      <c r="N75" s="13">
        <f>IF(H75="","",IF(AND($D$14="Sí",(L75+M75)&lt;0),0,L75+M75))</f>
        <v/>
      </c>
      <c r="O75" s="199">
        <f>IF(H75="","",$D$5*N75*J75/36500)</f>
        <v/>
      </c>
      <c r="P75" s="199">
        <f>IF(H75="","",$D$5+SUM($O$5:O75))</f>
        <v/>
      </c>
    </row>
    <row r="76">
      <c r="G76" s="11">
        <f>IF(H76="","",ROW()-4)</f>
        <v/>
      </c>
      <c r="H76" s="12">
        <f>IF(OR(I75="",I75&gt;=$D$7),"",I75)</f>
        <v/>
      </c>
      <c r="I76" s="12">
        <f>IF(H76="","",MIN(IF($D$18="LEGAL",DATE(YEAR(H76)+1,1,1),EDATE($D$12,$D$11*(INT((((YEAR(H76)-YEAR($D$12))*12+(MONTH(H76)-MONTH($D$12))-IF(DAY(H76)&lt;DAY($D$12),1,0))/$D$11))+1))),$D$7))</f>
        <v/>
      </c>
      <c r="J76" s="11">
        <f>IF(H76="","",I76-H76)</f>
        <v/>
      </c>
      <c r="K76" s="12">
        <f>IF(H76="","",IF($D$18="LEGAL",H76,EDATE(H76,-$D$13)))</f>
        <v/>
      </c>
      <c r="L76" s="13">
        <f>IF(H76="","",IFERROR(INDEX('Tipos BdE'!$B$7:$M$336,MATCH(DATE(YEAR(K76),MONTH(K76),1),'Tipos BdE'!$A$7:$A$336,1),MATCH($D$9,'Tipos BdE'!$B$6:$M$6,0)),0))</f>
        <v/>
      </c>
      <c r="M76" s="13">
        <f>IF(H76="","",IF($D$18="LEGAL",0,$D$10))</f>
        <v/>
      </c>
      <c r="N76" s="13">
        <f>IF(H76="","",IF(AND($D$14="Sí",(L76+M76)&lt;0),0,L76+M76))</f>
        <v/>
      </c>
      <c r="O76" s="199">
        <f>IF(H76="","",$D$5*N76*J76/36500)</f>
        <v/>
      </c>
      <c r="P76" s="199">
        <f>IF(H76="","",$D$5+SUM($O$5:O76))</f>
        <v/>
      </c>
    </row>
    <row r="77">
      <c r="G77" s="11">
        <f>IF(H77="","",ROW()-4)</f>
        <v/>
      </c>
      <c r="H77" s="12">
        <f>IF(OR(I76="",I76&gt;=$D$7),"",I76)</f>
        <v/>
      </c>
      <c r="I77" s="12">
        <f>IF(H77="","",MIN(IF($D$18="LEGAL",DATE(YEAR(H77)+1,1,1),EDATE($D$12,$D$11*(INT((((YEAR(H77)-YEAR($D$12))*12+(MONTH(H77)-MONTH($D$12))-IF(DAY(H77)&lt;DAY($D$12),1,0))/$D$11))+1))),$D$7))</f>
        <v/>
      </c>
      <c r="J77" s="11">
        <f>IF(H77="","",I77-H77)</f>
        <v/>
      </c>
      <c r="K77" s="12">
        <f>IF(H77="","",IF($D$18="LEGAL",H77,EDATE(H77,-$D$13)))</f>
        <v/>
      </c>
      <c r="L77" s="13">
        <f>IF(H77="","",IFERROR(INDEX('Tipos BdE'!$B$7:$M$336,MATCH(DATE(YEAR(K77),MONTH(K77),1),'Tipos BdE'!$A$7:$A$336,1),MATCH($D$9,'Tipos BdE'!$B$6:$M$6,0)),0))</f>
        <v/>
      </c>
      <c r="M77" s="13">
        <f>IF(H77="","",IF($D$18="LEGAL",0,$D$10))</f>
        <v/>
      </c>
      <c r="N77" s="13">
        <f>IF(H77="","",IF(AND($D$14="Sí",(L77+M77)&lt;0),0,L77+M77))</f>
        <v/>
      </c>
      <c r="O77" s="199">
        <f>IF(H77="","",$D$5*N77*J77/36500)</f>
        <v/>
      </c>
      <c r="P77" s="199">
        <f>IF(H77="","",$D$5+SUM($O$5:O77))</f>
        <v/>
      </c>
    </row>
    <row r="78">
      <c r="G78" s="11">
        <f>IF(H78="","",ROW()-4)</f>
        <v/>
      </c>
      <c r="H78" s="12">
        <f>IF(OR(I77="",I77&gt;=$D$7),"",I77)</f>
        <v/>
      </c>
      <c r="I78" s="12">
        <f>IF(H78="","",MIN(IF($D$18="LEGAL",DATE(YEAR(H78)+1,1,1),EDATE($D$12,$D$11*(INT((((YEAR(H78)-YEAR($D$12))*12+(MONTH(H78)-MONTH($D$12))-IF(DAY(H78)&lt;DAY($D$12),1,0))/$D$11))+1))),$D$7))</f>
        <v/>
      </c>
      <c r="J78" s="11">
        <f>IF(H78="","",I78-H78)</f>
        <v/>
      </c>
      <c r="K78" s="12">
        <f>IF(H78="","",IF($D$18="LEGAL",H78,EDATE(H78,-$D$13)))</f>
        <v/>
      </c>
      <c r="L78" s="13">
        <f>IF(H78="","",IFERROR(INDEX('Tipos BdE'!$B$7:$M$336,MATCH(DATE(YEAR(K78),MONTH(K78),1),'Tipos BdE'!$A$7:$A$336,1),MATCH($D$9,'Tipos BdE'!$B$6:$M$6,0)),0))</f>
        <v/>
      </c>
      <c r="M78" s="13">
        <f>IF(H78="","",IF($D$18="LEGAL",0,$D$10))</f>
        <v/>
      </c>
      <c r="N78" s="13">
        <f>IF(H78="","",IF(AND($D$14="Sí",(L78+M78)&lt;0),0,L78+M78))</f>
        <v/>
      </c>
      <c r="O78" s="199">
        <f>IF(H78="","",$D$5*N78*J78/36500)</f>
        <v/>
      </c>
      <c r="P78" s="199">
        <f>IF(H78="","",$D$5+SUM($O$5:O78))</f>
        <v/>
      </c>
    </row>
    <row r="79">
      <c r="G79" s="11">
        <f>IF(H79="","",ROW()-4)</f>
        <v/>
      </c>
      <c r="H79" s="12">
        <f>IF(OR(I78="",I78&gt;=$D$7),"",I78)</f>
        <v/>
      </c>
      <c r="I79" s="12">
        <f>IF(H79="","",MIN(IF($D$18="LEGAL",DATE(YEAR(H79)+1,1,1),EDATE($D$12,$D$11*(INT((((YEAR(H79)-YEAR($D$12))*12+(MONTH(H79)-MONTH($D$12))-IF(DAY(H79)&lt;DAY($D$12),1,0))/$D$11))+1))),$D$7))</f>
        <v/>
      </c>
      <c r="J79" s="11">
        <f>IF(H79="","",I79-H79)</f>
        <v/>
      </c>
      <c r="K79" s="12">
        <f>IF(H79="","",IF($D$18="LEGAL",H79,EDATE(H79,-$D$13)))</f>
        <v/>
      </c>
      <c r="L79" s="13">
        <f>IF(H79="","",IFERROR(INDEX('Tipos BdE'!$B$7:$M$336,MATCH(DATE(YEAR(K79),MONTH(K79),1),'Tipos BdE'!$A$7:$A$336,1),MATCH($D$9,'Tipos BdE'!$B$6:$M$6,0)),0))</f>
        <v/>
      </c>
      <c r="M79" s="13">
        <f>IF(H79="","",IF($D$18="LEGAL",0,$D$10))</f>
        <v/>
      </c>
      <c r="N79" s="13">
        <f>IF(H79="","",IF(AND($D$14="Sí",(L79+M79)&lt;0),0,L79+M79))</f>
        <v/>
      </c>
      <c r="O79" s="199">
        <f>IF(H79="","",$D$5*N79*J79/36500)</f>
        <v/>
      </c>
      <c r="P79" s="199">
        <f>IF(H79="","",$D$5+SUM($O$5:O79))</f>
        <v/>
      </c>
    </row>
    <row r="80">
      <c r="G80" s="11">
        <f>IF(H80="","",ROW()-4)</f>
        <v/>
      </c>
      <c r="H80" s="12">
        <f>IF(OR(I79="",I79&gt;=$D$7),"",I79)</f>
        <v/>
      </c>
      <c r="I80" s="12">
        <f>IF(H80="","",MIN(IF($D$18="LEGAL",DATE(YEAR(H80)+1,1,1),EDATE($D$12,$D$11*(INT((((YEAR(H80)-YEAR($D$12))*12+(MONTH(H80)-MONTH($D$12))-IF(DAY(H80)&lt;DAY($D$12),1,0))/$D$11))+1))),$D$7))</f>
        <v/>
      </c>
      <c r="J80" s="11">
        <f>IF(H80="","",I80-H80)</f>
        <v/>
      </c>
      <c r="K80" s="12">
        <f>IF(H80="","",IF($D$18="LEGAL",H80,EDATE(H80,-$D$13)))</f>
        <v/>
      </c>
      <c r="L80" s="13">
        <f>IF(H80="","",IFERROR(INDEX('Tipos BdE'!$B$7:$M$336,MATCH(DATE(YEAR(K80),MONTH(K80),1),'Tipos BdE'!$A$7:$A$336,1),MATCH($D$9,'Tipos BdE'!$B$6:$M$6,0)),0))</f>
        <v/>
      </c>
      <c r="M80" s="13">
        <f>IF(H80="","",IF($D$18="LEGAL",0,$D$10))</f>
        <v/>
      </c>
      <c r="N80" s="13">
        <f>IF(H80="","",IF(AND($D$14="Sí",(L80+M80)&lt;0),0,L80+M80))</f>
        <v/>
      </c>
      <c r="O80" s="199">
        <f>IF(H80="","",$D$5*N80*J80/36500)</f>
        <v/>
      </c>
      <c r="P80" s="199">
        <f>IF(H80="","",$D$5+SUM($O$5:O80))</f>
        <v/>
      </c>
    </row>
    <row r="81">
      <c r="G81" s="11">
        <f>IF(H81="","",ROW()-4)</f>
        <v/>
      </c>
      <c r="H81" s="12">
        <f>IF(OR(I80="",I80&gt;=$D$7),"",I80)</f>
        <v/>
      </c>
      <c r="I81" s="12">
        <f>IF(H81="","",MIN(IF($D$18="LEGAL",DATE(YEAR(H81)+1,1,1),EDATE($D$12,$D$11*(INT((((YEAR(H81)-YEAR($D$12))*12+(MONTH(H81)-MONTH($D$12))-IF(DAY(H81)&lt;DAY($D$12),1,0))/$D$11))+1))),$D$7))</f>
        <v/>
      </c>
      <c r="J81" s="11">
        <f>IF(H81="","",I81-H81)</f>
        <v/>
      </c>
      <c r="K81" s="12">
        <f>IF(H81="","",IF($D$18="LEGAL",H81,EDATE(H81,-$D$13)))</f>
        <v/>
      </c>
      <c r="L81" s="13">
        <f>IF(H81="","",IFERROR(INDEX('Tipos BdE'!$B$7:$M$336,MATCH(DATE(YEAR(K81),MONTH(K81),1),'Tipos BdE'!$A$7:$A$336,1),MATCH($D$9,'Tipos BdE'!$B$6:$M$6,0)),0))</f>
        <v/>
      </c>
      <c r="M81" s="13">
        <f>IF(H81="","",IF($D$18="LEGAL",0,$D$10))</f>
        <v/>
      </c>
      <c r="N81" s="13">
        <f>IF(H81="","",IF(AND($D$14="Sí",(L81+M81)&lt;0),0,L81+M81))</f>
        <v/>
      </c>
      <c r="O81" s="199">
        <f>IF(H81="","",$D$5*N81*J81/36500)</f>
        <v/>
      </c>
      <c r="P81" s="199">
        <f>IF(H81="","",$D$5+SUM($O$5:O81))</f>
        <v/>
      </c>
    </row>
    <row r="82">
      <c r="G82" s="11">
        <f>IF(H82="","",ROW()-4)</f>
        <v/>
      </c>
      <c r="H82" s="12">
        <f>IF(OR(I81="",I81&gt;=$D$7),"",I81)</f>
        <v/>
      </c>
      <c r="I82" s="12">
        <f>IF(H82="","",MIN(IF($D$18="LEGAL",DATE(YEAR(H82)+1,1,1),EDATE($D$12,$D$11*(INT((((YEAR(H82)-YEAR($D$12))*12+(MONTH(H82)-MONTH($D$12))-IF(DAY(H82)&lt;DAY($D$12),1,0))/$D$11))+1))),$D$7))</f>
        <v/>
      </c>
      <c r="J82" s="11">
        <f>IF(H82="","",I82-H82)</f>
        <v/>
      </c>
      <c r="K82" s="12">
        <f>IF(H82="","",IF($D$18="LEGAL",H82,EDATE(H82,-$D$13)))</f>
        <v/>
      </c>
      <c r="L82" s="13">
        <f>IF(H82="","",IFERROR(INDEX('Tipos BdE'!$B$7:$M$336,MATCH(DATE(YEAR(K82),MONTH(K82),1),'Tipos BdE'!$A$7:$A$336,1),MATCH($D$9,'Tipos BdE'!$B$6:$M$6,0)),0))</f>
        <v/>
      </c>
      <c r="M82" s="13">
        <f>IF(H82="","",IF($D$18="LEGAL",0,$D$10))</f>
        <v/>
      </c>
      <c r="N82" s="13">
        <f>IF(H82="","",IF(AND($D$14="Sí",(L82+M82)&lt;0),0,L82+M82))</f>
        <v/>
      </c>
      <c r="O82" s="199">
        <f>IF(H82="","",$D$5*N82*J82/36500)</f>
        <v/>
      </c>
      <c r="P82" s="199">
        <f>IF(H82="","",$D$5+SUM($O$5:O82))</f>
        <v/>
      </c>
    </row>
    <row r="83">
      <c r="G83" s="11">
        <f>IF(H83="","",ROW()-4)</f>
        <v/>
      </c>
      <c r="H83" s="12">
        <f>IF(OR(I82="",I82&gt;=$D$7),"",I82)</f>
        <v/>
      </c>
      <c r="I83" s="12">
        <f>IF(H83="","",MIN(IF($D$18="LEGAL",DATE(YEAR(H83)+1,1,1),EDATE($D$12,$D$11*(INT((((YEAR(H83)-YEAR($D$12))*12+(MONTH(H83)-MONTH($D$12))-IF(DAY(H83)&lt;DAY($D$12),1,0))/$D$11))+1))),$D$7))</f>
        <v/>
      </c>
      <c r="J83" s="11">
        <f>IF(H83="","",I83-H83)</f>
        <v/>
      </c>
      <c r="K83" s="12">
        <f>IF(H83="","",IF($D$18="LEGAL",H83,EDATE(H83,-$D$13)))</f>
        <v/>
      </c>
      <c r="L83" s="13">
        <f>IF(H83="","",IFERROR(INDEX('Tipos BdE'!$B$7:$M$336,MATCH(DATE(YEAR(K83),MONTH(K83),1),'Tipos BdE'!$A$7:$A$336,1),MATCH($D$9,'Tipos BdE'!$B$6:$M$6,0)),0))</f>
        <v/>
      </c>
      <c r="M83" s="13">
        <f>IF(H83="","",IF($D$18="LEGAL",0,$D$10))</f>
        <v/>
      </c>
      <c r="N83" s="13">
        <f>IF(H83="","",IF(AND($D$14="Sí",(L83+M83)&lt;0),0,L83+M83))</f>
        <v/>
      </c>
      <c r="O83" s="199">
        <f>IF(H83="","",$D$5*N83*J83/36500)</f>
        <v/>
      </c>
      <c r="P83" s="199">
        <f>IF(H83="","",$D$5+SUM($O$5:O83))</f>
        <v/>
      </c>
    </row>
    <row r="84">
      <c r="G84" s="11">
        <f>IF(H84="","",ROW()-4)</f>
        <v/>
      </c>
      <c r="H84" s="12">
        <f>IF(OR(I83="",I83&gt;=$D$7),"",I83)</f>
        <v/>
      </c>
      <c r="I84" s="12">
        <f>IF(H84="","",MIN(IF($D$18="LEGAL",DATE(YEAR(H84)+1,1,1),EDATE($D$12,$D$11*(INT((((YEAR(H84)-YEAR($D$12))*12+(MONTH(H84)-MONTH($D$12))-IF(DAY(H84)&lt;DAY($D$12),1,0))/$D$11))+1))),$D$7))</f>
        <v/>
      </c>
      <c r="J84" s="11">
        <f>IF(H84="","",I84-H84)</f>
        <v/>
      </c>
      <c r="K84" s="12">
        <f>IF(H84="","",IF($D$18="LEGAL",H84,EDATE(H84,-$D$13)))</f>
        <v/>
      </c>
      <c r="L84" s="13">
        <f>IF(H84="","",IFERROR(INDEX('Tipos BdE'!$B$7:$M$336,MATCH(DATE(YEAR(K84),MONTH(K84),1),'Tipos BdE'!$A$7:$A$336,1),MATCH($D$9,'Tipos BdE'!$B$6:$M$6,0)),0))</f>
        <v/>
      </c>
      <c r="M84" s="13">
        <f>IF(H84="","",IF($D$18="LEGAL",0,$D$10))</f>
        <v/>
      </c>
      <c r="N84" s="13">
        <f>IF(H84="","",IF(AND($D$14="Sí",(L84+M84)&lt;0),0,L84+M84))</f>
        <v/>
      </c>
      <c r="O84" s="199">
        <f>IF(H84="","",$D$5*N84*J84/36500)</f>
        <v/>
      </c>
      <c r="P84" s="199">
        <f>IF(H84="","",$D$5+SUM($O$5:O84))</f>
        <v/>
      </c>
    </row>
    <row r="85">
      <c r="G85" s="11">
        <f>IF(H85="","",ROW()-4)</f>
        <v/>
      </c>
      <c r="H85" s="12">
        <f>IF(OR(I84="",I84&gt;=$D$7),"",I84)</f>
        <v/>
      </c>
      <c r="I85" s="12">
        <f>IF(H85="","",MIN(IF($D$18="LEGAL",DATE(YEAR(H85)+1,1,1),EDATE($D$12,$D$11*(INT((((YEAR(H85)-YEAR($D$12))*12+(MONTH(H85)-MONTH($D$12))-IF(DAY(H85)&lt;DAY($D$12),1,0))/$D$11))+1))),$D$7))</f>
        <v/>
      </c>
      <c r="J85" s="11">
        <f>IF(H85="","",I85-H85)</f>
        <v/>
      </c>
      <c r="K85" s="12">
        <f>IF(H85="","",IF($D$18="LEGAL",H85,EDATE(H85,-$D$13)))</f>
        <v/>
      </c>
      <c r="L85" s="13">
        <f>IF(H85="","",IFERROR(INDEX('Tipos BdE'!$B$7:$M$336,MATCH(DATE(YEAR(K85),MONTH(K85),1),'Tipos BdE'!$A$7:$A$336,1),MATCH($D$9,'Tipos BdE'!$B$6:$M$6,0)),0))</f>
        <v/>
      </c>
      <c r="M85" s="13">
        <f>IF(H85="","",IF($D$18="LEGAL",0,$D$10))</f>
        <v/>
      </c>
      <c r="N85" s="13">
        <f>IF(H85="","",IF(AND($D$14="Sí",(L85+M85)&lt;0),0,L85+M85))</f>
        <v/>
      </c>
      <c r="O85" s="199">
        <f>IF(H85="","",$D$5*N85*J85/36500)</f>
        <v/>
      </c>
      <c r="P85" s="199">
        <f>IF(H85="","",$D$5+SUM($O$5:O85))</f>
        <v/>
      </c>
    </row>
    <row r="86">
      <c r="G86" s="11">
        <f>IF(H86="","",ROW()-4)</f>
        <v/>
      </c>
      <c r="H86" s="12">
        <f>IF(OR(I85="",I85&gt;=$D$7),"",I85)</f>
        <v/>
      </c>
      <c r="I86" s="12">
        <f>IF(H86="","",MIN(IF($D$18="LEGAL",DATE(YEAR(H86)+1,1,1),EDATE($D$12,$D$11*(INT((((YEAR(H86)-YEAR($D$12))*12+(MONTH(H86)-MONTH($D$12))-IF(DAY(H86)&lt;DAY($D$12),1,0))/$D$11))+1))),$D$7))</f>
        <v/>
      </c>
      <c r="J86" s="11">
        <f>IF(H86="","",I86-H86)</f>
        <v/>
      </c>
      <c r="K86" s="12">
        <f>IF(H86="","",IF($D$18="LEGAL",H86,EDATE(H86,-$D$13)))</f>
        <v/>
      </c>
      <c r="L86" s="13">
        <f>IF(H86="","",IFERROR(INDEX('Tipos BdE'!$B$7:$M$336,MATCH(DATE(YEAR(K86),MONTH(K86),1),'Tipos BdE'!$A$7:$A$336,1),MATCH($D$9,'Tipos BdE'!$B$6:$M$6,0)),0))</f>
        <v/>
      </c>
      <c r="M86" s="13">
        <f>IF(H86="","",IF($D$18="LEGAL",0,$D$10))</f>
        <v/>
      </c>
      <c r="N86" s="13">
        <f>IF(H86="","",IF(AND($D$14="Sí",(L86+M86)&lt;0),0,L86+M86))</f>
        <v/>
      </c>
      <c r="O86" s="199">
        <f>IF(H86="","",$D$5*N86*J86/36500)</f>
        <v/>
      </c>
      <c r="P86" s="199">
        <f>IF(H86="","",$D$5+SUM($O$5:O86))</f>
        <v/>
      </c>
    </row>
    <row r="87">
      <c r="G87" s="11">
        <f>IF(H87="","",ROW()-4)</f>
        <v/>
      </c>
      <c r="H87" s="12">
        <f>IF(OR(I86="",I86&gt;=$D$7),"",I86)</f>
        <v/>
      </c>
      <c r="I87" s="12">
        <f>IF(H87="","",MIN(IF($D$18="LEGAL",DATE(YEAR(H87)+1,1,1),EDATE($D$12,$D$11*(INT((((YEAR(H87)-YEAR($D$12))*12+(MONTH(H87)-MONTH($D$12))-IF(DAY(H87)&lt;DAY($D$12),1,0))/$D$11))+1))),$D$7))</f>
        <v/>
      </c>
      <c r="J87" s="11">
        <f>IF(H87="","",I87-H87)</f>
        <v/>
      </c>
      <c r="K87" s="12">
        <f>IF(H87="","",IF($D$18="LEGAL",H87,EDATE(H87,-$D$13)))</f>
        <v/>
      </c>
      <c r="L87" s="13">
        <f>IF(H87="","",IFERROR(INDEX('Tipos BdE'!$B$7:$M$336,MATCH(DATE(YEAR(K87),MONTH(K87),1),'Tipos BdE'!$A$7:$A$336,1),MATCH($D$9,'Tipos BdE'!$B$6:$M$6,0)),0))</f>
        <v/>
      </c>
      <c r="M87" s="13">
        <f>IF(H87="","",IF($D$18="LEGAL",0,$D$10))</f>
        <v/>
      </c>
      <c r="N87" s="13">
        <f>IF(H87="","",IF(AND($D$14="Sí",(L87+M87)&lt;0),0,L87+M87))</f>
        <v/>
      </c>
      <c r="O87" s="199">
        <f>IF(H87="","",$D$5*N87*J87/36500)</f>
        <v/>
      </c>
      <c r="P87" s="199">
        <f>IF(H87="","",$D$5+SUM($O$5:O87))</f>
        <v/>
      </c>
    </row>
    <row r="88">
      <c r="G88" s="11">
        <f>IF(H88="","",ROW()-4)</f>
        <v/>
      </c>
      <c r="H88" s="12">
        <f>IF(OR(I87="",I87&gt;=$D$7),"",I87)</f>
        <v/>
      </c>
      <c r="I88" s="12">
        <f>IF(H88="","",MIN(IF($D$18="LEGAL",DATE(YEAR(H88)+1,1,1),EDATE($D$12,$D$11*(INT((((YEAR(H88)-YEAR($D$12))*12+(MONTH(H88)-MONTH($D$12))-IF(DAY(H88)&lt;DAY($D$12),1,0))/$D$11))+1))),$D$7))</f>
        <v/>
      </c>
      <c r="J88" s="11">
        <f>IF(H88="","",I88-H88)</f>
        <v/>
      </c>
      <c r="K88" s="12">
        <f>IF(H88="","",IF($D$18="LEGAL",H88,EDATE(H88,-$D$13)))</f>
        <v/>
      </c>
      <c r="L88" s="13">
        <f>IF(H88="","",IFERROR(INDEX('Tipos BdE'!$B$7:$M$336,MATCH(DATE(YEAR(K88),MONTH(K88),1),'Tipos BdE'!$A$7:$A$336,1),MATCH($D$9,'Tipos BdE'!$B$6:$M$6,0)),0))</f>
        <v/>
      </c>
      <c r="M88" s="13">
        <f>IF(H88="","",IF($D$18="LEGAL",0,$D$10))</f>
        <v/>
      </c>
      <c r="N88" s="13">
        <f>IF(H88="","",IF(AND($D$14="Sí",(L88+M88)&lt;0),0,L88+M88))</f>
        <v/>
      </c>
      <c r="O88" s="199">
        <f>IF(H88="","",$D$5*N88*J88/36500)</f>
        <v/>
      </c>
      <c r="P88" s="199">
        <f>IF(H88="","",$D$5+SUM($O$5:O88))</f>
        <v/>
      </c>
    </row>
    <row r="89">
      <c r="G89" s="11">
        <f>IF(H89="","",ROW()-4)</f>
        <v/>
      </c>
      <c r="H89" s="12">
        <f>IF(OR(I88="",I88&gt;=$D$7),"",I88)</f>
        <v/>
      </c>
      <c r="I89" s="12">
        <f>IF(H89="","",MIN(IF($D$18="LEGAL",DATE(YEAR(H89)+1,1,1),EDATE($D$12,$D$11*(INT((((YEAR(H89)-YEAR($D$12))*12+(MONTH(H89)-MONTH($D$12))-IF(DAY(H89)&lt;DAY($D$12),1,0))/$D$11))+1))),$D$7))</f>
        <v/>
      </c>
      <c r="J89" s="11">
        <f>IF(H89="","",I89-H89)</f>
        <v/>
      </c>
      <c r="K89" s="12">
        <f>IF(H89="","",IF($D$18="LEGAL",H89,EDATE(H89,-$D$13)))</f>
        <v/>
      </c>
      <c r="L89" s="13">
        <f>IF(H89="","",IFERROR(INDEX('Tipos BdE'!$B$7:$M$336,MATCH(DATE(YEAR(K89),MONTH(K89),1),'Tipos BdE'!$A$7:$A$336,1),MATCH($D$9,'Tipos BdE'!$B$6:$M$6,0)),0))</f>
        <v/>
      </c>
      <c r="M89" s="13">
        <f>IF(H89="","",IF($D$18="LEGAL",0,$D$10))</f>
        <v/>
      </c>
      <c r="N89" s="13">
        <f>IF(H89="","",IF(AND($D$14="Sí",(L89+M89)&lt;0),0,L89+M89))</f>
        <v/>
      </c>
      <c r="O89" s="199">
        <f>IF(H89="","",$D$5*N89*J89/36500)</f>
        <v/>
      </c>
      <c r="P89" s="199">
        <f>IF(H89="","",$D$5+SUM($O$5:O89))</f>
        <v/>
      </c>
    </row>
    <row r="90">
      <c r="G90" s="11">
        <f>IF(H90="","",ROW()-4)</f>
        <v/>
      </c>
      <c r="H90" s="12">
        <f>IF(OR(I89="",I89&gt;=$D$7),"",I89)</f>
        <v/>
      </c>
      <c r="I90" s="12">
        <f>IF(H90="","",MIN(IF($D$18="LEGAL",DATE(YEAR(H90)+1,1,1),EDATE($D$12,$D$11*(INT((((YEAR(H90)-YEAR($D$12))*12+(MONTH(H90)-MONTH($D$12))-IF(DAY(H90)&lt;DAY($D$12),1,0))/$D$11))+1))),$D$7))</f>
        <v/>
      </c>
      <c r="J90" s="11">
        <f>IF(H90="","",I90-H90)</f>
        <v/>
      </c>
      <c r="K90" s="12">
        <f>IF(H90="","",IF($D$18="LEGAL",H90,EDATE(H90,-$D$13)))</f>
        <v/>
      </c>
      <c r="L90" s="13">
        <f>IF(H90="","",IFERROR(INDEX('Tipos BdE'!$B$7:$M$336,MATCH(DATE(YEAR(K90),MONTH(K90),1),'Tipos BdE'!$A$7:$A$336,1),MATCH($D$9,'Tipos BdE'!$B$6:$M$6,0)),0))</f>
        <v/>
      </c>
      <c r="M90" s="13">
        <f>IF(H90="","",IF($D$18="LEGAL",0,$D$10))</f>
        <v/>
      </c>
      <c r="N90" s="13">
        <f>IF(H90="","",IF(AND($D$14="Sí",(L90+M90)&lt;0),0,L90+M90))</f>
        <v/>
      </c>
      <c r="O90" s="199">
        <f>IF(H90="","",$D$5*N90*J90/36500)</f>
        <v/>
      </c>
      <c r="P90" s="199">
        <f>IF(H90="","",$D$5+SUM($O$5:O90))</f>
        <v/>
      </c>
    </row>
    <row r="91">
      <c r="G91" s="11">
        <f>IF(H91="","",ROW()-4)</f>
        <v/>
      </c>
      <c r="H91" s="12">
        <f>IF(OR(I90="",I90&gt;=$D$7),"",I90)</f>
        <v/>
      </c>
      <c r="I91" s="12">
        <f>IF(H91="","",MIN(IF($D$18="LEGAL",DATE(YEAR(H91)+1,1,1),EDATE($D$12,$D$11*(INT((((YEAR(H91)-YEAR($D$12))*12+(MONTH(H91)-MONTH($D$12))-IF(DAY(H91)&lt;DAY($D$12),1,0))/$D$11))+1))),$D$7))</f>
        <v/>
      </c>
      <c r="J91" s="11">
        <f>IF(H91="","",I91-H91)</f>
        <v/>
      </c>
      <c r="K91" s="12">
        <f>IF(H91="","",IF($D$18="LEGAL",H91,EDATE(H91,-$D$13)))</f>
        <v/>
      </c>
      <c r="L91" s="13">
        <f>IF(H91="","",IFERROR(INDEX('Tipos BdE'!$B$7:$M$336,MATCH(DATE(YEAR(K91),MONTH(K91),1),'Tipos BdE'!$A$7:$A$336,1),MATCH($D$9,'Tipos BdE'!$B$6:$M$6,0)),0))</f>
        <v/>
      </c>
      <c r="M91" s="13">
        <f>IF(H91="","",IF($D$18="LEGAL",0,$D$10))</f>
        <v/>
      </c>
      <c r="N91" s="13">
        <f>IF(H91="","",IF(AND($D$14="Sí",(L91+M91)&lt;0),0,L91+M91))</f>
        <v/>
      </c>
      <c r="O91" s="199">
        <f>IF(H91="","",$D$5*N91*J91/36500)</f>
        <v/>
      </c>
      <c r="P91" s="199">
        <f>IF(H91="","",$D$5+SUM($O$5:O91))</f>
        <v/>
      </c>
    </row>
    <row r="92">
      <c r="G92" s="11">
        <f>IF(H92="","",ROW()-4)</f>
        <v/>
      </c>
      <c r="H92" s="12">
        <f>IF(OR(I91="",I91&gt;=$D$7),"",I91)</f>
        <v/>
      </c>
      <c r="I92" s="12">
        <f>IF(H92="","",MIN(IF($D$18="LEGAL",DATE(YEAR(H92)+1,1,1),EDATE($D$12,$D$11*(INT((((YEAR(H92)-YEAR($D$12))*12+(MONTH(H92)-MONTH($D$12))-IF(DAY(H92)&lt;DAY($D$12),1,0))/$D$11))+1))),$D$7))</f>
        <v/>
      </c>
      <c r="J92" s="11">
        <f>IF(H92="","",I92-H92)</f>
        <v/>
      </c>
      <c r="K92" s="12">
        <f>IF(H92="","",IF($D$18="LEGAL",H92,EDATE(H92,-$D$13)))</f>
        <v/>
      </c>
      <c r="L92" s="13">
        <f>IF(H92="","",IFERROR(INDEX('Tipos BdE'!$B$7:$M$336,MATCH(DATE(YEAR(K92),MONTH(K92),1),'Tipos BdE'!$A$7:$A$336,1),MATCH($D$9,'Tipos BdE'!$B$6:$M$6,0)),0))</f>
        <v/>
      </c>
      <c r="M92" s="13">
        <f>IF(H92="","",IF($D$18="LEGAL",0,$D$10))</f>
        <v/>
      </c>
      <c r="N92" s="13">
        <f>IF(H92="","",IF(AND($D$14="Sí",(L92+M92)&lt;0),0,L92+M92))</f>
        <v/>
      </c>
      <c r="O92" s="199">
        <f>IF(H92="","",$D$5*N92*J92/36500)</f>
        <v/>
      </c>
      <c r="P92" s="199">
        <f>IF(H92="","",$D$5+SUM($O$5:O92))</f>
        <v/>
      </c>
    </row>
    <row r="93">
      <c r="G93" s="11">
        <f>IF(H93="","",ROW()-4)</f>
        <v/>
      </c>
      <c r="H93" s="12">
        <f>IF(OR(I92="",I92&gt;=$D$7),"",I92)</f>
        <v/>
      </c>
      <c r="I93" s="12">
        <f>IF(H93="","",MIN(IF($D$18="LEGAL",DATE(YEAR(H93)+1,1,1),EDATE($D$12,$D$11*(INT((((YEAR(H93)-YEAR($D$12))*12+(MONTH(H93)-MONTH($D$12))-IF(DAY(H93)&lt;DAY($D$12),1,0))/$D$11))+1))),$D$7))</f>
        <v/>
      </c>
      <c r="J93" s="11">
        <f>IF(H93="","",I93-H93)</f>
        <v/>
      </c>
      <c r="K93" s="12">
        <f>IF(H93="","",IF($D$18="LEGAL",H93,EDATE(H93,-$D$13)))</f>
        <v/>
      </c>
      <c r="L93" s="13">
        <f>IF(H93="","",IFERROR(INDEX('Tipos BdE'!$B$7:$M$336,MATCH(DATE(YEAR(K93),MONTH(K93),1),'Tipos BdE'!$A$7:$A$336,1),MATCH($D$9,'Tipos BdE'!$B$6:$M$6,0)),0))</f>
        <v/>
      </c>
      <c r="M93" s="13">
        <f>IF(H93="","",IF($D$18="LEGAL",0,$D$10))</f>
        <v/>
      </c>
      <c r="N93" s="13">
        <f>IF(H93="","",IF(AND($D$14="Sí",(L93+M93)&lt;0),0,L93+M93))</f>
        <v/>
      </c>
      <c r="O93" s="199">
        <f>IF(H93="","",$D$5*N93*J93/36500)</f>
        <v/>
      </c>
      <c r="P93" s="199">
        <f>IF(H93="","",$D$5+SUM($O$5:O93))</f>
        <v/>
      </c>
    </row>
    <row r="94">
      <c r="G94" s="11">
        <f>IF(H94="","",ROW()-4)</f>
        <v/>
      </c>
      <c r="H94" s="12">
        <f>IF(OR(I93="",I93&gt;=$D$7),"",I93)</f>
        <v/>
      </c>
      <c r="I94" s="12">
        <f>IF(H94="","",MIN(IF($D$18="LEGAL",DATE(YEAR(H94)+1,1,1),EDATE($D$12,$D$11*(INT((((YEAR(H94)-YEAR($D$12))*12+(MONTH(H94)-MONTH($D$12))-IF(DAY(H94)&lt;DAY($D$12),1,0))/$D$11))+1))),$D$7))</f>
        <v/>
      </c>
      <c r="J94" s="11">
        <f>IF(H94="","",I94-H94)</f>
        <v/>
      </c>
      <c r="K94" s="12">
        <f>IF(H94="","",IF($D$18="LEGAL",H94,EDATE(H94,-$D$13)))</f>
        <v/>
      </c>
      <c r="L94" s="13">
        <f>IF(H94="","",IFERROR(INDEX('Tipos BdE'!$B$7:$M$336,MATCH(DATE(YEAR(K94),MONTH(K94),1),'Tipos BdE'!$A$7:$A$336,1),MATCH($D$9,'Tipos BdE'!$B$6:$M$6,0)),0))</f>
        <v/>
      </c>
      <c r="M94" s="13">
        <f>IF(H94="","",IF($D$18="LEGAL",0,$D$10))</f>
        <v/>
      </c>
      <c r="N94" s="13">
        <f>IF(H94="","",IF(AND($D$14="Sí",(L94+M94)&lt;0),0,L94+M94))</f>
        <v/>
      </c>
      <c r="O94" s="199">
        <f>IF(H94="","",$D$5*N94*J94/36500)</f>
        <v/>
      </c>
      <c r="P94" s="199">
        <f>IF(H94="","",$D$5+SUM($O$5:O94))</f>
        <v/>
      </c>
    </row>
    <row r="95">
      <c r="G95" s="11">
        <f>IF(H95="","",ROW()-4)</f>
        <v/>
      </c>
      <c r="H95" s="12">
        <f>IF(OR(I94="",I94&gt;=$D$7),"",I94)</f>
        <v/>
      </c>
      <c r="I95" s="12">
        <f>IF(H95="","",MIN(IF($D$18="LEGAL",DATE(YEAR(H95)+1,1,1),EDATE($D$12,$D$11*(INT((((YEAR(H95)-YEAR($D$12))*12+(MONTH(H95)-MONTH($D$12))-IF(DAY(H95)&lt;DAY($D$12),1,0))/$D$11))+1))),$D$7))</f>
        <v/>
      </c>
      <c r="J95" s="11">
        <f>IF(H95="","",I95-H95)</f>
        <v/>
      </c>
      <c r="K95" s="12">
        <f>IF(H95="","",IF($D$18="LEGAL",H95,EDATE(H95,-$D$13)))</f>
        <v/>
      </c>
      <c r="L95" s="13">
        <f>IF(H95="","",IFERROR(INDEX('Tipos BdE'!$B$7:$M$336,MATCH(DATE(YEAR(K95),MONTH(K95),1),'Tipos BdE'!$A$7:$A$336,1),MATCH($D$9,'Tipos BdE'!$B$6:$M$6,0)),0))</f>
        <v/>
      </c>
      <c r="M95" s="13">
        <f>IF(H95="","",IF($D$18="LEGAL",0,$D$10))</f>
        <v/>
      </c>
      <c r="N95" s="13">
        <f>IF(H95="","",IF(AND($D$14="Sí",(L95+M95)&lt;0),0,L95+M95))</f>
        <v/>
      </c>
      <c r="O95" s="199">
        <f>IF(H95="","",$D$5*N95*J95/36500)</f>
        <v/>
      </c>
      <c r="P95" s="199">
        <f>IF(H95="","",$D$5+SUM($O$5:O95))</f>
        <v/>
      </c>
    </row>
    <row r="96">
      <c r="G96" s="11">
        <f>IF(H96="","",ROW()-4)</f>
        <v/>
      </c>
      <c r="H96" s="12">
        <f>IF(OR(I95="",I95&gt;=$D$7),"",I95)</f>
        <v/>
      </c>
      <c r="I96" s="12">
        <f>IF(H96="","",MIN(IF($D$18="LEGAL",DATE(YEAR(H96)+1,1,1),EDATE($D$12,$D$11*(INT((((YEAR(H96)-YEAR($D$12))*12+(MONTH(H96)-MONTH($D$12))-IF(DAY(H96)&lt;DAY($D$12),1,0))/$D$11))+1))),$D$7))</f>
        <v/>
      </c>
      <c r="J96" s="11">
        <f>IF(H96="","",I96-H96)</f>
        <v/>
      </c>
      <c r="K96" s="12">
        <f>IF(H96="","",IF($D$18="LEGAL",H96,EDATE(H96,-$D$13)))</f>
        <v/>
      </c>
      <c r="L96" s="13">
        <f>IF(H96="","",IFERROR(INDEX('Tipos BdE'!$B$7:$M$336,MATCH(DATE(YEAR(K96),MONTH(K96),1),'Tipos BdE'!$A$7:$A$336,1),MATCH($D$9,'Tipos BdE'!$B$6:$M$6,0)),0))</f>
        <v/>
      </c>
      <c r="M96" s="13">
        <f>IF(H96="","",IF($D$18="LEGAL",0,$D$10))</f>
        <v/>
      </c>
      <c r="N96" s="13">
        <f>IF(H96="","",IF(AND($D$14="Sí",(L96+M96)&lt;0),0,L96+M96))</f>
        <v/>
      </c>
      <c r="O96" s="199">
        <f>IF(H96="","",$D$5*N96*J96/36500)</f>
        <v/>
      </c>
      <c r="P96" s="199">
        <f>IF(H96="","",$D$5+SUM($O$5:O96))</f>
        <v/>
      </c>
    </row>
    <row r="97">
      <c r="G97" s="11">
        <f>IF(H97="","",ROW()-4)</f>
        <v/>
      </c>
      <c r="H97" s="12">
        <f>IF(OR(I96="",I96&gt;=$D$7),"",I96)</f>
        <v/>
      </c>
      <c r="I97" s="12">
        <f>IF(H97="","",MIN(IF($D$18="LEGAL",DATE(YEAR(H97)+1,1,1),EDATE($D$12,$D$11*(INT((((YEAR(H97)-YEAR($D$12))*12+(MONTH(H97)-MONTH($D$12))-IF(DAY(H97)&lt;DAY($D$12),1,0))/$D$11))+1))),$D$7))</f>
        <v/>
      </c>
      <c r="J97" s="11">
        <f>IF(H97="","",I97-H97)</f>
        <v/>
      </c>
      <c r="K97" s="12">
        <f>IF(H97="","",IF($D$18="LEGAL",H97,EDATE(H97,-$D$13)))</f>
        <v/>
      </c>
      <c r="L97" s="13">
        <f>IF(H97="","",IFERROR(INDEX('Tipos BdE'!$B$7:$M$336,MATCH(DATE(YEAR(K97),MONTH(K97),1),'Tipos BdE'!$A$7:$A$336,1),MATCH($D$9,'Tipos BdE'!$B$6:$M$6,0)),0))</f>
        <v/>
      </c>
      <c r="M97" s="13">
        <f>IF(H97="","",IF($D$18="LEGAL",0,$D$10))</f>
        <v/>
      </c>
      <c r="N97" s="13">
        <f>IF(H97="","",IF(AND($D$14="Sí",(L97+M97)&lt;0),0,L97+M97))</f>
        <v/>
      </c>
      <c r="O97" s="199">
        <f>IF(H97="","",$D$5*N97*J97/36500)</f>
        <v/>
      </c>
      <c r="P97" s="199">
        <f>IF(H97="","",$D$5+SUM($O$5:O97))</f>
        <v/>
      </c>
    </row>
    <row r="98">
      <c r="G98" s="11">
        <f>IF(H98="","",ROW()-4)</f>
        <v/>
      </c>
      <c r="H98" s="12">
        <f>IF(OR(I97="",I97&gt;=$D$7),"",I97)</f>
        <v/>
      </c>
      <c r="I98" s="12">
        <f>IF(H98="","",MIN(IF($D$18="LEGAL",DATE(YEAR(H98)+1,1,1),EDATE($D$12,$D$11*(INT((((YEAR(H98)-YEAR($D$12))*12+(MONTH(H98)-MONTH($D$12))-IF(DAY(H98)&lt;DAY($D$12),1,0))/$D$11))+1))),$D$7))</f>
        <v/>
      </c>
      <c r="J98" s="11">
        <f>IF(H98="","",I98-H98)</f>
        <v/>
      </c>
      <c r="K98" s="12">
        <f>IF(H98="","",IF($D$18="LEGAL",H98,EDATE(H98,-$D$13)))</f>
        <v/>
      </c>
      <c r="L98" s="13">
        <f>IF(H98="","",IFERROR(INDEX('Tipos BdE'!$B$7:$M$336,MATCH(DATE(YEAR(K98),MONTH(K98),1),'Tipos BdE'!$A$7:$A$336,1),MATCH($D$9,'Tipos BdE'!$B$6:$M$6,0)),0))</f>
        <v/>
      </c>
      <c r="M98" s="13">
        <f>IF(H98="","",IF($D$18="LEGAL",0,$D$10))</f>
        <v/>
      </c>
      <c r="N98" s="13">
        <f>IF(H98="","",IF(AND($D$14="Sí",(L98+M98)&lt;0),0,L98+M98))</f>
        <v/>
      </c>
      <c r="O98" s="199">
        <f>IF(H98="","",$D$5*N98*J98/36500)</f>
        <v/>
      </c>
      <c r="P98" s="199">
        <f>IF(H98="","",$D$5+SUM($O$5:O98))</f>
        <v/>
      </c>
    </row>
    <row r="99">
      <c r="G99" s="11">
        <f>IF(H99="","",ROW()-4)</f>
        <v/>
      </c>
      <c r="H99" s="12">
        <f>IF(OR(I98="",I98&gt;=$D$7),"",I98)</f>
        <v/>
      </c>
      <c r="I99" s="12">
        <f>IF(H99="","",MIN(IF($D$18="LEGAL",DATE(YEAR(H99)+1,1,1),EDATE($D$12,$D$11*(INT((((YEAR(H99)-YEAR($D$12))*12+(MONTH(H99)-MONTH($D$12))-IF(DAY(H99)&lt;DAY($D$12),1,0))/$D$11))+1))),$D$7))</f>
        <v/>
      </c>
      <c r="J99" s="11">
        <f>IF(H99="","",I99-H99)</f>
        <v/>
      </c>
      <c r="K99" s="12">
        <f>IF(H99="","",IF($D$18="LEGAL",H99,EDATE(H99,-$D$13)))</f>
        <v/>
      </c>
      <c r="L99" s="13">
        <f>IF(H99="","",IFERROR(INDEX('Tipos BdE'!$B$7:$M$336,MATCH(DATE(YEAR(K99),MONTH(K99),1),'Tipos BdE'!$A$7:$A$336,1),MATCH($D$9,'Tipos BdE'!$B$6:$M$6,0)),0))</f>
        <v/>
      </c>
      <c r="M99" s="13">
        <f>IF(H99="","",IF($D$18="LEGAL",0,$D$10))</f>
        <v/>
      </c>
      <c r="N99" s="13">
        <f>IF(H99="","",IF(AND($D$14="Sí",(L99+M99)&lt;0),0,L99+M99))</f>
        <v/>
      </c>
      <c r="O99" s="199">
        <f>IF(H99="","",$D$5*N99*J99/36500)</f>
        <v/>
      </c>
      <c r="P99" s="199">
        <f>IF(H99="","",$D$5+SUM($O$5:O99))</f>
        <v/>
      </c>
    </row>
    <row r="100">
      <c r="G100" s="11">
        <f>IF(H100="","",ROW()-4)</f>
        <v/>
      </c>
      <c r="H100" s="12">
        <f>IF(OR(I99="",I99&gt;=$D$7),"",I99)</f>
        <v/>
      </c>
      <c r="I100" s="12">
        <f>IF(H100="","",MIN(IF($D$18="LEGAL",DATE(YEAR(H100)+1,1,1),EDATE($D$12,$D$11*(INT((((YEAR(H100)-YEAR($D$12))*12+(MONTH(H100)-MONTH($D$12))-IF(DAY(H100)&lt;DAY($D$12),1,0))/$D$11))+1))),$D$7))</f>
        <v/>
      </c>
      <c r="J100" s="11">
        <f>IF(H100="","",I100-H100)</f>
        <v/>
      </c>
      <c r="K100" s="12">
        <f>IF(H100="","",IF($D$18="LEGAL",H100,EDATE(H100,-$D$13)))</f>
        <v/>
      </c>
      <c r="L100" s="13">
        <f>IF(H100="","",IFERROR(INDEX('Tipos BdE'!$B$7:$M$336,MATCH(DATE(YEAR(K100),MONTH(K100),1),'Tipos BdE'!$A$7:$A$336,1),MATCH($D$9,'Tipos BdE'!$B$6:$M$6,0)),0))</f>
        <v/>
      </c>
      <c r="M100" s="13">
        <f>IF(H100="","",IF($D$18="LEGAL",0,$D$10))</f>
        <v/>
      </c>
      <c r="N100" s="13">
        <f>IF(H100="","",IF(AND($D$14="Sí",(L100+M100)&lt;0),0,L100+M100))</f>
        <v/>
      </c>
      <c r="O100" s="199">
        <f>IF(H100="","",$D$5*N100*J100/36500)</f>
        <v/>
      </c>
      <c r="P100" s="199">
        <f>IF(H100="","",$D$5+SUM($O$5:O100))</f>
        <v/>
      </c>
    </row>
    <row r="101">
      <c r="G101" s="11">
        <f>IF(H101="","",ROW()-4)</f>
        <v/>
      </c>
      <c r="H101" s="12">
        <f>IF(OR(I100="",I100&gt;=$D$7),"",I100)</f>
        <v/>
      </c>
      <c r="I101" s="12">
        <f>IF(H101="","",MIN(IF($D$18="LEGAL",DATE(YEAR(H101)+1,1,1),EDATE($D$12,$D$11*(INT((((YEAR(H101)-YEAR($D$12))*12+(MONTH(H101)-MONTH($D$12))-IF(DAY(H101)&lt;DAY($D$12),1,0))/$D$11))+1))),$D$7))</f>
        <v/>
      </c>
      <c r="J101" s="11">
        <f>IF(H101="","",I101-H101)</f>
        <v/>
      </c>
      <c r="K101" s="12">
        <f>IF(H101="","",IF($D$18="LEGAL",H101,EDATE(H101,-$D$13)))</f>
        <v/>
      </c>
      <c r="L101" s="13">
        <f>IF(H101="","",IFERROR(INDEX('Tipos BdE'!$B$7:$M$336,MATCH(DATE(YEAR(K101),MONTH(K101),1),'Tipos BdE'!$A$7:$A$336,1),MATCH($D$9,'Tipos BdE'!$B$6:$M$6,0)),0))</f>
        <v/>
      </c>
      <c r="M101" s="13">
        <f>IF(H101="","",IF($D$18="LEGAL",0,$D$10))</f>
        <v/>
      </c>
      <c r="N101" s="13">
        <f>IF(H101="","",IF(AND($D$14="Sí",(L101+M101)&lt;0),0,L101+M101))</f>
        <v/>
      </c>
      <c r="O101" s="199">
        <f>IF(H101="","",$D$5*N101*J101/36500)</f>
        <v/>
      </c>
      <c r="P101" s="199">
        <f>IF(H101="","",$D$5+SUM($O$5:O101))</f>
        <v/>
      </c>
    </row>
    <row r="102">
      <c r="G102" s="11">
        <f>IF(H102="","",ROW()-4)</f>
        <v/>
      </c>
      <c r="H102" s="12">
        <f>IF(OR(I101="",I101&gt;=$D$7),"",I101)</f>
        <v/>
      </c>
      <c r="I102" s="12">
        <f>IF(H102="","",MIN(IF($D$18="LEGAL",DATE(YEAR(H102)+1,1,1),EDATE($D$12,$D$11*(INT((((YEAR(H102)-YEAR($D$12))*12+(MONTH(H102)-MONTH($D$12))-IF(DAY(H102)&lt;DAY($D$12),1,0))/$D$11))+1))),$D$7))</f>
        <v/>
      </c>
      <c r="J102" s="11">
        <f>IF(H102="","",I102-H102)</f>
        <v/>
      </c>
      <c r="K102" s="12">
        <f>IF(H102="","",IF($D$18="LEGAL",H102,EDATE(H102,-$D$13)))</f>
        <v/>
      </c>
      <c r="L102" s="13">
        <f>IF(H102="","",IFERROR(INDEX('Tipos BdE'!$B$7:$M$336,MATCH(DATE(YEAR(K102),MONTH(K102),1),'Tipos BdE'!$A$7:$A$336,1),MATCH($D$9,'Tipos BdE'!$B$6:$M$6,0)),0))</f>
        <v/>
      </c>
      <c r="M102" s="13">
        <f>IF(H102="","",IF($D$18="LEGAL",0,$D$10))</f>
        <v/>
      </c>
      <c r="N102" s="13">
        <f>IF(H102="","",IF(AND($D$14="Sí",(L102+M102)&lt;0),0,L102+M102))</f>
        <v/>
      </c>
      <c r="O102" s="199">
        <f>IF(H102="","",$D$5*N102*J102/36500)</f>
        <v/>
      </c>
      <c r="P102" s="199">
        <f>IF(H102="","",$D$5+SUM($O$5:O102))</f>
        <v/>
      </c>
    </row>
    <row r="103">
      <c r="G103" s="11">
        <f>IF(H103="","",ROW()-4)</f>
        <v/>
      </c>
      <c r="H103" s="12">
        <f>IF(OR(I102="",I102&gt;=$D$7),"",I102)</f>
        <v/>
      </c>
      <c r="I103" s="12">
        <f>IF(H103="","",MIN(IF($D$18="LEGAL",DATE(YEAR(H103)+1,1,1),EDATE($D$12,$D$11*(INT((((YEAR(H103)-YEAR($D$12))*12+(MONTH(H103)-MONTH($D$12))-IF(DAY(H103)&lt;DAY($D$12),1,0))/$D$11))+1))),$D$7))</f>
        <v/>
      </c>
      <c r="J103" s="11">
        <f>IF(H103="","",I103-H103)</f>
        <v/>
      </c>
      <c r="K103" s="12">
        <f>IF(H103="","",IF($D$18="LEGAL",H103,EDATE(H103,-$D$13)))</f>
        <v/>
      </c>
      <c r="L103" s="13">
        <f>IF(H103="","",IFERROR(INDEX('Tipos BdE'!$B$7:$M$336,MATCH(DATE(YEAR(K103),MONTH(K103),1),'Tipos BdE'!$A$7:$A$336,1),MATCH($D$9,'Tipos BdE'!$B$6:$M$6,0)),0))</f>
        <v/>
      </c>
      <c r="M103" s="13">
        <f>IF(H103="","",IF($D$18="LEGAL",0,$D$10))</f>
        <v/>
      </c>
      <c r="N103" s="13">
        <f>IF(H103="","",IF(AND($D$14="Sí",(L103+M103)&lt;0),0,L103+M103))</f>
        <v/>
      </c>
      <c r="O103" s="199">
        <f>IF(H103="","",$D$5*N103*J103/36500)</f>
        <v/>
      </c>
      <c r="P103" s="199">
        <f>IF(H103="","",$D$5+SUM($O$5:O103))</f>
        <v/>
      </c>
    </row>
    <row r="104">
      <c r="G104" s="11">
        <f>IF(H104="","",ROW()-4)</f>
        <v/>
      </c>
      <c r="H104" s="12">
        <f>IF(OR(I103="",I103&gt;=$D$7),"",I103)</f>
        <v/>
      </c>
      <c r="I104" s="12">
        <f>IF(H104="","",MIN(IF($D$18="LEGAL",DATE(YEAR(H104)+1,1,1),EDATE($D$12,$D$11*(INT((((YEAR(H104)-YEAR($D$12))*12+(MONTH(H104)-MONTH($D$12))-IF(DAY(H104)&lt;DAY($D$12),1,0))/$D$11))+1))),$D$7))</f>
        <v/>
      </c>
      <c r="J104" s="11">
        <f>IF(H104="","",I104-H104)</f>
        <v/>
      </c>
      <c r="K104" s="12">
        <f>IF(H104="","",IF($D$18="LEGAL",H104,EDATE(H104,-$D$13)))</f>
        <v/>
      </c>
      <c r="L104" s="13">
        <f>IF(H104="","",IFERROR(INDEX('Tipos BdE'!$B$7:$M$336,MATCH(DATE(YEAR(K104),MONTH(K104),1),'Tipos BdE'!$A$7:$A$336,1),MATCH($D$9,'Tipos BdE'!$B$6:$M$6,0)),0))</f>
        <v/>
      </c>
      <c r="M104" s="13">
        <f>IF(H104="","",IF($D$18="LEGAL",0,$D$10))</f>
        <v/>
      </c>
      <c r="N104" s="13">
        <f>IF(H104="","",IF(AND($D$14="Sí",(L104+M104)&lt;0),0,L104+M104))</f>
        <v/>
      </c>
      <c r="O104" s="199">
        <f>IF(H104="","",$D$5*N104*J104/36500)</f>
        <v/>
      </c>
      <c r="P104" s="199">
        <f>IF(H104="","",$D$5+SUM($O$5:O104))</f>
        <v/>
      </c>
    </row>
    <row r="105">
      <c r="G105" s="11">
        <f>IF(H105="","",ROW()-4)</f>
        <v/>
      </c>
      <c r="H105" s="12">
        <f>IF(OR(I104="",I104&gt;=$D$7),"",I104)</f>
        <v/>
      </c>
      <c r="I105" s="12">
        <f>IF(H105="","",MIN(IF($D$18="LEGAL",DATE(YEAR(H105)+1,1,1),EDATE($D$12,$D$11*(INT((((YEAR(H105)-YEAR($D$12))*12+(MONTH(H105)-MONTH($D$12))-IF(DAY(H105)&lt;DAY($D$12),1,0))/$D$11))+1))),$D$7))</f>
        <v/>
      </c>
      <c r="J105" s="11">
        <f>IF(H105="","",I105-H105)</f>
        <v/>
      </c>
      <c r="K105" s="12">
        <f>IF(H105="","",IF($D$18="LEGAL",H105,EDATE(H105,-$D$13)))</f>
        <v/>
      </c>
      <c r="L105" s="13">
        <f>IF(H105="","",IFERROR(INDEX('Tipos BdE'!$B$7:$M$336,MATCH(DATE(YEAR(K105),MONTH(K105),1),'Tipos BdE'!$A$7:$A$336,1),MATCH($D$9,'Tipos BdE'!$B$6:$M$6,0)),0))</f>
        <v/>
      </c>
      <c r="M105" s="13">
        <f>IF(H105="","",IF($D$18="LEGAL",0,$D$10))</f>
        <v/>
      </c>
      <c r="N105" s="13">
        <f>IF(H105="","",IF(AND($D$14="Sí",(L105+M105)&lt;0),0,L105+M105))</f>
        <v/>
      </c>
      <c r="O105" s="199">
        <f>IF(H105="","",$D$5*N105*J105/36500)</f>
        <v/>
      </c>
      <c r="P105" s="199">
        <f>IF(H105="","",$D$5+SUM($O$5:O105))</f>
        <v/>
      </c>
    </row>
    <row r="106">
      <c r="G106" s="11">
        <f>IF(H106="","",ROW()-4)</f>
        <v/>
      </c>
      <c r="H106" s="12">
        <f>IF(OR(I105="",I105&gt;=$D$7),"",I105)</f>
        <v/>
      </c>
      <c r="I106" s="12">
        <f>IF(H106="","",MIN(IF($D$18="LEGAL",DATE(YEAR(H106)+1,1,1),EDATE($D$12,$D$11*(INT((((YEAR(H106)-YEAR($D$12))*12+(MONTH(H106)-MONTH($D$12))-IF(DAY(H106)&lt;DAY($D$12),1,0))/$D$11))+1))),$D$7))</f>
        <v/>
      </c>
      <c r="J106" s="11">
        <f>IF(H106="","",I106-H106)</f>
        <v/>
      </c>
      <c r="K106" s="12">
        <f>IF(H106="","",IF($D$18="LEGAL",H106,EDATE(H106,-$D$13)))</f>
        <v/>
      </c>
      <c r="L106" s="13">
        <f>IF(H106="","",IFERROR(INDEX('Tipos BdE'!$B$7:$M$336,MATCH(DATE(YEAR(K106),MONTH(K106),1),'Tipos BdE'!$A$7:$A$336,1),MATCH($D$9,'Tipos BdE'!$B$6:$M$6,0)),0))</f>
        <v/>
      </c>
      <c r="M106" s="13">
        <f>IF(H106="","",IF($D$18="LEGAL",0,$D$10))</f>
        <v/>
      </c>
      <c r="N106" s="13">
        <f>IF(H106="","",IF(AND($D$14="Sí",(L106+M106)&lt;0),0,L106+M106))</f>
        <v/>
      </c>
      <c r="O106" s="199">
        <f>IF(H106="","",$D$5*N106*J106/36500)</f>
        <v/>
      </c>
      <c r="P106" s="199">
        <f>IF(H106="","",$D$5+SUM($O$5:O106))</f>
        <v/>
      </c>
    </row>
    <row r="107">
      <c r="G107" s="11">
        <f>IF(H107="","",ROW()-4)</f>
        <v/>
      </c>
      <c r="H107" s="12">
        <f>IF(OR(I106="",I106&gt;=$D$7),"",I106)</f>
        <v/>
      </c>
      <c r="I107" s="12">
        <f>IF(H107="","",MIN(IF($D$18="LEGAL",DATE(YEAR(H107)+1,1,1),EDATE($D$12,$D$11*(INT((((YEAR(H107)-YEAR($D$12))*12+(MONTH(H107)-MONTH($D$12))-IF(DAY(H107)&lt;DAY($D$12),1,0))/$D$11))+1))),$D$7))</f>
        <v/>
      </c>
      <c r="J107" s="11">
        <f>IF(H107="","",I107-H107)</f>
        <v/>
      </c>
      <c r="K107" s="12">
        <f>IF(H107="","",IF($D$18="LEGAL",H107,EDATE(H107,-$D$13)))</f>
        <v/>
      </c>
      <c r="L107" s="13">
        <f>IF(H107="","",IFERROR(INDEX('Tipos BdE'!$B$7:$M$336,MATCH(DATE(YEAR(K107),MONTH(K107),1),'Tipos BdE'!$A$7:$A$336,1),MATCH($D$9,'Tipos BdE'!$B$6:$M$6,0)),0))</f>
        <v/>
      </c>
      <c r="M107" s="13">
        <f>IF(H107="","",IF($D$18="LEGAL",0,$D$10))</f>
        <v/>
      </c>
      <c r="N107" s="13">
        <f>IF(H107="","",IF(AND($D$14="Sí",(L107+M107)&lt;0),0,L107+M107))</f>
        <v/>
      </c>
      <c r="O107" s="199">
        <f>IF(H107="","",$D$5*N107*J107/36500)</f>
        <v/>
      </c>
      <c r="P107" s="199">
        <f>IF(H107="","",$D$5+SUM($O$5:O107))</f>
        <v/>
      </c>
    </row>
    <row r="108">
      <c r="G108" s="11">
        <f>IF(H108="","",ROW()-4)</f>
        <v/>
      </c>
      <c r="H108" s="12">
        <f>IF(OR(I107="",I107&gt;=$D$7),"",I107)</f>
        <v/>
      </c>
      <c r="I108" s="12">
        <f>IF(H108="","",MIN(IF($D$18="LEGAL",DATE(YEAR(H108)+1,1,1),EDATE($D$12,$D$11*(INT((((YEAR(H108)-YEAR($D$12))*12+(MONTH(H108)-MONTH($D$12))-IF(DAY(H108)&lt;DAY($D$12),1,0))/$D$11))+1))),$D$7))</f>
        <v/>
      </c>
      <c r="J108" s="11">
        <f>IF(H108="","",I108-H108)</f>
        <v/>
      </c>
      <c r="K108" s="12">
        <f>IF(H108="","",IF($D$18="LEGAL",H108,EDATE(H108,-$D$13)))</f>
        <v/>
      </c>
      <c r="L108" s="13">
        <f>IF(H108="","",IFERROR(INDEX('Tipos BdE'!$B$7:$M$336,MATCH(DATE(YEAR(K108),MONTH(K108),1),'Tipos BdE'!$A$7:$A$336,1),MATCH($D$9,'Tipos BdE'!$B$6:$M$6,0)),0))</f>
        <v/>
      </c>
      <c r="M108" s="13">
        <f>IF(H108="","",IF($D$18="LEGAL",0,$D$10))</f>
        <v/>
      </c>
      <c r="N108" s="13">
        <f>IF(H108="","",IF(AND($D$14="Sí",(L108+M108)&lt;0),0,L108+M108))</f>
        <v/>
      </c>
      <c r="O108" s="199">
        <f>IF(H108="","",$D$5*N108*J108/36500)</f>
        <v/>
      </c>
      <c r="P108" s="199">
        <f>IF(H108="","",$D$5+SUM($O$5:O108))</f>
        <v/>
      </c>
    </row>
    <row r="109">
      <c r="G109" s="11">
        <f>IF(H109="","",ROW()-4)</f>
        <v/>
      </c>
      <c r="H109" s="12">
        <f>IF(OR(I108="",I108&gt;=$D$7),"",I108)</f>
        <v/>
      </c>
      <c r="I109" s="12">
        <f>IF(H109="","",MIN(IF($D$18="LEGAL",DATE(YEAR(H109)+1,1,1),EDATE($D$12,$D$11*(INT((((YEAR(H109)-YEAR($D$12))*12+(MONTH(H109)-MONTH($D$12))-IF(DAY(H109)&lt;DAY($D$12),1,0))/$D$11))+1))),$D$7))</f>
        <v/>
      </c>
      <c r="J109" s="11">
        <f>IF(H109="","",I109-H109)</f>
        <v/>
      </c>
      <c r="K109" s="12">
        <f>IF(H109="","",IF($D$18="LEGAL",H109,EDATE(H109,-$D$13)))</f>
        <v/>
      </c>
      <c r="L109" s="13">
        <f>IF(H109="","",IFERROR(INDEX('Tipos BdE'!$B$7:$M$336,MATCH(DATE(YEAR(K109),MONTH(K109),1),'Tipos BdE'!$A$7:$A$336,1),MATCH($D$9,'Tipos BdE'!$B$6:$M$6,0)),0))</f>
        <v/>
      </c>
      <c r="M109" s="13">
        <f>IF(H109="","",IF($D$18="LEGAL",0,$D$10))</f>
        <v/>
      </c>
      <c r="N109" s="13">
        <f>IF(H109="","",IF(AND($D$14="Sí",(L109+M109)&lt;0),0,L109+M109))</f>
        <v/>
      </c>
      <c r="O109" s="199">
        <f>IF(H109="","",$D$5*N109*J109/36500)</f>
        <v/>
      </c>
      <c r="P109" s="199">
        <f>IF(H109="","",$D$5+SUM($O$5:O109))</f>
        <v/>
      </c>
    </row>
    <row r="110">
      <c r="G110" s="11">
        <f>IF(H110="","",ROW()-4)</f>
        <v/>
      </c>
      <c r="H110" s="12">
        <f>IF(OR(I109="",I109&gt;=$D$7),"",I109)</f>
        <v/>
      </c>
      <c r="I110" s="12">
        <f>IF(H110="","",MIN(IF($D$18="LEGAL",DATE(YEAR(H110)+1,1,1),EDATE($D$12,$D$11*(INT((((YEAR(H110)-YEAR($D$12))*12+(MONTH(H110)-MONTH($D$12))-IF(DAY(H110)&lt;DAY($D$12),1,0))/$D$11))+1))),$D$7))</f>
        <v/>
      </c>
      <c r="J110" s="11">
        <f>IF(H110="","",I110-H110)</f>
        <v/>
      </c>
      <c r="K110" s="12">
        <f>IF(H110="","",IF($D$18="LEGAL",H110,EDATE(H110,-$D$13)))</f>
        <v/>
      </c>
      <c r="L110" s="13">
        <f>IF(H110="","",IFERROR(INDEX('Tipos BdE'!$B$7:$M$336,MATCH(DATE(YEAR(K110),MONTH(K110),1),'Tipos BdE'!$A$7:$A$336,1),MATCH($D$9,'Tipos BdE'!$B$6:$M$6,0)),0))</f>
        <v/>
      </c>
      <c r="M110" s="13">
        <f>IF(H110="","",IF($D$18="LEGAL",0,$D$10))</f>
        <v/>
      </c>
      <c r="N110" s="13">
        <f>IF(H110="","",IF(AND($D$14="Sí",(L110+M110)&lt;0),0,L110+M110))</f>
        <v/>
      </c>
      <c r="O110" s="199">
        <f>IF(H110="","",$D$5*N110*J110/36500)</f>
        <v/>
      </c>
      <c r="P110" s="199">
        <f>IF(H110="","",$D$5+SUM($O$5:O110))</f>
        <v/>
      </c>
    </row>
    <row r="111">
      <c r="G111" s="11">
        <f>IF(H111="","",ROW()-4)</f>
        <v/>
      </c>
      <c r="H111" s="12">
        <f>IF(OR(I110="",I110&gt;=$D$7),"",I110)</f>
        <v/>
      </c>
      <c r="I111" s="12">
        <f>IF(H111="","",MIN(IF($D$18="LEGAL",DATE(YEAR(H111)+1,1,1),EDATE($D$12,$D$11*(INT((((YEAR(H111)-YEAR($D$12))*12+(MONTH(H111)-MONTH($D$12))-IF(DAY(H111)&lt;DAY($D$12),1,0))/$D$11))+1))),$D$7))</f>
        <v/>
      </c>
      <c r="J111" s="11">
        <f>IF(H111="","",I111-H111)</f>
        <v/>
      </c>
      <c r="K111" s="12">
        <f>IF(H111="","",IF($D$18="LEGAL",H111,EDATE(H111,-$D$13)))</f>
        <v/>
      </c>
      <c r="L111" s="13">
        <f>IF(H111="","",IFERROR(INDEX('Tipos BdE'!$B$7:$M$336,MATCH(DATE(YEAR(K111),MONTH(K111),1),'Tipos BdE'!$A$7:$A$336,1),MATCH($D$9,'Tipos BdE'!$B$6:$M$6,0)),0))</f>
        <v/>
      </c>
      <c r="M111" s="13">
        <f>IF(H111="","",IF($D$18="LEGAL",0,$D$10))</f>
        <v/>
      </c>
      <c r="N111" s="13">
        <f>IF(H111="","",IF(AND($D$14="Sí",(L111+M111)&lt;0),0,L111+M111))</f>
        <v/>
      </c>
      <c r="O111" s="199">
        <f>IF(H111="","",$D$5*N111*J111/36500)</f>
        <v/>
      </c>
      <c r="P111" s="199">
        <f>IF(H111="","",$D$5+SUM($O$5:O111))</f>
        <v/>
      </c>
    </row>
    <row r="112">
      <c r="G112" s="11">
        <f>IF(H112="","",ROW()-4)</f>
        <v/>
      </c>
      <c r="H112" s="12">
        <f>IF(OR(I111="",I111&gt;=$D$7),"",I111)</f>
        <v/>
      </c>
      <c r="I112" s="12">
        <f>IF(H112="","",MIN(IF($D$18="LEGAL",DATE(YEAR(H112)+1,1,1),EDATE($D$12,$D$11*(INT((((YEAR(H112)-YEAR($D$12))*12+(MONTH(H112)-MONTH($D$12))-IF(DAY(H112)&lt;DAY($D$12),1,0))/$D$11))+1))),$D$7))</f>
        <v/>
      </c>
      <c r="J112" s="11">
        <f>IF(H112="","",I112-H112)</f>
        <v/>
      </c>
      <c r="K112" s="12">
        <f>IF(H112="","",IF($D$18="LEGAL",H112,EDATE(H112,-$D$13)))</f>
        <v/>
      </c>
      <c r="L112" s="13">
        <f>IF(H112="","",IFERROR(INDEX('Tipos BdE'!$B$7:$M$336,MATCH(DATE(YEAR(K112),MONTH(K112),1),'Tipos BdE'!$A$7:$A$336,1),MATCH($D$9,'Tipos BdE'!$B$6:$M$6,0)),0))</f>
        <v/>
      </c>
      <c r="M112" s="13">
        <f>IF(H112="","",IF($D$18="LEGAL",0,$D$10))</f>
        <v/>
      </c>
      <c r="N112" s="13">
        <f>IF(H112="","",IF(AND($D$14="Sí",(L112+M112)&lt;0),0,L112+M112))</f>
        <v/>
      </c>
      <c r="O112" s="199">
        <f>IF(H112="","",$D$5*N112*J112/36500)</f>
        <v/>
      </c>
      <c r="P112" s="199">
        <f>IF(H112="","",$D$5+SUM($O$5:O112))</f>
        <v/>
      </c>
    </row>
    <row r="113">
      <c r="G113" s="11">
        <f>IF(H113="","",ROW()-4)</f>
        <v/>
      </c>
      <c r="H113" s="12">
        <f>IF(OR(I112="",I112&gt;=$D$7),"",I112)</f>
        <v/>
      </c>
      <c r="I113" s="12">
        <f>IF(H113="","",MIN(IF($D$18="LEGAL",DATE(YEAR(H113)+1,1,1),EDATE($D$12,$D$11*(INT((((YEAR(H113)-YEAR($D$12))*12+(MONTH(H113)-MONTH($D$12))-IF(DAY(H113)&lt;DAY($D$12),1,0))/$D$11))+1))),$D$7))</f>
        <v/>
      </c>
      <c r="J113" s="11">
        <f>IF(H113="","",I113-H113)</f>
        <v/>
      </c>
      <c r="K113" s="12">
        <f>IF(H113="","",IF($D$18="LEGAL",H113,EDATE(H113,-$D$13)))</f>
        <v/>
      </c>
      <c r="L113" s="13">
        <f>IF(H113="","",IFERROR(INDEX('Tipos BdE'!$B$7:$M$336,MATCH(DATE(YEAR(K113),MONTH(K113),1),'Tipos BdE'!$A$7:$A$336,1),MATCH($D$9,'Tipos BdE'!$B$6:$M$6,0)),0))</f>
        <v/>
      </c>
      <c r="M113" s="13">
        <f>IF(H113="","",IF($D$18="LEGAL",0,$D$10))</f>
        <v/>
      </c>
      <c r="N113" s="13">
        <f>IF(H113="","",IF(AND($D$14="Sí",(L113+M113)&lt;0),0,L113+M113))</f>
        <v/>
      </c>
      <c r="O113" s="199">
        <f>IF(H113="","",$D$5*N113*J113/36500)</f>
        <v/>
      </c>
      <c r="P113" s="199">
        <f>IF(H113="","",$D$5+SUM($O$5:O113))</f>
        <v/>
      </c>
    </row>
    <row r="114">
      <c r="G114" s="11">
        <f>IF(H114="","",ROW()-4)</f>
        <v/>
      </c>
      <c r="H114" s="12">
        <f>IF(OR(I113="",I113&gt;=$D$7),"",I113)</f>
        <v/>
      </c>
      <c r="I114" s="12">
        <f>IF(H114="","",MIN(IF($D$18="LEGAL",DATE(YEAR(H114)+1,1,1),EDATE($D$12,$D$11*(INT((((YEAR(H114)-YEAR($D$12))*12+(MONTH(H114)-MONTH($D$12))-IF(DAY(H114)&lt;DAY($D$12),1,0))/$D$11))+1))),$D$7))</f>
        <v/>
      </c>
      <c r="J114" s="11">
        <f>IF(H114="","",I114-H114)</f>
        <v/>
      </c>
      <c r="K114" s="12">
        <f>IF(H114="","",IF($D$18="LEGAL",H114,EDATE(H114,-$D$13)))</f>
        <v/>
      </c>
      <c r="L114" s="13">
        <f>IF(H114="","",IFERROR(INDEX('Tipos BdE'!$B$7:$M$336,MATCH(DATE(YEAR(K114),MONTH(K114),1),'Tipos BdE'!$A$7:$A$336,1),MATCH($D$9,'Tipos BdE'!$B$6:$M$6,0)),0))</f>
        <v/>
      </c>
      <c r="M114" s="13">
        <f>IF(H114="","",IF($D$18="LEGAL",0,$D$10))</f>
        <v/>
      </c>
      <c r="N114" s="13">
        <f>IF(H114="","",IF(AND($D$14="Sí",(L114+M114)&lt;0),0,L114+M114))</f>
        <v/>
      </c>
      <c r="O114" s="199">
        <f>IF(H114="","",$D$5*N114*J114/36500)</f>
        <v/>
      </c>
      <c r="P114" s="199">
        <f>IF(H114="","",$D$5+SUM($O$5:O114))</f>
        <v/>
      </c>
    </row>
    <row r="115">
      <c r="G115" s="11">
        <f>IF(H115="","",ROW()-4)</f>
        <v/>
      </c>
      <c r="H115" s="12">
        <f>IF(OR(I114="",I114&gt;=$D$7),"",I114)</f>
        <v/>
      </c>
      <c r="I115" s="12">
        <f>IF(H115="","",MIN(IF($D$18="LEGAL",DATE(YEAR(H115)+1,1,1),EDATE($D$12,$D$11*(INT((((YEAR(H115)-YEAR($D$12))*12+(MONTH(H115)-MONTH($D$12))-IF(DAY(H115)&lt;DAY($D$12),1,0))/$D$11))+1))),$D$7))</f>
        <v/>
      </c>
      <c r="J115" s="11">
        <f>IF(H115="","",I115-H115)</f>
        <v/>
      </c>
      <c r="K115" s="12">
        <f>IF(H115="","",IF($D$18="LEGAL",H115,EDATE(H115,-$D$13)))</f>
        <v/>
      </c>
      <c r="L115" s="13">
        <f>IF(H115="","",IFERROR(INDEX('Tipos BdE'!$B$7:$M$336,MATCH(DATE(YEAR(K115),MONTH(K115),1),'Tipos BdE'!$A$7:$A$336,1),MATCH($D$9,'Tipos BdE'!$B$6:$M$6,0)),0))</f>
        <v/>
      </c>
      <c r="M115" s="13">
        <f>IF(H115="","",IF($D$18="LEGAL",0,$D$10))</f>
        <v/>
      </c>
      <c r="N115" s="13">
        <f>IF(H115="","",IF(AND($D$14="Sí",(L115+M115)&lt;0),0,L115+M115))</f>
        <v/>
      </c>
      <c r="O115" s="199">
        <f>IF(H115="","",$D$5*N115*J115/36500)</f>
        <v/>
      </c>
      <c r="P115" s="199">
        <f>IF(H115="","",$D$5+SUM($O$5:O115))</f>
        <v/>
      </c>
    </row>
    <row r="116">
      <c r="G116" s="11">
        <f>IF(H116="","",ROW()-4)</f>
        <v/>
      </c>
      <c r="H116" s="12">
        <f>IF(OR(I115="",I115&gt;=$D$7),"",I115)</f>
        <v/>
      </c>
      <c r="I116" s="12">
        <f>IF(H116="","",MIN(IF($D$18="LEGAL",DATE(YEAR(H116)+1,1,1),EDATE($D$12,$D$11*(INT((((YEAR(H116)-YEAR($D$12))*12+(MONTH(H116)-MONTH($D$12))-IF(DAY(H116)&lt;DAY($D$12),1,0))/$D$11))+1))),$D$7))</f>
        <v/>
      </c>
      <c r="J116" s="11">
        <f>IF(H116="","",I116-H116)</f>
        <v/>
      </c>
      <c r="K116" s="12">
        <f>IF(H116="","",IF($D$18="LEGAL",H116,EDATE(H116,-$D$13)))</f>
        <v/>
      </c>
      <c r="L116" s="13">
        <f>IF(H116="","",IFERROR(INDEX('Tipos BdE'!$B$7:$M$336,MATCH(DATE(YEAR(K116),MONTH(K116),1),'Tipos BdE'!$A$7:$A$336,1),MATCH($D$9,'Tipos BdE'!$B$6:$M$6,0)),0))</f>
        <v/>
      </c>
      <c r="M116" s="13">
        <f>IF(H116="","",IF($D$18="LEGAL",0,$D$10))</f>
        <v/>
      </c>
      <c r="N116" s="13">
        <f>IF(H116="","",IF(AND($D$14="Sí",(L116+M116)&lt;0),0,L116+M116))</f>
        <v/>
      </c>
      <c r="O116" s="199">
        <f>IF(H116="","",$D$5*N116*J116/36500)</f>
        <v/>
      </c>
      <c r="P116" s="199">
        <f>IF(H116="","",$D$5+SUM($O$5:O116))</f>
        <v/>
      </c>
    </row>
    <row r="117">
      <c r="G117" s="11">
        <f>IF(H117="","",ROW()-4)</f>
        <v/>
      </c>
      <c r="H117" s="12">
        <f>IF(OR(I116="",I116&gt;=$D$7),"",I116)</f>
        <v/>
      </c>
      <c r="I117" s="12">
        <f>IF(H117="","",MIN(IF($D$18="LEGAL",DATE(YEAR(H117)+1,1,1),EDATE($D$12,$D$11*(INT((((YEAR(H117)-YEAR($D$12))*12+(MONTH(H117)-MONTH($D$12))-IF(DAY(H117)&lt;DAY($D$12),1,0))/$D$11))+1))),$D$7))</f>
        <v/>
      </c>
      <c r="J117" s="11">
        <f>IF(H117="","",I117-H117)</f>
        <v/>
      </c>
      <c r="K117" s="12">
        <f>IF(H117="","",IF($D$18="LEGAL",H117,EDATE(H117,-$D$13)))</f>
        <v/>
      </c>
      <c r="L117" s="13">
        <f>IF(H117="","",IFERROR(INDEX('Tipos BdE'!$B$7:$M$336,MATCH(DATE(YEAR(K117),MONTH(K117),1),'Tipos BdE'!$A$7:$A$336,1),MATCH($D$9,'Tipos BdE'!$B$6:$M$6,0)),0))</f>
        <v/>
      </c>
      <c r="M117" s="13">
        <f>IF(H117="","",IF($D$18="LEGAL",0,$D$10))</f>
        <v/>
      </c>
      <c r="N117" s="13">
        <f>IF(H117="","",IF(AND($D$14="Sí",(L117+M117)&lt;0),0,L117+M117))</f>
        <v/>
      </c>
      <c r="O117" s="199">
        <f>IF(H117="","",$D$5*N117*J117/36500)</f>
        <v/>
      </c>
      <c r="P117" s="199">
        <f>IF(H117="","",$D$5+SUM($O$5:O117))</f>
        <v/>
      </c>
    </row>
    <row r="118">
      <c r="G118" s="11">
        <f>IF(H118="","",ROW()-4)</f>
        <v/>
      </c>
      <c r="H118" s="12">
        <f>IF(OR(I117="",I117&gt;=$D$7),"",I117)</f>
        <v/>
      </c>
      <c r="I118" s="12">
        <f>IF(H118="","",MIN(IF($D$18="LEGAL",DATE(YEAR(H118)+1,1,1),EDATE($D$12,$D$11*(INT((((YEAR(H118)-YEAR($D$12))*12+(MONTH(H118)-MONTH($D$12))-IF(DAY(H118)&lt;DAY($D$12),1,0))/$D$11))+1))),$D$7))</f>
        <v/>
      </c>
      <c r="J118" s="11">
        <f>IF(H118="","",I118-H118)</f>
        <v/>
      </c>
      <c r="K118" s="12">
        <f>IF(H118="","",IF($D$18="LEGAL",H118,EDATE(H118,-$D$13)))</f>
        <v/>
      </c>
      <c r="L118" s="13">
        <f>IF(H118="","",IFERROR(INDEX('Tipos BdE'!$B$7:$M$336,MATCH(DATE(YEAR(K118),MONTH(K118),1),'Tipos BdE'!$A$7:$A$336,1),MATCH($D$9,'Tipos BdE'!$B$6:$M$6,0)),0))</f>
        <v/>
      </c>
      <c r="M118" s="13">
        <f>IF(H118="","",IF($D$18="LEGAL",0,$D$10))</f>
        <v/>
      </c>
      <c r="N118" s="13">
        <f>IF(H118="","",IF(AND($D$14="Sí",(L118+M118)&lt;0),0,L118+M118))</f>
        <v/>
      </c>
      <c r="O118" s="199">
        <f>IF(H118="","",$D$5*N118*J118/36500)</f>
        <v/>
      </c>
      <c r="P118" s="199">
        <f>IF(H118="","",$D$5+SUM($O$5:O118))</f>
        <v/>
      </c>
    </row>
    <row r="119">
      <c r="G119" s="11">
        <f>IF(H119="","",ROW()-4)</f>
        <v/>
      </c>
      <c r="H119" s="12">
        <f>IF(OR(I118="",I118&gt;=$D$7),"",I118)</f>
        <v/>
      </c>
      <c r="I119" s="12">
        <f>IF(H119="","",MIN(IF($D$18="LEGAL",DATE(YEAR(H119)+1,1,1),EDATE($D$12,$D$11*(INT((((YEAR(H119)-YEAR($D$12))*12+(MONTH(H119)-MONTH($D$12))-IF(DAY(H119)&lt;DAY($D$12),1,0))/$D$11))+1))),$D$7))</f>
        <v/>
      </c>
      <c r="J119" s="11">
        <f>IF(H119="","",I119-H119)</f>
        <v/>
      </c>
      <c r="K119" s="12">
        <f>IF(H119="","",IF($D$18="LEGAL",H119,EDATE(H119,-$D$13)))</f>
        <v/>
      </c>
      <c r="L119" s="13">
        <f>IF(H119="","",IFERROR(INDEX('Tipos BdE'!$B$7:$M$336,MATCH(DATE(YEAR(K119),MONTH(K119),1),'Tipos BdE'!$A$7:$A$336,1),MATCH($D$9,'Tipos BdE'!$B$6:$M$6,0)),0))</f>
        <v/>
      </c>
      <c r="M119" s="13">
        <f>IF(H119="","",IF($D$18="LEGAL",0,$D$10))</f>
        <v/>
      </c>
      <c r="N119" s="13">
        <f>IF(H119="","",IF(AND($D$14="Sí",(L119+M119)&lt;0),0,L119+M119))</f>
        <v/>
      </c>
      <c r="O119" s="199">
        <f>IF(H119="","",$D$5*N119*J119/36500)</f>
        <v/>
      </c>
      <c r="P119" s="199">
        <f>IF(H119="","",$D$5+SUM($O$5:O119))</f>
        <v/>
      </c>
    </row>
    <row r="120">
      <c r="G120" s="11">
        <f>IF(H120="","",ROW()-4)</f>
        <v/>
      </c>
      <c r="H120" s="12">
        <f>IF(OR(I119="",I119&gt;=$D$7),"",I119)</f>
        <v/>
      </c>
      <c r="I120" s="12">
        <f>IF(H120="","",MIN(IF($D$18="LEGAL",DATE(YEAR(H120)+1,1,1),EDATE($D$12,$D$11*(INT((((YEAR(H120)-YEAR($D$12))*12+(MONTH(H120)-MONTH($D$12))-IF(DAY(H120)&lt;DAY($D$12),1,0))/$D$11))+1))),$D$7))</f>
        <v/>
      </c>
      <c r="J120" s="11">
        <f>IF(H120="","",I120-H120)</f>
        <v/>
      </c>
      <c r="K120" s="12">
        <f>IF(H120="","",IF($D$18="LEGAL",H120,EDATE(H120,-$D$13)))</f>
        <v/>
      </c>
      <c r="L120" s="13">
        <f>IF(H120="","",IFERROR(INDEX('Tipos BdE'!$B$7:$M$336,MATCH(DATE(YEAR(K120),MONTH(K120),1),'Tipos BdE'!$A$7:$A$336,1),MATCH($D$9,'Tipos BdE'!$B$6:$M$6,0)),0))</f>
        <v/>
      </c>
      <c r="M120" s="13">
        <f>IF(H120="","",IF($D$18="LEGAL",0,$D$10))</f>
        <v/>
      </c>
      <c r="N120" s="13">
        <f>IF(H120="","",IF(AND($D$14="Sí",(L120+M120)&lt;0),0,L120+M120))</f>
        <v/>
      </c>
      <c r="O120" s="199">
        <f>IF(H120="","",$D$5*N120*J120/36500)</f>
        <v/>
      </c>
      <c r="P120" s="199">
        <f>IF(H120="","",$D$5+SUM($O$5:O120))</f>
        <v/>
      </c>
    </row>
    <row r="121">
      <c r="G121" s="11">
        <f>IF(H121="","",ROW()-4)</f>
        <v/>
      </c>
      <c r="H121" s="12">
        <f>IF(OR(I120="",I120&gt;=$D$7),"",I120)</f>
        <v/>
      </c>
      <c r="I121" s="12">
        <f>IF(H121="","",MIN(IF($D$18="LEGAL",DATE(YEAR(H121)+1,1,1),EDATE($D$12,$D$11*(INT((((YEAR(H121)-YEAR($D$12))*12+(MONTH(H121)-MONTH($D$12))-IF(DAY(H121)&lt;DAY($D$12),1,0))/$D$11))+1))),$D$7))</f>
        <v/>
      </c>
      <c r="J121" s="11">
        <f>IF(H121="","",I121-H121)</f>
        <v/>
      </c>
      <c r="K121" s="12">
        <f>IF(H121="","",IF($D$18="LEGAL",H121,EDATE(H121,-$D$13)))</f>
        <v/>
      </c>
      <c r="L121" s="13">
        <f>IF(H121="","",IFERROR(INDEX('Tipos BdE'!$B$7:$M$336,MATCH(DATE(YEAR(K121),MONTH(K121),1),'Tipos BdE'!$A$7:$A$336,1),MATCH($D$9,'Tipos BdE'!$B$6:$M$6,0)),0))</f>
        <v/>
      </c>
      <c r="M121" s="13">
        <f>IF(H121="","",IF($D$18="LEGAL",0,$D$10))</f>
        <v/>
      </c>
      <c r="N121" s="13">
        <f>IF(H121="","",IF(AND($D$14="Sí",(L121+M121)&lt;0),0,L121+M121))</f>
        <v/>
      </c>
      <c r="O121" s="199">
        <f>IF(H121="","",$D$5*N121*J121/36500)</f>
        <v/>
      </c>
      <c r="P121" s="199">
        <f>IF(H121="","",$D$5+SUM($O$5:O121))</f>
        <v/>
      </c>
    </row>
    <row r="122">
      <c r="G122" s="11">
        <f>IF(H122="","",ROW()-4)</f>
        <v/>
      </c>
      <c r="H122" s="12">
        <f>IF(OR(I121="",I121&gt;=$D$7),"",I121)</f>
        <v/>
      </c>
      <c r="I122" s="12">
        <f>IF(H122="","",MIN(IF($D$18="LEGAL",DATE(YEAR(H122)+1,1,1),EDATE($D$12,$D$11*(INT((((YEAR(H122)-YEAR($D$12))*12+(MONTH(H122)-MONTH($D$12))-IF(DAY(H122)&lt;DAY($D$12),1,0))/$D$11))+1))),$D$7))</f>
        <v/>
      </c>
      <c r="J122" s="11">
        <f>IF(H122="","",I122-H122)</f>
        <v/>
      </c>
      <c r="K122" s="12">
        <f>IF(H122="","",IF($D$18="LEGAL",H122,EDATE(H122,-$D$13)))</f>
        <v/>
      </c>
      <c r="L122" s="13">
        <f>IF(H122="","",IFERROR(INDEX('Tipos BdE'!$B$7:$M$336,MATCH(DATE(YEAR(K122),MONTH(K122),1),'Tipos BdE'!$A$7:$A$336,1),MATCH($D$9,'Tipos BdE'!$B$6:$M$6,0)),0))</f>
        <v/>
      </c>
      <c r="M122" s="13">
        <f>IF(H122="","",IF($D$18="LEGAL",0,$D$10))</f>
        <v/>
      </c>
      <c r="N122" s="13">
        <f>IF(H122="","",IF(AND($D$14="Sí",(L122+M122)&lt;0),0,L122+M122))</f>
        <v/>
      </c>
      <c r="O122" s="199">
        <f>IF(H122="","",$D$5*N122*J122/36500)</f>
        <v/>
      </c>
      <c r="P122" s="199">
        <f>IF(H122="","",$D$5+SUM($O$5:O122))</f>
        <v/>
      </c>
    </row>
    <row r="123">
      <c r="G123" s="11">
        <f>IF(H123="","",ROW()-4)</f>
        <v/>
      </c>
      <c r="H123" s="12">
        <f>IF(OR(I122="",I122&gt;=$D$7),"",I122)</f>
        <v/>
      </c>
      <c r="I123" s="12">
        <f>IF(H123="","",MIN(IF($D$18="LEGAL",DATE(YEAR(H123)+1,1,1),EDATE($D$12,$D$11*(INT((((YEAR(H123)-YEAR($D$12))*12+(MONTH(H123)-MONTH($D$12))-IF(DAY(H123)&lt;DAY($D$12),1,0))/$D$11))+1))),$D$7))</f>
        <v/>
      </c>
      <c r="J123" s="11">
        <f>IF(H123="","",I123-H123)</f>
        <v/>
      </c>
      <c r="K123" s="12">
        <f>IF(H123="","",IF($D$18="LEGAL",H123,EDATE(H123,-$D$13)))</f>
        <v/>
      </c>
      <c r="L123" s="13">
        <f>IF(H123="","",IFERROR(INDEX('Tipos BdE'!$B$7:$M$336,MATCH(DATE(YEAR(K123),MONTH(K123),1),'Tipos BdE'!$A$7:$A$336,1),MATCH($D$9,'Tipos BdE'!$B$6:$M$6,0)),0))</f>
        <v/>
      </c>
      <c r="M123" s="13">
        <f>IF(H123="","",IF($D$18="LEGAL",0,$D$10))</f>
        <v/>
      </c>
      <c r="N123" s="13">
        <f>IF(H123="","",IF(AND($D$14="Sí",(L123+M123)&lt;0),0,L123+M123))</f>
        <v/>
      </c>
      <c r="O123" s="199">
        <f>IF(H123="","",$D$5*N123*J123/36500)</f>
        <v/>
      </c>
      <c r="P123" s="199">
        <f>IF(H123="","",$D$5+SUM($O$5:O123))</f>
        <v/>
      </c>
    </row>
    <row r="124">
      <c r="G124" s="11">
        <f>IF(H124="","",ROW()-4)</f>
        <v/>
      </c>
      <c r="H124" s="12">
        <f>IF(OR(I123="",I123&gt;=$D$7),"",I123)</f>
        <v/>
      </c>
      <c r="I124" s="12">
        <f>IF(H124="","",MIN(IF($D$18="LEGAL",DATE(YEAR(H124)+1,1,1),EDATE($D$12,$D$11*(INT((((YEAR(H124)-YEAR($D$12))*12+(MONTH(H124)-MONTH($D$12))-IF(DAY(H124)&lt;DAY($D$12),1,0))/$D$11))+1))),$D$7))</f>
        <v/>
      </c>
      <c r="J124" s="11">
        <f>IF(H124="","",I124-H124)</f>
        <v/>
      </c>
      <c r="K124" s="12">
        <f>IF(H124="","",IF($D$18="LEGAL",H124,EDATE(H124,-$D$13)))</f>
        <v/>
      </c>
      <c r="L124" s="13">
        <f>IF(H124="","",IFERROR(INDEX('Tipos BdE'!$B$7:$M$336,MATCH(DATE(YEAR(K124),MONTH(K124),1),'Tipos BdE'!$A$7:$A$336,1),MATCH($D$9,'Tipos BdE'!$B$6:$M$6,0)),0))</f>
        <v/>
      </c>
      <c r="M124" s="13">
        <f>IF(H124="","",IF($D$18="LEGAL",0,$D$10))</f>
        <v/>
      </c>
      <c r="N124" s="13">
        <f>IF(H124="","",IF(AND($D$14="Sí",(L124+M124)&lt;0),0,L124+M124))</f>
        <v/>
      </c>
      <c r="O124" s="199">
        <f>IF(H124="","",$D$5*N124*J124/36500)</f>
        <v/>
      </c>
      <c r="P124" s="199">
        <f>IF(H124="","",$D$5+SUM($O$5:O124))</f>
        <v/>
      </c>
    </row>
    <row r="125">
      <c r="G125" s="11">
        <f>IF(H125="","",ROW()-4)</f>
        <v/>
      </c>
      <c r="H125" s="12">
        <f>IF(OR(I124="",I124&gt;=$D$7),"",I124)</f>
        <v/>
      </c>
      <c r="I125" s="12">
        <f>IF(H125="","",MIN(IF($D$18="LEGAL",DATE(YEAR(H125)+1,1,1),EDATE($D$12,$D$11*(INT((((YEAR(H125)-YEAR($D$12))*12+(MONTH(H125)-MONTH($D$12))-IF(DAY(H125)&lt;DAY($D$12),1,0))/$D$11))+1))),$D$7))</f>
        <v/>
      </c>
      <c r="J125" s="11">
        <f>IF(H125="","",I125-H125)</f>
        <v/>
      </c>
      <c r="K125" s="12">
        <f>IF(H125="","",IF($D$18="LEGAL",H125,EDATE(H125,-$D$13)))</f>
        <v/>
      </c>
      <c r="L125" s="13">
        <f>IF(H125="","",IFERROR(INDEX('Tipos BdE'!$B$7:$M$336,MATCH(DATE(YEAR(K125),MONTH(K125),1),'Tipos BdE'!$A$7:$A$336,1),MATCH($D$9,'Tipos BdE'!$B$6:$M$6,0)),0))</f>
        <v/>
      </c>
      <c r="M125" s="13">
        <f>IF(H125="","",IF($D$18="LEGAL",0,$D$10))</f>
        <v/>
      </c>
      <c r="N125" s="13">
        <f>IF(H125="","",IF(AND($D$14="Sí",(L125+M125)&lt;0),0,L125+M125))</f>
        <v/>
      </c>
      <c r="O125" s="199">
        <f>IF(H125="","",$D$5*N125*J125/36500)</f>
        <v/>
      </c>
      <c r="P125" s="199">
        <f>IF(H125="","",$D$5+SUM($O$5:O125))</f>
        <v/>
      </c>
    </row>
    <row r="126">
      <c r="G126" s="11">
        <f>IF(H126="","",ROW()-4)</f>
        <v/>
      </c>
      <c r="H126" s="12">
        <f>IF(OR(I125="",I125&gt;=$D$7),"",I125)</f>
        <v/>
      </c>
      <c r="I126" s="12">
        <f>IF(H126="","",MIN(IF($D$18="LEGAL",DATE(YEAR(H126)+1,1,1),EDATE($D$12,$D$11*(INT((((YEAR(H126)-YEAR($D$12))*12+(MONTH(H126)-MONTH($D$12))-IF(DAY(H126)&lt;DAY($D$12),1,0))/$D$11))+1))),$D$7))</f>
        <v/>
      </c>
      <c r="J126" s="11">
        <f>IF(H126="","",I126-H126)</f>
        <v/>
      </c>
      <c r="K126" s="12">
        <f>IF(H126="","",IF($D$18="LEGAL",H126,EDATE(H126,-$D$13)))</f>
        <v/>
      </c>
      <c r="L126" s="13">
        <f>IF(H126="","",IFERROR(INDEX('Tipos BdE'!$B$7:$M$336,MATCH(DATE(YEAR(K126),MONTH(K126),1),'Tipos BdE'!$A$7:$A$336,1),MATCH($D$9,'Tipos BdE'!$B$6:$M$6,0)),0))</f>
        <v/>
      </c>
      <c r="M126" s="13">
        <f>IF(H126="","",IF($D$18="LEGAL",0,$D$10))</f>
        <v/>
      </c>
      <c r="N126" s="13">
        <f>IF(H126="","",IF(AND($D$14="Sí",(L126+M126)&lt;0),0,L126+M126))</f>
        <v/>
      </c>
      <c r="O126" s="199">
        <f>IF(H126="","",$D$5*N126*J126/36500)</f>
        <v/>
      </c>
      <c r="P126" s="199">
        <f>IF(H126="","",$D$5+SUM($O$5:O126))</f>
        <v/>
      </c>
    </row>
    <row r="127">
      <c r="G127" s="11">
        <f>IF(H127="","",ROW()-4)</f>
        <v/>
      </c>
      <c r="H127" s="12">
        <f>IF(OR(I126="",I126&gt;=$D$7),"",I126)</f>
        <v/>
      </c>
      <c r="I127" s="12">
        <f>IF(H127="","",MIN(IF($D$18="LEGAL",DATE(YEAR(H127)+1,1,1),EDATE($D$12,$D$11*(INT((((YEAR(H127)-YEAR($D$12))*12+(MONTH(H127)-MONTH($D$12))-IF(DAY(H127)&lt;DAY($D$12),1,0))/$D$11))+1))),$D$7))</f>
        <v/>
      </c>
      <c r="J127" s="11">
        <f>IF(H127="","",I127-H127)</f>
        <v/>
      </c>
      <c r="K127" s="12">
        <f>IF(H127="","",IF($D$18="LEGAL",H127,EDATE(H127,-$D$13)))</f>
        <v/>
      </c>
      <c r="L127" s="13">
        <f>IF(H127="","",IFERROR(INDEX('Tipos BdE'!$B$7:$M$336,MATCH(DATE(YEAR(K127),MONTH(K127),1),'Tipos BdE'!$A$7:$A$336,1),MATCH($D$9,'Tipos BdE'!$B$6:$M$6,0)),0))</f>
        <v/>
      </c>
      <c r="M127" s="13">
        <f>IF(H127="","",IF($D$18="LEGAL",0,$D$10))</f>
        <v/>
      </c>
      <c r="N127" s="13">
        <f>IF(H127="","",IF(AND($D$14="Sí",(L127+M127)&lt;0),0,L127+M127))</f>
        <v/>
      </c>
      <c r="O127" s="199">
        <f>IF(H127="","",$D$5*N127*J127/36500)</f>
        <v/>
      </c>
      <c r="P127" s="199">
        <f>IF(H127="","",$D$5+SUM($O$5:O127))</f>
        <v/>
      </c>
    </row>
    <row r="128">
      <c r="G128" s="11">
        <f>IF(H128="","",ROW()-4)</f>
        <v/>
      </c>
      <c r="H128" s="12">
        <f>IF(OR(I127="",I127&gt;=$D$7),"",I127)</f>
        <v/>
      </c>
      <c r="I128" s="12">
        <f>IF(H128="","",MIN(IF($D$18="LEGAL",DATE(YEAR(H128)+1,1,1),EDATE($D$12,$D$11*(INT((((YEAR(H128)-YEAR($D$12))*12+(MONTH(H128)-MONTH($D$12))-IF(DAY(H128)&lt;DAY($D$12),1,0))/$D$11))+1))),$D$7))</f>
        <v/>
      </c>
      <c r="J128" s="11">
        <f>IF(H128="","",I128-H128)</f>
        <v/>
      </c>
      <c r="K128" s="12">
        <f>IF(H128="","",IF($D$18="LEGAL",H128,EDATE(H128,-$D$13)))</f>
        <v/>
      </c>
      <c r="L128" s="13">
        <f>IF(H128="","",IFERROR(INDEX('Tipos BdE'!$B$7:$M$336,MATCH(DATE(YEAR(K128),MONTH(K128),1),'Tipos BdE'!$A$7:$A$336,1),MATCH($D$9,'Tipos BdE'!$B$6:$M$6,0)),0))</f>
        <v/>
      </c>
      <c r="M128" s="13">
        <f>IF(H128="","",IF($D$18="LEGAL",0,$D$10))</f>
        <v/>
      </c>
      <c r="N128" s="13">
        <f>IF(H128="","",IF(AND($D$14="Sí",(L128+M128)&lt;0),0,L128+M128))</f>
        <v/>
      </c>
      <c r="O128" s="199">
        <f>IF(H128="","",$D$5*N128*J128/36500)</f>
        <v/>
      </c>
      <c r="P128" s="199">
        <f>IF(H128="","",$D$5+SUM($O$5:O128))</f>
        <v/>
      </c>
    </row>
    <row r="129">
      <c r="G129" s="11">
        <f>IF(H129="","",ROW()-4)</f>
        <v/>
      </c>
      <c r="H129" s="12">
        <f>IF(OR(I128="",I128&gt;=$D$7),"",I128)</f>
        <v/>
      </c>
      <c r="I129" s="12">
        <f>IF(H129="","",MIN(IF($D$18="LEGAL",DATE(YEAR(H129)+1,1,1),EDATE($D$12,$D$11*(INT((((YEAR(H129)-YEAR($D$12))*12+(MONTH(H129)-MONTH($D$12))-IF(DAY(H129)&lt;DAY($D$12),1,0))/$D$11))+1))),$D$7))</f>
        <v/>
      </c>
      <c r="J129" s="11">
        <f>IF(H129="","",I129-H129)</f>
        <v/>
      </c>
      <c r="K129" s="12">
        <f>IF(H129="","",IF($D$18="LEGAL",H129,EDATE(H129,-$D$13)))</f>
        <v/>
      </c>
      <c r="L129" s="13">
        <f>IF(H129="","",IFERROR(INDEX('Tipos BdE'!$B$7:$M$336,MATCH(DATE(YEAR(K129),MONTH(K129),1),'Tipos BdE'!$A$7:$A$336,1),MATCH($D$9,'Tipos BdE'!$B$6:$M$6,0)),0))</f>
        <v/>
      </c>
      <c r="M129" s="13">
        <f>IF(H129="","",IF($D$18="LEGAL",0,$D$10))</f>
        <v/>
      </c>
      <c r="N129" s="13">
        <f>IF(H129="","",IF(AND($D$14="Sí",(L129+M129)&lt;0),0,L129+M129))</f>
        <v/>
      </c>
      <c r="O129" s="199">
        <f>IF(H129="","",$D$5*N129*J129/36500)</f>
        <v/>
      </c>
      <c r="P129" s="199">
        <f>IF(H129="","",$D$5+SUM($O$5:O129))</f>
        <v/>
      </c>
    </row>
    <row r="130">
      <c r="G130" s="11">
        <f>IF(H130="","",ROW()-4)</f>
        <v/>
      </c>
      <c r="H130" s="12">
        <f>IF(OR(I129="",I129&gt;=$D$7),"",I129)</f>
        <v/>
      </c>
      <c r="I130" s="12">
        <f>IF(H130="","",MIN(IF($D$18="LEGAL",DATE(YEAR(H130)+1,1,1),EDATE($D$12,$D$11*(INT((((YEAR(H130)-YEAR($D$12))*12+(MONTH(H130)-MONTH($D$12))-IF(DAY(H130)&lt;DAY($D$12),1,0))/$D$11))+1))),$D$7))</f>
        <v/>
      </c>
      <c r="J130" s="11">
        <f>IF(H130="","",I130-H130)</f>
        <v/>
      </c>
      <c r="K130" s="12">
        <f>IF(H130="","",IF($D$18="LEGAL",H130,EDATE(H130,-$D$13)))</f>
        <v/>
      </c>
      <c r="L130" s="13">
        <f>IF(H130="","",IFERROR(INDEX('Tipos BdE'!$B$7:$M$336,MATCH(DATE(YEAR(K130),MONTH(K130),1),'Tipos BdE'!$A$7:$A$336,1),MATCH($D$9,'Tipos BdE'!$B$6:$M$6,0)),0))</f>
        <v/>
      </c>
      <c r="M130" s="13">
        <f>IF(H130="","",IF($D$18="LEGAL",0,$D$10))</f>
        <v/>
      </c>
      <c r="N130" s="13">
        <f>IF(H130="","",IF(AND($D$14="Sí",(L130+M130)&lt;0),0,L130+M130))</f>
        <v/>
      </c>
      <c r="O130" s="199">
        <f>IF(H130="","",$D$5*N130*J130/36500)</f>
        <v/>
      </c>
      <c r="P130" s="199">
        <f>IF(H130="","",$D$5+SUM($O$5:O130))</f>
        <v/>
      </c>
    </row>
    <row r="131">
      <c r="G131" s="11">
        <f>IF(H131="","",ROW()-4)</f>
        <v/>
      </c>
      <c r="H131" s="12">
        <f>IF(OR(I130="",I130&gt;=$D$7),"",I130)</f>
        <v/>
      </c>
      <c r="I131" s="12">
        <f>IF(H131="","",MIN(IF($D$18="LEGAL",DATE(YEAR(H131)+1,1,1),EDATE($D$12,$D$11*(INT((((YEAR(H131)-YEAR($D$12))*12+(MONTH(H131)-MONTH($D$12))-IF(DAY(H131)&lt;DAY($D$12),1,0))/$D$11))+1))),$D$7))</f>
        <v/>
      </c>
      <c r="J131" s="11">
        <f>IF(H131="","",I131-H131)</f>
        <v/>
      </c>
      <c r="K131" s="12">
        <f>IF(H131="","",IF($D$18="LEGAL",H131,EDATE(H131,-$D$13)))</f>
        <v/>
      </c>
      <c r="L131" s="13">
        <f>IF(H131="","",IFERROR(INDEX('Tipos BdE'!$B$7:$M$336,MATCH(DATE(YEAR(K131),MONTH(K131),1),'Tipos BdE'!$A$7:$A$336,1),MATCH($D$9,'Tipos BdE'!$B$6:$M$6,0)),0))</f>
        <v/>
      </c>
      <c r="M131" s="13">
        <f>IF(H131="","",IF($D$18="LEGAL",0,$D$10))</f>
        <v/>
      </c>
      <c r="N131" s="13">
        <f>IF(H131="","",IF(AND($D$14="Sí",(L131+M131)&lt;0),0,L131+M131))</f>
        <v/>
      </c>
      <c r="O131" s="199">
        <f>IF(H131="","",$D$5*N131*J131/36500)</f>
        <v/>
      </c>
      <c r="P131" s="199">
        <f>IF(H131="","",$D$5+SUM($O$5:O131))</f>
        <v/>
      </c>
    </row>
    <row r="132">
      <c r="G132" s="11">
        <f>IF(H132="","",ROW()-4)</f>
        <v/>
      </c>
      <c r="H132" s="12">
        <f>IF(OR(I131="",I131&gt;=$D$7),"",I131)</f>
        <v/>
      </c>
      <c r="I132" s="12">
        <f>IF(H132="","",MIN(IF($D$18="LEGAL",DATE(YEAR(H132)+1,1,1),EDATE($D$12,$D$11*(INT((((YEAR(H132)-YEAR($D$12))*12+(MONTH(H132)-MONTH($D$12))-IF(DAY(H132)&lt;DAY($D$12),1,0))/$D$11))+1))),$D$7))</f>
        <v/>
      </c>
      <c r="J132" s="11">
        <f>IF(H132="","",I132-H132)</f>
        <v/>
      </c>
      <c r="K132" s="12">
        <f>IF(H132="","",IF($D$18="LEGAL",H132,EDATE(H132,-$D$13)))</f>
        <v/>
      </c>
      <c r="L132" s="13">
        <f>IF(H132="","",IFERROR(INDEX('Tipos BdE'!$B$7:$M$336,MATCH(DATE(YEAR(K132),MONTH(K132),1),'Tipos BdE'!$A$7:$A$336,1),MATCH($D$9,'Tipos BdE'!$B$6:$M$6,0)),0))</f>
        <v/>
      </c>
      <c r="M132" s="13">
        <f>IF(H132="","",IF($D$18="LEGAL",0,$D$10))</f>
        <v/>
      </c>
      <c r="N132" s="13">
        <f>IF(H132="","",IF(AND($D$14="Sí",(L132+M132)&lt;0),0,L132+M132))</f>
        <v/>
      </c>
      <c r="O132" s="199">
        <f>IF(H132="","",$D$5*N132*J132/36500)</f>
        <v/>
      </c>
      <c r="P132" s="199">
        <f>IF(H132="","",$D$5+SUM($O$5:O132))</f>
        <v/>
      </c>
    </row>
    <row r="133">
      <c r="G133" s="11">
        <f>IF(H133="","",ROW()-4)</f>
        <v/>
      </c>
      <c r="H133" s="12">
        <f>IF(OR(I132="",I132&gt;=$D$7),"",I132)</f>
        <v/>
      </c>
      <c r="I133" s="12">
        <f>IF(H133="","",MIN(IF($D$18="LEGAL",DATE(YEAR(H133)+1,1,1),EDATE($D$12,$D$11*(INT((((YEAR(H133)-YEAR($D$12))*12+(MONTH(H133)-MONTH($D$12))-IF(DAY(H133)&lt;DAY($D$12),1,0))/$D$11))+1))),$D$7))</f>
        <v/>
      </c>
      <c r="J133" s="11">
        <f>IF(H133="","",I133-H133)</f>
        <v/>
      </c>
      <c r="K133" s="12">
        <f>IF(H133="","",IF($D$18="LEGAL",H133,EDATE(H133,-$D$13)))</f>
        <v/>
      </c>
      <c r="L133" s="13">
        <f>IF(H133="","",IFERROR(INDEX('Tipos BdE'!$B$7:$M$336,MATCH(DATE(YEAR(K133),MONTH(K133),1),'Tipos BdE'!$A$7:$A$336,1),MATCH($D$9,'Tipos BdE'!$B$6:$M$6,0)),0))</f>
        <v/>
      </c>
      <c r="M133" s="13">
        <f>IF(H133="","",IF($D$18="LEGAL",0,$D$10))</f>
        <v/>
      </c>
      <c r="N133" s="13">
        <f>IF(H133="","",IF(AND($D$14="Sí",(L133+M133)&lt;0),0,L133+M133))</f>
        <v/>
      </c>
      <c r="O133" s="199">
        <f>IF(H133="","",$D$5*N133*J133/36500)</f>
        <v/>
      </c>
      <c r="P133" s="199">
        <f>IF(H133="","",$D$5+SUM($O$5:O133))</f>
        <v/>
      </c>
    </row>
    <row r="134">
      <c r="G134" s="11">
        <f>IF(H134="","",ROW()-4)</f>
        <v/>
      </c>
      <c r="H134" s="12">
        <f>IF(OR(I133="",I133&gt;=$D$7),"",I133)</f>
        <v/>
      </c>
      <c r="I134" s="12">
        <f>IF(H134="","",MIN(IF($D$18="LEGAL",DATE(YEAR(H134)+1,1,1),EDATE($D$12,$D$11*(INT((((YEAR(H134)-YEAR($D$12))*12+(MONTH(H134)-MONTH($D$12))-IF(DAY(H134)&lt;DAY($D$12),1,0))/$D$11))+1))),$D$7))</f>
        <v/>
      </c>
      <c r="J134" s="11">
        <f>IF(H134="","",I134-H134)</f>
        <v/>
      </c>
      <c r="K134" s="12">
        <f>IF(H134="","",IF($D$18="LEGAL",H134,EDATE(H134,-$D$13)))</f>
        <v/>
      </c>
      <c r="L134" s="13">
        <f>IF(H134="","",IFERROR(INDEX('Tipos BdE'!$B$7:$M$336,MATCH(DATE(YEAR(K134),MONTH(K134),1),'Tipos BdE'!$A$7:$A$336,1),MATCH($D$9,'Tipos BdE'!$B$6:$M$6,0)),0))</f>
        <v/>
      </c>
      <c r="M134" s="13">
        <f>IF(H134="","",IF($D$18="LEGAL",0,$D$10))</f>
        <v/>
      </c>
      <c r="N134" s="13">
        <f>IF(H134="","",IF(AND($D$14="Sí",(L134+M134)&lt;0),0,L134+M134))</f>
        <v/>
      </c>
      <c r="O134" s="199">
        <f>IF(H134="","",$D$5*N134*J134/36500)</f>
        <v/>
      </c>
      <c r="P134" s="199">
        <f>IF(H134="","",$D$5+SUM($O$5:O134))</f>
        <v/>
      </c>
    </row>
    <row r="135">
      <c r="G135" s="11">
        <f>IF(H135="","",ROW()-4)</f>
        <v/>
      </c>
      <c r="H135" s="12">
        <f>IF(OR(I134="",I134&gt;=$D$7),"",I134)</f>
        <v/>
      </c>
      <c r="I135" s="12">
        <f>IF(H135="","",MIN(IF($D$18="LEGAL",DATE(YEAR(H135)+1,1,1),EDATE($D$12,$D$11*(INT((((YEAR(H135)-YEAR($D$12))*12+(MONTH(H135)-MONTH($D$12))-IF(DAY(H135)&lt;DAY($D$12),1,0))/$D$11))+1))),$D$7))</f>
        <v/>
      </c>
      <c r="J135" s="11">
        <f>IF(H135="","",I135-H135)</f>
        <v/>
      </c>
      <c r="K135" s="12">
        <f>IF(H135="","",IF($D$18="LEGAL",H135,EDATE(H135,-$D$13)))</f>
        <v/>
      </c>
      <c r="L135" s="13">
        <f>IF(H135="","",IFERROR(INDEX('Tipos BdE'!$B$7:$M$336,MATCH(DATE(YEAR(K135),MONTH(K135),1),'Tipos BdE'!$A$7:$A$336,1),MATCH($D$9,'Tipos BdE'!$B$6:$M$6,0)),0))</f>
        <v/>
      </c>
      <c r="M135" s="13">
        <f>IF(H135="","",IF($D$18="LEGAL",0,$D$10))</f>
        <v/>
      </c>
      <c r="N135" s="13">
        <f>IF(H135="","",IF(AND($D$14="Sí",(L135+M135)&lt;0),0,L135+M135))</f>
        <v/>
      </c>
      <c r="O135" s="199">
        <f>IF(H135="","",$D$5*N135*J135/36500)</f>
        <v/>
      </c>
      <c r="P135" s="199">
        <f>IF(H135="","",$D$5+SUM($O$5:O135))</f>
        <v/>
      </c>
    </row>
    <row r="136">
      <c r="G136" s="11">
        <f>IF(H136="","",ROW()-4)</f>
        <v/>
      </c>
      <c r="H136" s="12">
        <f>IF(OR(I135="",I135&gt;=$D$7),"",I135)</f>
        <v/>
      </c>
      <c r="I136" s="12">
        <f>IF(H136="","",MIN(IF($D$18="LEGAL",DATE(YEAR(H136)+1,1,1),EDATE($D$12,$D$11*(INT((((YEAR(H136)-YEAR($D$12))*12+(MONTH(H136)-MONTH($D$12))-IF(DAY(H136)&lt;DAY($D$12),1,0))/$D$11))+1))),$D$7))</f>
        <v/>
      </c>
      <c r="J136" s="11">
        <f>IF(H136="","",I136-H136)</f>
        <v/>
      </c>
      <c r="K136" s="12">
        <f>IF(H136="","",IF($D$18="LEGAL",H136,EDATE(H136,-$D$13)))</f>
        <v/>
      </c>
      <c r="L136" s="13">
        <f>IF(H136="","",IFERROR(INDEX('Tipos BdE'!$B$7:$M$336,MATCH(DATE(YEAR(K136),MONTH(K136),1),'Tipos BdE'!$A$7:$A$336,1),MATCH($D$9,'Tipos BdE'!$B$6:$M$6,0)),0))</f>
        <v/>
      </c>
      <c r="M136" s="13">
        <f>IF(H136="","",IF($D$18="LEGAL",0,$D$10))</f>
        <v/>
      </c>
      <c r="N136" s="13">
        <f>IF(H136="","",IF(AND($D$14="Sí",(L136+M136)&lt;0),0,L136+M136))</f>
        <v/>
      </c>
      <c r="O136" s="199">
        <f>IF(H136="","",$D$5*N136*J136/36500)</f>
        <v/>
      </c>
      <c r="P136" s="199">
        <f>IF(H136="","",$D$5+SUM($O$5:O136))</f>
        <v/>
      </c>
    </row>
    <row r="137">
      <c r="G137" s="11">
        <f>IF(H137="","",ROW()-4)</f>
        <v/>
      </c>
      <c r="H137" s="12">
        <f>IF(OR(I136="",I136&gt;=$D$7),"",I136)</f>
        <v/>
      </c>
      <c r="I137" s="12">
        <f>IF(H137="","",MIN(IF($D$18="LEGAL",DATE(YEAR(H137)+1,1,1),EDATE($D$12,$D$11*(INT((((YEAR(H137)-YEAR($D$12))*12+(MONTH(H137)-MONTH($D$12))-IF(DAY(H137)&lt;DAY($D$12),1,0))/$D$11))+1))),$D$7))</f>
        <v/>
      </c>
      <c r="J137" s="11">
        <f>IF(H137="","",I137-H137)</f>
        <v/>
      </c>
      <c r="K137" s="12">
        <f>IF(H137="","",IF($D$18="LEGAL",H137,EDATE(H137,-$D$13)))</f>
        <v/>
      </c>
      <c r="L137" s="13">
        <f>IF(H137="","",IFERROR(INDEX('Tipos BdE'!$B$7:$M$336,MATCH(DATE(YEAR(K137),MONTH(K137),1),'Tipos BdE'!$A$7:$A$336,1),MATCH($D$9,'Tipos BdE'!$B$6:$M$6,0)),0))</f>
        <v/>
      </c>
      <c r="M137" s="13">
        <f>IF(H137="","",IF($D$18="LEGAL",0,$D$10))</f>
        <v/>
      </c>
      <c r="N137" s="13">
        <f>IF(H137="","",IF(AND($D$14="Sí",(L137+M137)&lt;0),0,L137+M137))</f>
        <v/>
      </c>
      <c r="O137" s="199">
        <f>IF(H137="","",$D$5*N137*J137/36500)</f>
        <v/>
      </c>
      <c r="P137" s="199">
        <f>IF(H137="","",$D$5+SUM($O$5:O137))</f>
        <v/>
      </c>
    </row>
    <row r="138">
      <c r="G138" s="11">
        <f>IF(H138="","",ROW()-4)</f>
        <v/>
      </c>
      <c r="H138" s="12">
        <f>IF(OR(I137="",I137&gt;=$D$7),"",I137)</f>
        <v/>
      </c>
      <c r="I138" s="12">
        <f>IF(H138="","",MIN(IF($D$18="LEGAL",DATE(YEAR(H138)+1,1,1),EDATE($D$12,$D$11*(INT((((YEAR(H138)-YEAR($D$12))*12+(MONTH(H138)-MONTH($D$12))-IF(DAY(H138)&lt;DAY($D$12),1,0))/$D$11))+1))),$D$7))</f>
        <v/>
      </c>
      <c r="J138" s="11">
        <f>IF(H138="","",I138-H138)</f>
        <v/>
      </c>
      <c r="K138" s="12">
        <f>IF(H138="","",IF($D$18="LEGAL",H138,EDATE(H138,-$D$13)))</f>
        <v/>
      </c>
      <c r="L138" s="13">
        <f>IF(H138="","",IFERROR(INDEX('Tipos BdE'!$B$7:$M$336,MATCH(DATE(YEAR(K138),MONTH(K138),1),'Tipos BdE'!$A$7:$A$336,1),MATCH($D$9,'Tipos BdE'!$B$6:$M$6,0)),0))</f>
        <v/>
      </c>
      <c r="M138" s="13">
        <f>IF(H138="","",IF($D$18="LEGAL",0,$D$10))</f>
        <v/>
      </c>
      <c r="N138" s="13">
        <f>IF(H138="","",IF(AND($D$14="Sí",(L138+M138)&lt;0),0,L138+M138))</f>
        <v/>
      </c>
      <c r="O138" s="199">
        <f>IF(H138="","",$D$5*N138*J138/36500)</f>
        <v/>
      </c>
      <c r="P138" s="199">
        <f>IF(H138="","",$D$5+SUM($O$5:O138))</f>
        <v/>
      </c>
    </row>
    <row r="139">
      <c r="G139" s="11">
        <f>IF(H139="","",ROW()-4)</f>
        <v/>
      </c>
      <c r="H139" s="12">
        <f>IF(OR(I138="",I138&gt;=$D$7),"",I138)</f>
        <v/>
      </c>
      <c r="I139" s="12">
        <f>IF(H139="","",MIN(IF($D$18="LEGAL",DATE(YEAR(H139)+1,1,1),EDATE($D$12,$D$11*(INT((((YEAR(H139)-YEAR($D$12))*12+(MONTH(H139)-MONTH($D$12))-IF(DAY(H139)&lt;DAY($D$12),1,0))/$D$11))+1))),$D$7))</f>
        <v/>
      </c>
      <c r="J139" s="11">
        <f>IF(H139="","",I139-H139)</f>
        <v/>
      </c>
      <c r="K139" s="12">
        <f>IF(H139="","",IF($D$18="LEGAL",H139,EDATE(H139,-$D$13)))</f>
        <v/>
      </c>
      <c r="L139" s="13">
        <f>IF(H139="","",IFERROR(INDEX('Tipos BdE'!$B$7:$M$336,MATCH(DATE(YEAR(K139),MONTH(K139),1),'Tipos BdE'!$A$7:$A$336,1),MATCH($D$9,'Tipos BdE'!$B$6:$M$6,0)),0))</f>
        <v/>
      </c>
      <c r="M139" s="13">
        <f>IF(H139="","",IF($D$18="LEGAL",0,$D$10))</f>
        <v/>
      </c>
      <c r="N139" s="13">
        <f>IF(H139="","",IF(AND($D$14="Sí",(L139+M139)&lt;0),0,L139+M139))</f>
        <v/>
      </c>
      <c r="O139" s="199">
        <f>IF(H139="","",$D$5*N139*J139/36500)</f>
        <v/>
      </c>
      <c r="P139" s="199">
        <f>IF(H139="","",$D$5+SUM($O$5:O139))</f>
        <v/>
      </c>
    </row>
    <row r="140">
      <c r="G140" s="11">
        <f>IF(H140="","",ROW()-4)</f>
        <v/>
      </c>
      <c r="H140" s="12">
        <f>IF(OR(I139="",I139&gt;=$D$7),"",I139)</f>
        <v/>
      </c>
      <c r="I140" s="12">
        <f>IF(H140="","",MIN(IF($D$18="LEGAL",DATE(YEAR(H140)+1,1,1),EDATE($D$12,$D$11*(INT((((YEAR(H140)-YEAR($D$12))*12+(MONTH(H140)-MONTH($D$12))-IF(DAY(H140)&lt;DAY($D$12),1,0))/$D$11))+1))),$D$7))</f>
        <v/>
      </c>
      <c r="J140" s="11">
        <f>IF(H140="","",I140-H140)</f>
        <v/>
      </c>
      <c r="K140" s="12">
        <f>IF(H140="","",IF($D$18="LEGAL",H140,EDATE(H140,-$D$13)))</f>
        <v/>
      </c>
      <c r="L140" s="13">
        <f>IF(H140="","",IFERROR(INDEX('Tipos BdE'!$B$7:$M$336,MATCH(DATE(YEAR(K140),MONTH(K140),1),'Tipos BdE'!$A$7:$A$336,1),MATCH($D$9,'Tipos BdE'!$B$6:$M$6,0)),0))</f>
        <v/>
      </c>
      <c r="M140" s="13">
        <f>IF(H140="","",IF($D$18="LEGAL",0,$D$10))</f>
        <v/>
      </c>
      <c r="N140" s="13">
        <f>IF(H140="","",IF(AND($D$14="Sí",(L140+M140)&lt;0),0,L140+M140))</f>
        <v/>
      </c>
      <c r="O140" s="199">
        <f>IF(H140="","",$D$5*N140*J140/36500)</f>
        <v/>
      </c>
      <c r="P140" s="199">
        <f>IF(H140="","",$D$5+SUM($O$5:O140))</f>
        <v/>
      </c>
    </row>
    <row r="141">
      <c r="G141" s="11">
        <f>IF(H141="","",ROW()-4)</f>
        <v/>
      </c>
      <c r="H141" s="12">
        <f>IF(OR(I140="",I140&gt;=$D$7),"",I140)</f>
        <v/>
      </c>
      <c r="I141" s="12">
        <f>IF(H141="","",MIN(IF($D$18="LEGAL",DATE(YEAR(H141)+1,1,1),EDATE($D$12,$D$11*(INT((((YEAR(H141)-YEAR($D$12))*12+(MONTH(H141)-MONTH($D$12))-IF(DAY(H141)&lt;DAY($D$12),1,0))/$D$11))+1))),$D$7))</f>
        <v/>
      </c>
      <c r="J141" s="11">
        <f>IF(H141="","",I141-H141)</f>
        <v/>
      </c>
      <c r="K141" s="12">
        <f>IF(H141="","",IF($D$18="LEGAL",H141,EDATE(H141,-$D$13)))</f>
        <v/>
      </c>
      <c r="L141" s="13">
        <f>IF(H141="","",IFERROR(INDEX('Tipos BdE'!$B$7:$M$336,MATCH(DATE(YEAR(K141),MONTH(K141),1),'Tipos BdE'!$A$7:$A$336,1),MATCH($D$9,'Tipos BdE'!$B$6:$M$6,0)),0))</f>
        <v/>
      </c>
      <c r="M141" s="13">
        <f>IF(H141="","",IF($D$18="LEGAL",0,$D$10))</f>
        <v/>
      </c>
      <c r="N141" s="13">
        <f>IF(H141="","",IF(AND($D$14="Sí",(L141+M141)&lt;0),0,L141+M141))</f>
        <v/>
      </c>
      <c r="O141" s="199">
        <f>IF(H141="","",$D$5*N141*J141/36500)</f>
        <v/>
      </c>
      <c r="P141" s="199">
        <f>IF(H141="","",$D$5+SUM($O$5:O141))</f>
        <v/>
      </c>
    </row>
    <row r="142">
      <c r="G142" s="11">
        <f>IF(H142="","",ROW()-4)</f>
        <v/>
      </c>
      <c r="H142" s="12">
        <f>IF(OR(I141="",I141&gt;=$D$7),"",I141)</f>
        <v/>
      </c>
      <c r="I142" s="12">
        <f>IF(H142="","",MIN(IF($D$18="LEGAL",DATE(YEAR(H142)+1,1,1),EDATE($D$12,$D$11*(INT((((YEAR(H142)-YEAR($D$12))*12+(MONTH(H142)-MONTH($D$12))-IF(DAY(H142)&lt;DAY($D$12),1,0))/$D$11))+1))),$D$7))</f>
        <v/>
      </c>
      <c r="J142" s="11">
        <f>IF(H142="","",I142-H142)</f>
        <v/>
      </c>
      <c r="K142" s="12">
        <f>IF(H142="","",IF($D$18="LEGAL",H142,EDATE(H142,-$D$13)))</f>
        <v/>
      </c>
      <c r="L142" s="13">
        <f>IF(H142="","",IFERROR(INDEX('Tipos BdE'!$B$7:$M$336,MATCH(DATE(YEAR(K142),MONTH(K142),1),'Tipos BdE'!$A$7:$A$336,1),MATCH($D$9,'Tipos BdE'!$B$6:$M$6,0)),0))</f>
        <v/>
      </c>
      <c r="M142" s="13">
        <f>IF(H142="","",IF($D$18="LEGAL",0,$D$10))</f>
        <v/>
      </c>
      <c r="N142" s="13">
        <f>IF(H142="","",IF(AND($D$14="Sí",(L142+M142)&lt;0),0,L142+M142))</f>
        <v/>
      </c>
      <c r="O142" s="199">
        <f>IF(H142="","",$D$5*N142*J142/36500)</f>
        <v/>
      </c>
      <c r="P142" s="199">
        <f>IF(H142="","",$D$5+SUM($O$5:O142))</f>
        <v/>
      </c>
    </row>
    <row r="143">
      <c r="G143" s="11">
        <f>IF(H143="","",ROW()-4)</f>
        <v/>
      </c>
      <c r="H143" s="12">
        <f>IF(OR(I142="",I142&gt;=$D$7),"",I142)</f>
        <v/>
      </c>
      <c r="I143" s="12">
        <f>IF(H143="","",MIN(IF($D$18="LEGAL",DATE(YEAR(H143)+1,1,1),EDATE($D$12,$D$11*(INT((((YEAR(H143)-YEAR($D$12))*12+(MONTH(H143)-MONTH($D$12))-IF(DAY(H143)&lt;DAY($D$12),1,0))/$D$11))+1))),$D$7))</f>
        <v/>
      </c>
      <c r="J143" s="11">
        <f>IF(H143="","",I143-H143)</f>
        <v/>
      </c>
      <c r="K143" s="12">
        <f>IF(H143="","",IF($D$18="LEGAL",H143,EDATE(H143,-$D$13)))</f>
        <v/>
      </c>
      <c r="L143" s="13">
        <f>IF(H143="","",IFERROR(INDEX('Tipos BdE'!$B$7:$M$336,MATCH(DATE(YEAR(K143),MONTH(K143),1),'Tipos BdE'!$A$7:$A$336,1),MATCH($D$9,'Tipos BdE'!$B$6:$M$6,0)),0))</f>
        <v/>
      </c>
      <c r="M143" s="13">
        <f>IF(H143="","",IF($D$18="LEGAL",0,$D$10))</f>
        <v/>
      </c>
      <c r="N143" s="13">
        <f>IF(H143="","",IF(AND($D$14="Sí",(L143+M143)&lt;0),0,L143+M143))</f>
        <v/>
      </c>
      <c r="O143" s="199">
        <f>IF(H143="","",$D$5*N143*J143/36500)</f>
        <v/>
      </c>
      <c r="P143" s="199">
        <f>IF(H143="","",$D$5+SUM($O$5:O143))</f>
        <v/>
      </c>
    </row>
    <row r="144">
      <c r="G144" s="11">
        <f>IF(H144="","",ROW()-4)</f>
        <v/>
      </c>
      <c r="H144" s="12">
        <f>IF(OR(I143="",I143&gt;=$D$7),"",I143)</f>
        <v/>
      </c>
      <c r="I144" s="12">
        <f>IF(H144="","",MIN(IF($D$18="LEGAL",DATE(YEAR(H144)+1,1,1),EDATE($D$12,$D$11*(INT((((YEAR(H144)-YEAR($D$12))*12+(MONTH(H144)-MONTH($D$12))-IF(DAY(H144)&lt;DAY($D$12),1,0))/$D$11))+1))),$D$7))</f>
        <v/>
      </c>
      <c r="J144" s="11">
        <f>IF(H144="","",I144-H144)</f>
        <v/>
      </c>
      <c r="K144" s="12">
        <f>IF(H144="","",IF($D$18="LEGAL",H144,EDATE(H144,-$D$13)))</f>
        <v/>
      </c>
      <c r="L144" s="13">
        <f>IF(H144="","",IFERROR(INDEX('Tipos BdE'!$B$7:$M$336,MATCH(DATE(YEAR(K144),MONTH(K144),1),'Tipos BdE'!$A$7:$A$336,1),MATCH($D$9,'Tipos BdE'!$B$6:$M$6,0)),0))</f>
        <v/>
      </c>
      <c r="M144" s="13">
        <f>IF(H144="","",IF($D$18="LEGAL",0,$D$10))</f>
        <v/>
      </c>
      <c r="N144" s="13">
        <f>IF(H144="","",IF(AND($D$14="Sí",(L144+M144)&lt;0),0,L144+M144))</f>
        <v/>
      </c>
      <c r="O144" s="199">
        <f>IF(H144="","",$D$5*N144*J144/36500)</f>
        <v/>
      </c>
      <c r="P144" s="199">
        <f>IF(H144="","",$D$5+SUM($O$5:O144))</f>
        <v/>
      </c>
    </row>
    <row r="145">
      <c r="G145" s="11">
        <f>IF(H145="","",ROW()-4)</f>
        <v/>
      </c>
      <c r="H145" s="12">
        <f>IF(OR(I144="",I144&gt;=$D$7),"",I144)</f>
        <v/>
      </c>
      <c r="I145" s="12">
        <f>IF(H145="","",MIN(IF($D$18="LEGAL",DATE(YEAR(H145)+1,1,1),EDATE($D$12,$D$11*(INT((((YEAR(H145)-YEAR($D$12))*12+(MONTH(H145)-MONTH($D$12))-IF(DAY(H145)&lt;DAY($D$12),1,0))/$D$11))+1))),$D$7))</f>
        <v/>
      </c>
      <c r="J145" s="11">
        <f>IF(H145="","",I145-H145)</f>
        <v/>
      </c>
      <c r="K145" s="12">
        <f>IF(H145="","",IF($D$18="LEGAL",H145,EDATE(H145,-$D$13)))</f>
        <v/>
      </c>
      <c r="L145" s="13">
        <f>IF(H145="","",IFERROR(INDEX('Tipos BdE'!$B$7:$M$336,MATCH(DATE(YEAR(K145),MONTH(K145),1),'Tipos BdE'!$A$7:$A$336,1),MATCH($D$9,'Tipos BdE'!$B$6:$M$6,0)),0))</f>
        <v/>
      </c>
      <c r="M145" s="13">
        <f>IF(H145="","",IF($D$18="LEGAL",0,$D$10))</f>
        <v/>
      </c>
      <c r="N145" s="13">
        <f>IF(H145="","",IF(AND($D$14="Sí",(L145+M145)&lt;0),0,L145+M145))</f>
        <v/>
      </c>
      <c r="O145" s="199">
        <f>IF(H145="","",$D$5*N145*J145/36500)</f>
        <v/>
      </c>
      <c r="P145" s="199">
        <f>IF(H145="","",$D$5+SUM($O$5:O145))</f>
        <v/>
      </c>
    </row>
    <row r="146">
      <c r="G146" s="11">
        <f>IF(H146="","",ROW()-4)</f>
        <v/>
      </c>
      <c r="H146" s="12">
        <f>IF(OR(I145="",I145&gt;=$D$7),"",I145)</f>
        <v/>
      </c>
      <c r="I146" s="12">
        <f>IF(H146="","",MIN(IF($D$18="LEGAL",DATE(YEAR(H146)+1,1,1),EDATE($D$12,$D$11*(INT((((YEAR(H146)-YEAR($D$12))*12+(MONTH(H146)-MONTH($D$12))-IF(DAY(H146)&lt;DAY($D$12),1,0))/$D$11))+1))),$D$7))</f>
        <v/>
      </c>
      <c r="J146" s="11">
        <f>IF(H146="","",I146-H146)</f>
        <v/>
      </c>
      <c r="K146" s="12">
        <f>IF(H146="","",IF($D$18="LEGAL",H146,EDATE(H146,-$D$13)))</f>
        <v/>
      </c>
      <c r="L146" s="13">
        <f>IF(H146="","",IFERROR(INDEX('Tipos BdE'!$B$7:$M$336,MATCH(DATE(YEAR(K146),MONTH(K146),1),'Tipos BdE'!$A$7:$A$336,1),MATCH($D$9,'Tipos BdE'!$B$6:$M$6,0)),0))</f>
        <v/>
      </c>
      <c r="M146" s="13">
        <f>IF(H146="","",IF($D$18="LEGAL",0,$D$10))</f>
        <v/>
      </c>
      <c r="N146" s="13">
        <f>IF(H146="","",IF(AND($D$14="Sí",(L146+M146)&lt;0),0,L146+M146))</f>
        <v/>
      </c>
      <c r="O146" s="199">
        <f>IF(H146="","",$D$5*N146*J146/36500)</f>
        <v/>
      </c>
      <c r="P146" s="199">
        <f>IF(H146="","",$D$5+SUM($O$5:O146))</f>
        <v/>
      </c>
    </row>
    <row r="147">
      <c r="G147" s="11">
        <f>IF(H147="","",ROW()-4)</f>
        <v/>
      </c>
      <c r="H147" s="12">
        <f>IF(OR(I146="",I146&gt;=$D$7),"",I146)</f>
        <v/>
      </c>
      <c r="I147" s="12">
        <f>IF(H147="","",MIN(IF($D$18="LEGAL",DATE(YEAR(H147)+1,1,1),EDATE($D$12,$D$11*(INT((((YEAR(H147)-YEAR($D$12))*12+(MONTH(H147)-MONTH($D$12))-IF(DAY(H147)&lt;DAY($D$12),1,0))/$D$11))+1))),$D$7))</f>
        <v/>
      </c>
      <c r="J147" s="11">
        <f>IF(H147="","",I147-H147)</f>
        <v/>
      </c>
      <c r="K147" s="12">
        <f>IF(H147="","",IF($D$18="LEGAL",H147,EDATE(H147,-$D$13)))</f>
        <v/>
      </c>
      <c r="L147" s="13">
        <f>IF(H147="","",IFERROR(INDEX('Tipos BdE'!$B$7:$M$336,MATCH(DATE(YEAR(K147),MONTH(K147),1),'Tipos BdE'!$A$7:$A$336,1),MATCH($D$9,'Tipos BdE'!$B$6:$M$6,0)),0))</f>
        <v/>
      </c>
      <c r="M147" s="13">
        <f>IF(H147="","",IF($D$18="LEGAL",0,$D$10))</f>
        <v/>
      </c>
      <c r="N147" s="13">
        <f>IF(H147="","",IF(AND($D$14="Sí",(L147+M147)&lt;0),0,L147+M147))</f>
        <v/>
      </c>
      <c r="O147" s="199">
        <f>IF(H147="","",$D$5*N147*J147/36500)</f>
        <v/>
      </c>
      <c r="P147" s="199">
        <f>IF(H147="","",$D$5+SUM($O$5:O147))</f>
        <v/>
      </c>
    </row>
    <row r="148">
      <c r="G148" s="11">
        <f>IF(H148="","",ROW()-4)</f>
        <v/>
      </c>
      <c r="H148" s="12">
        <f>IF(OR(I147="",I147&gt;=$D$7),"",I147)</f>
        <v/>
      </c>
      <c r="I148" s="12">
        <f>IF(H148="","",MIN(IF($D$18="LEGAL",DATE(YEAR(H148)+1,1,1),EDATE($D$12,$D$11*(INT((((YEAR(H148)-YEAR($D$12))*12+(MONTH(H148)-MONTH($D$12))-IF(DAY(H148)&lt;DAY($D$12),1,0))/$D$11))+1))),$D$7))</f>
        <v/>
      </c>
      <c r="J148" s="11">
        <f>IF(H148="","",I148-H148)</f>
        <v/>
      </c>
      <c r="K148" s="12">
        <f>IF(H148="","",IF($D$18="LEGAL",H148,EDATE(H148,-$D$13)))</f>
        <v/>
      </c>
      <c r="L148" s="13">
        <f>IF(H148="","",IFERROR(INDEX('Tipos BdE'!$B$7:$M$336,MATCH(DATE(YEAR(K148),MONTH(K148),1),'Tipos BdE'!$A$7:$A$336,1),MATCH($D$9,'Tipos BdE'!$B$6:$M$6,0)),0))</f>
        <v/>
      </c>
      <c r="M148" s="13">
        <f>IF(H148="","",IF($D$18="LEGAL",0,$D$10))</f>
        <v/>
      </c>
      <c r="N148" s="13">
        <f>IF(H148="","",IF(AND($D$14="Sí",(L148+M148)&lt;0),0,L148+M148))</f>
        <v/>
      </c>
      <c r="O148" s="199">
        <f>IF(H148="","",$D$5*N148*J148/36500)</f>
        <v/>
      </c>
      <c r="P148" s="199">
        <f>IF(H148="","",$D$5+SUM($O$5:O148))</f>
        <v/>
      </c>
    </row>
    <row r="149">
      <c r="G149" s="11">
        <f>IF(H149="","",ROW()-4)</f>
        <v/>
      </c>
      <c r="H149" s="12">
        <f>IF(OR(I148="",I148&gt;=$D$7),"",I148)</f>
        <v/>
      </c>
      <c r="I149" s="12">
        <f>IF(H149="","",MIN(IF($D$18="LEGAL",DATE(YEAR(H149)+1,1,1),EDATE($D$12,$D$11*(INT((((YEAR(H149)-YEAR($D$12))*12+(MONTH(H149)-MONTH($D$12))-IF(DAY(H149)&lt;DAY($D$12),1,0))/$D$11))+1))),$D$7))</f>
        <v/>
      </c>
      <c r="J149" s="11">
        <f>IF(H149="","",I149-H149)</f>
        <v/>
      </c>
      <c r="K149" s="12">
        <f>IF(H149="","",IF($D$18="LEGAL",H149,EDATE(H149,-$D$13)))</f>
        <v/>
      </c>
      <c r="L149" s="13">
        <f>IF(H149="","",IFERROR(INDEX('Tipos BdE'!$B$7:$M$336,MATCH(DATE(YEAR(K149),MONTH(K149),1),'Tipos BdE'!$A$7:$A$336,1),MATCH($D$9,'Tipos BdE'!$B$6:$M$6,0)),0))</f>
        <v/>
      </c>
      <c r="M149" s="13">
        <f>IF(H149="","",IF($D$18="LEGAL",0,$D$10))</f>
        <v/>
      </c>
      <c r="N149" s="13">
        <f>IF(H149="","",IF(AND($D$14="Sí",(L149+M149)&lt;0),0,L149+M149))</f>
        <v/>
      </c>
      <c r="O149" s="199">
        <f>IF(H149="","",$D$5*N149*J149/36500)</f>
        <v/>
      </c>
      <c r="P149" s="199">
        <f>IF(H149="","",$D$5+SUM($O$5:O149))</f>
        <v/>
      </c>
    </row>
    <row r="150">
      <c r="G150" s="11">
        <f>IF(H150="","",ROW()-4)</f>
        <v/>
      </c>
      <c r="H150" s="12">
        <f>IF(OR(I149="",I149&gt;=$D$7),"",I149)</f>
        <v/>
      </c>
      <c r="I150" s="12">
        <f>IF(H150="","",MIN(IF($D$18="LEGAL",DATE(YEAR(H150)+1,1,1),EDATE($D$12,$D$11*(INT((((YEAR(H150)-YEAR($D$12))*12+(MONTH(H150)-MONTH($D$12))-IF(DAY(H150)&lt;DAY($D$12),1,0))/$D$11))+1))),$D$7))</f>
        <v/>
      </c>
      <c r="J150" s="11">
        <f>IF(H150="","",I150-H150)</f>
        <v/>
      </c>
      <c r="K150" s="12">
        <f>IF(H150="","",IF($D$18="LEGAL",H150,EDATE(H150,-$D$13)))</f>
        <v/>
      </c>
      <c r="L150" s="13">
        <f>IF(H150="","",IFERROR(INDEX('Tipos BdE'!$B$7:$M$336,MATCH(DATE(YEAR(K150),MONTH(K150),1),'Tipos BdE'!$A$7:$A$336,1),MATCH($D$9,'Tipos BdE'!$B$6:$M$6,0)),0))</f>
        <v/>
      </c>
      <c r="M150" s="13">
        <f>IF(H150="","",IF($D$18="LEGAL",0,$D$10))</f>
        <v/>
      </c>
      <c r="N150" s="13">
        <f>IF(H150="","",IF(AND($D$14="Sí",(L150+M150)&lt;0),0,L150+M150))</f>
        <v/>
      </c>
      <c r="O150" s="199">
        <f>IF(H150="","",$D$5*N150*J150/36500)</f>
        <v/>
      </c>
      <c r="P150" s="199">
        <f>IF(H150="","",$D$5+SUM($O$5:O150))</f>
        <v/>
      </c>
    </row>
    <row r="151">
      <c r="G151" s="11">
        <f>IF(H151="","",ROW()-4)</f>
        <v/>
      </c>
      <c r="H151" s="12">
        <f>IF(OR(I150="",I150&gt;=$D$7),"",I150)</f>
        <v/>
      </c>
      <c r="I151" s="12">
        <f>IF(H151="","",MIN(IF($D$18="LEGAL",DATE(YEAR(H151)+1,1,1),EDATE($D$12,$D$11*(INT((((YEAR(H151)-YEAR($D$12))*12+(MONTH(H151)-MONTH($D$12))-IF(DAY(H151)&lt;DAY($D$12),1,0))/$D$11))+1))),$D$7))</f>
        <v/>
      </c>
      <c r="J151" s="11">
        <f>IF(H151="","",I151-H151)</f>
        <v/>
      </c>
      <c r="K151" s="12">
        <f>IF(H151="","",IF($D$18="LEGAL",H151,EDATE(H151,-$D$13)))</f>
        <v/>
      </c>
      <c r="L151" s="13">
        <f>IF(H151="","",IFERROR(INDEX('Tipos BdE'!$B$7:$M$336,MATCH(DATE(YEAR(K151),MONTH(K151),1),'Tipos BdE'!$A$7:$A$336,1),MATCH($D$9,'Tipos BdE'!$B$6:$M$6,0)),0))</f>
        <v/>
      </c>
      <c r="M151" s="13">
        <f>IF(H151="","",IF($D$18="LEGAL",0,$D$10))</f>
        <v/>
      </c>
      <c r="N151" s="13">
        <f>IF(H151="","",IF(AND($D$14="Sí",(L151+M151)&lt;0),0,L151+M151))</f>
        <v/>
      </c>
      <c r="O151" s="199">
        <f>IF(H151="","",$D$5*N151*J151/36500)</f>
        <v/>
      </c>
      <c r="P151" s="199">
        <f>IF(H151="","",$D$5+SUM($O$5:O151))</f>
        <v/>
      </c>
    </row>
    <row r="152">
      <c r="G152" s="11">
        <f>IF(H152="","",ROW()-4)</f>
        <v/>
      </c>
      <c r="H152" s="12">
        <f>IF(OR(I151="",I151&gt;=$D$7),"",I151)</f>
        <v/>
      </c>
      <c r="I152" s="12">
        <f>IF(H152="","",MIN(IF($D$18="LEGAL",DATE(YEAR(H152)+1,1,1),EDATE($D$12,$D$11*(INT((((YEAR(H152)-YEAR($D$12))*12+(MONTH(H152)-MONTH($D$12))-IF(DAY(H152)&lt;DAY($D$12),1,0))/$D$11))+1))),$D$7))</f>
        <v/>
      </c>
      <c r="J152" s="11">
        <f>IF(H152="","",I152-H152)</f>
        <v/>
      </c>
      <c r="K152" s="12">
        <f>IF(H152="","",IF($D$18="LEGAL",H152,EDATE(H152,-$D$13)))</f>
        <v/>
      </c>
      <c r="L152" s="13">
        <f>IF(H152="","",IFERROR(INDEX('Tipos BdE'!$B$7:$M$336,MATCH(DATE(YEAR(K152),MONTH(K152),1),'Tipos BdE'!$A$7:$A$336,1),MATCH($D$9,'Tipos BdE'!$B$6:$M$6,0)),0))</f>
        <v/>
      </c>
      <c r="M152" s="13">
        <f>IF(H152="","",IF($D$18="LEGAL",0,$D$10))</f>
        <v/>
      </c>
      <c r="N152" s="13">
        <f>IF(H152="","",IF(AND($D$14="Sí",(L152+M152)&lt;0),0,L152+M152))</f>
        <v/>
      </c>
      <c r="O152" s="199">
        <f>IF(H152="","",$D$5*N152*J152/36500)</f>
        <v/>
      </c>
      <c r="P152" s="199">
        <f>IF(H152="","",$D$5+SUM($O$5:O152))</f>
        <v/>
      </c>
    </row>
    <row r="153">
      <c r="G153" s="11">
        <f>IF(H153="","",ROW()-4)</f>
        <v/>
      </c>
      <c r="H153" s="12">
        <f>IF(OR(I152="",I152&gt;=$D$7),"",I152)</f>
        <v/>
      </c>
      <c r="I153" s="12">
        <f>IF(H153="","",MIN(IF($D$18="LEGAL",DATE(YEAR(H153)+1,1,1),EDATE($D$12,$D$11*(INT((((YEAR(H153)-YEAR($D$12))*12+(MONTH(H153)-MONTH($D$12))-IF(DAY(H153)&lt;DAY($D$12),1,0))/$D$11))+1))),$D$7))</f>
        <v/>
      </c>
      <c r="J153" s="11">
        <f>IF(H153="","",I153-H153)</f>
        <v/>
      </c>
      <c r="K153" s="12">
        <f>IF(H153="","",IF($D$18="LEGAL",H153,EDATE(H153,-$D$13)))</f>
        <v/>
      </c>
      <c r="L153" s="13">
        <f>IF(H153="","",IFERROR(INDEX('Tipos BdE'!$B$7:$M$336,MATCH(DATE(YEAR(K153),MONTH(K153),1),'Tipos BdE'!$A$7:$A$336,1),MATCH($D$9,'Tipos BdE'!$B$6:$M$6,0)),0))</f>
        <v/>
      </c>
      <c r="M153" s="13">
        <f>IF(H153="","",IF($D$18="LEGAL",0,$D$10))</f>
        <v/>
      </c>
      <c r="N153" s="13">
        <f>IF(H153="","",IF(AND($D$14="Sí",(L153+M153)&lt;0),0,L153+M153))</f>
        <v/>
      </c>
      <c r="O153" s="199">
        <f>IF(H153="","",$D$5*N153*J153/36500)</f>
        <v/>
      </c>
      <c r="P153" s="199">
        <f>IF(H153="","",$D$5+SUM($O$5:O153))</f>
        <v/>
      </c>
    </row>
    <row r="154">
      <c r="G154" s="11">
        <f>IF(H154="","",ROW()-4)</f>
        <v/>
      </c>
      <c r="H154" s="12">
        <f>IF(OR(I153="",I153&gt;=$D$7),"",I153)</f>
        <v/>
      </c>
      <c r="I154" s="12">
        <f>IF(H154="","",MIN(IF($D$18="LEGAL",DATE(YEAR(H154)+1,1,1),EDATE($D$12,$D$11*(INT((((YEAR(H154)-YEAR($D$12))*12+(MONTH(H154)-MONTH($D$12))-IF(DAY(H154)&lt;DAY($D$12),1,0))/$D$11))+1))),$D$7))</f>
        <v/>
      </c>
      <c r="J154" s="11">
        <f>IF(H154="","",I154-H154)</f>
        <v/>
      </c>
      <c r="K154" s="12">
        <f>IF(H154="","",IF($D$18="LEGAL",H154,EDATE(H154,-$D$13)))</f>
        <v/>
      </c>
      <c r="L154" s="13">
        <f>IF(H154="","",IFERROR(INDEX('Tipos BdE'!$B$7:$M$336,MATCH(DATE(YEAR(K154),MONTH(K154),1),'Tipos BdE'!$A$7:$A$336,1),MATCH($D$9,'Tipos BdE'!$B$6:$M$6,0)),0))</f>
        <v/>
      </c>
      <c r="M154" s="13">
        <f>IF(H154="","",IF($D$18="LEGAL",0,$D$10))</f>
        <v/>
      </c>
      <c r="N154" s="13">
        <f>IF(H154="","",IF(AND($D$14="Sí",(L154+M154)&lt;0),0,L154+M154))</f>
        <v/>
      </c>
      <c r="O154" s="199">
        <f>IF(H154="","",$D$5*N154*J154/36500)</f>
        <v/>
      </c>
      <c r="P154" s="199">
        <f>IF(H154="","",$D$5+SUM($O$5:O154))</f>
        <v/>
      </c>
    </row>
    <row r="155">
      <c r="G155" s="11">
        <f>IF(H155="","",ROW()-4)</f>
        <v/>
      </c>
      <c r="H155" s="12">
        <f>IF(OR(I154="",I154&gt;=$D$7),"",I154)</f>
        <v/>
      </c>
      <c r="I155" s="12">
        <f>IF(H155="","",MIN(IF($D$18="LEGAL",DATE(YEAR(H155)+1,1,1),EDATE($D$12,$D$11*(INT((((YEAR(H155)-YEAR($D$12))*12+(MONTH(H155)-MONTH($D$12))-IF(DAY(H155)&lt;DAY($D$12),1,0))/$D$11))+1))),$D$7))</f>
        <v/>
      </c>
      <c r="J155" s="11">
        <f>IF(H155="","",I155-H155)</f>
        <v/>
      </c>
      <c r="K155" s="12">
        <f>IF(H155="","",IF($D$18="LEGAL",H155,EDATE(H155,-$D$13)))</f>
        <v/>
      </c>
      <c r="L155" s="13">
        <f>IF(H155="","",IFERROR(INDEX('Tipos BdE'!$B$7:$M$336,MATCH(DATE(YEAR(K155),MONTH(K155),1),'Tipos BdE'!$A$7:$A$336,1),MATCH($D$9,'Tipos BdE'!$B$6:$M$6,0)),0))</f>
        <v/>
      </c>
      <c r="M155" s="13">
        <f>IF(H155="","",IF($D$18="LEGAL",0,$D$10))</f>
        <v/>
      </c>
      <c r="N155" s="13">
        <f>IF(H155="","",IF(AND($D$14="Sí",(L155+M155)&lt;0),0,L155+M155))</f>
        <v/>
      </c>
      <c r="O155" s="199">
        <f>IF(H155="","",$D$5*N155*J155/36500)</f>
        <v/>
      </c>
      <c r="P155" s="199">
        <f>IF(H155="","",$D$5+SUM($O$5:O155))</f>
        <v/>
      </c>
    </row>
    <row r="156">
      <c r="G156" s="11">
        <f>IF(H156="","",ROW()-4)</f>
        <v/>
      </c>
      <c r="H156" s="12">
        <f>IF(OR(I155="",I155&gt;=$D$7),"",I155)</f>
        <v/>
      </c>
      <c r="I156" s="12">
        <f>IF(H156="","",MIN(IF($D$18="LEGAL",DATE(YEAR(H156)+1,1,1),EDATE($D$12,$D$11*(INT((((YEAR(H156)-YEAR($D$12))*12+(MONTH(H156)-MONTH($D$12))-IF(DAY(H156)&lt;DAY($D$12),1,0))/$D$11))+1))),$D$7))</f>
        <v/>
      </c>
      <c r="J156" s="11">
        <f>IF(H156="","",I156-H156)</f>
        <v/>
      </c>
      <c r="K156" s="12">
        <f>IF(H156="","",IF($D$18="LEGAL",H156,EDATE(H156,-$D$13)))</f>
        <v/>
      </c>
      <c r="L156" s="13">
        <f>IF(H156="","",IFERROR(INDEX('Tipos BdE'!$B$7:$M$336,MATCH(DATE(YEAR(K156),MONTH(K156),1),'Tipos BdE'!$A$7:$A$336,1),MATCH($D$9,'Tipos BdE'!$B$6:$M$6,0)),0))</f>
        <v/>
      </c>
      <c r="M156" s="13">
        <f>IF(H156="","",IF($D$18="LEGAL",0,$D$10))</f>
        <v/>
      </c>
      <c r="N156" s="13">
        <f>IF(H156="","",IF(AND($D$14="Sí",(L156+M156)&lt;0),0,L156+M156))</f>
        <v/>
      </c>
      <c r="O156" s="199">
        <f>IF(H156="","",$D$5*N156*J156/36500)</f>
        <v/>
      </c>
      <c r="P156" s="199">
        <f>IF(H156="","",$D$5+SUM($O$5:O156))</f>
        <v/>
      </c>
    </row>
    <row r="157">
      <c r="G157" s="11">
        <f>IF(H157="","",ROW()-4)</f>
        <v/>
      </c>
      <c r="H157" s="12">
        <f>IF(OR(I156="",I156&gt;=$D$7),"",I156)</f>
        <v/>
      </c>
      <c r="I157" s="12">
        <f>IF(H157="","",MIN(IF($D$18="LEGAL",DATE(YEAR(H157)+1,1,1),EDATE($D$12,$D$11*(INT((((YEAR(H157)-YEAR($D$12))*12+(MONTH(H157)-MONTH($D$12))-IF(DAY(H157)&lt;DAY($D$12),1,0))/$D$11))+1))),$D$7))</f>
        <v/>
      </c>
      <c r="J157" s="11">
        <f>IF(H157="","",I157-H157)</f>
        <v/>
      </c>
      <c r="K157" s="12">
        <f>IF(H157="","",IF($D$18="LEGAL",H157,EDATE(H157,-$D$13)))</f>
        <v/>
      </c>
      <c r="L157" s="13">
        <f>IF(H157="","",IFERROR(INDEX('Tipos BdE'!$B$7:$M$336,MATCH(DATE(YEAR(K157),MONTH(K157),1),'Tipos BdE'!$A$7:$A$336,1),MATCH($D$9,'Tipos BdE'!$B$6:$M$6,0)),0))</f>
        <v/>
      </c>
      <c r="M157" s="13">
        <f>IF(H157="","",IF($D$18="LEGAL",0,$D$10))</f>
        <v/>
      </c>
      <c r="N157" s="13">
        <f>IF(H157="","",IF(AND($D$14="Sí",(L157+M157)&lt;0),0,L157+M157))</f>
        <v/>
      </c>
      <c r="O157" s="199">
        <f>IF(H157="","",$D$5*N157*J157/36500)</f>
        <v/>
      </c>
      <c r="P157" s="199">
        <f>IF(H157="","",$D$5+SUM($O$5:O157))</f>
        <v/>
      </c>
    </row>
    <row r="158">
      <c r="G158" s="11">
        <f>IF(H158="","",ROW()-4)</f>
        <v/>
      </c>
      <c r="H158" s="12">
        <f>IF(OR(I157="",I157&gt;=$D$7),"",I157)</f>
        <v/>
      </c>
      <c r="I158" s="12">
        <f>IF(H158="","",MIN(IF($D$18="LEGAL",DATE(YEAR(H158)+1,1,1),EDATE($D$12,$D$11*(INT((((YEAR(H158)-YEAR($D$12))*12+(MONTH(H158)-MONTH($D$12))-IF(DAY(H158)&lt;DAY($D$12),1,0))/$D$11))+1))),$D$7))</f>
        <v/>
      </c>
      <c r="J158" s="11">
        <f>IF(H158="","",I158-H158)</f>
        <v/>
      </c>
      <c r="K158" s="12">
        <f>IF(H158="","",IF($D$18="LEGAL",H158,EDATE(H158,-$D$13)))</f>
        <v/>
      </c>
      <c r="L158" s="13">
        <f>IF(H158="","",IFERROR(INDEX('Tipos BdE'!$B$7:$M$336,MATCH(DATE(YEAR(K158),MONTH(K158),1),'Tipos BdE'!$A$7:$A$336,1),MATCH($D$9,'Tipos BdE'!$B$6:$M$6,0)),0))</f>
        <v/>
      </c>
      <c r="M158" s="13">
        <f>IF(H158="","",IF($D$18="LEGAL",0,$D$10))</f>
        <v/>
      </c>
      <c r="N158" s="13">
        <f>IF(H158="","",IF(AND($D$14="Sí",(L158+M158)&lt;0),0,L158+M158))</f>
        <v/>
      </c>
      <c r="O158" s="199">
        <f>IF(H158="","",$D$5*N158*J158/36500)</f>
        <v/>
      </c>
      <c r="P158" s="199">
        <f>IF(H158="","",$D$5+SUM($O$5:O158))</f>
        <v/>
      </c>
    </row>
    <row r="159">
      <c r="G159" s="11">
        <f>IF(H159="","",ROW()-4)</f>
        <v/>
      </c>
      <c r="H159" s="12">
        <f>IF(OR(I158="",I158&gt;=$D$7),"",I158)</f>
        <v/>
      </c>
      <c r="I159" s="12">
        <f>IF(H159="","",MIN(IF($D$18="LEGAL",DATE(YEAR(H159)+1,1,1),EDATE($D$12,$D$11*(INT((((YEAR(H159)-YEAR($D$12))*12+(MONTH(H159)-MONTH($D$12))-IF(DAY(H159)&lt;DAY($D$12),1,0))/$D$11))+1))),$D$7))</f>
        <v/>
      </c>
      <c r="J159" s="11">
        <f>IF(H159="","",I159-H159)</f>
        <v/>
      </c>
      <c r="K159" s="12">
        <f>IF(H159="","",IF($D$18="LEGAL",H159,EDATE(H159,-$D$13)))</f>
        <v/>
      </c>
      <c r="L159" s="13">
        <f>IF(H159="","",IFERROR(INDEX('Tipos BdE'!$B$7:$M$336,MATCH(DATE(YEAR(K159),MONTH(K159),1),'Tipos BdE'!$A$7:$A$336,1),MATCH($D$9,'Tipos BdE'!$B$6:$M$6,0)),0))</f>
        <v/>
      </c>
      <c r="M159" s="13">
        <f>IF(H159="","",IF($D$18="LEGAL",0,$D$10))</f>
        <v/>
      </c>
      <c r="N159" s="13">
        <f>IF(H159="","",IF(AND($D$14="Sí",(L159+M159)&lt;0),0,L159+M159))</f>
        <v/>
      </c>
      <c r="O159" s="199">
        <f>IF(H159="","",$D$5*N159*J159/36500)</f>
        <v/>
      </c>
      <c r="P159" s="199">
        <f>IF(H159="","",$D$5+SUM($O$5:O159))</f>
        <v/>
      </c>
    </row>
    <row r="160">
      <c r="G160" s="11">
        <f>IF(H160="","",ROW()-4)</f>
        <v/>
      </c>
      <c r="H160" s="12">
        <f>IF(OR(I159="",I159&gt;=$D$7),"",I159)</f>
        <v/>
      </c>
      <c r="I160" s="12">
        <f>IF(H160="","",MIN(IF($D$18="LEGAL",DATE(YEAR(H160)+1,1,1),EDATE($D$12,$D$11*(INT((((YEAR(H160)-YEAR($D$12))*12+(MONTH(H160)-MONTH($D$12))-IF(DAY(H160)&lt;DAY($D$12),1,0))/$D$11))+1))),$D$7))</f>
        <v/>
      </c>
      <c r="J160" s="11">
        <f>IF(H160="","",I160-H160)</f>
        <v/>
      </c>
      <c r="K160" s="12">
        <f>IF(H160="","",IF($D$18="LEGAL",H160,EDATE(H160,-$D$13)))</f>
        <v/>
      </c>
      <c r="L160" s="13">
        <f>IF(H160="","",IFERROR(INDEX('Tipos BdE'!$B$7:$M$336,MATCH(DATE(YEAR(K160),MONTH(K160),1),'Tipos BdE'!$A$7:$A$336,1),MATCH($D$9,'Tipos BdE'!$B$6:$M$6,0)),0))</f>
        <v/>
      </c>
      <c r="M160" s="13">
        <f>IF(H160="","",IF($D$18="LEGAL",0,$D$10))</f>
        <v/>
      </c>
      <c r="N160" s="13">
        <f>IF(H160="","",IF(AND($D$14="Sí",(L160+M160)&lt;0),0,L160+M160))</f>
        <v/>
      </c>
      <c r="O160" s="199">
        <f>IF(H160="","",$D$5*N160*J160/36500)</f>
        <v/>
      </c>
      <c r="P160" s="199">
        <f>IF(H160="","",$D$5+SUM($O$5:O160))</f>
        <v/>
      </c>
    </row>
    <row r="161">
      <c r="G161" s="11">
        <f>IF(H161="","",ROW()-4)</f>
        <v/>
      </c>
      <c r="H161" s="12">
        <f>IF(OR(I160="",I160&gt;=$D$7),"",I160)</f>
        <v/>
      </c>
      <c r="I161" s="12">
        <f>IF(H161="","",MIN(IF($D$18="LEGAL",DATE(YEAR(H161)+1,1,1),EDATE($D$12,$D$11*(INT((((YEAR(H161)-YEAR($D$12))*12+(MONTH(H161)-MONTH($D$12))-IF(DAY(H161)&lt;DAY($D$12),1,0))/$D$11))+1))),$D$7))</f>
        <v/>
      </c>
      <c r="J161" s="11">
        <f>IF(H161="","",I161-H161)</f>
        <v/>
      </c>
      <c r="K161" s="12">
        <f>IF(H161="","",IF($D$18="LEGAL",H161,EDATE(H161,-$D$13)))</f>
        <v/>
      </c>
      <c r="L161" s="13">
        <f>IF(H161="","",IFERROR(INDEX('Tipos BdE'!$B$7:$M$336,MATCH(DATE(YEAR(K161),MONTH(K161),1),'Tipos BdE'!$A$7:$A$336,1),MATCH($D$9,'Tipos BdE'!$B$6:$M$6,0)),0))</f>
        <v/>
      </c>
      <c r="M161" s="13">
        <f>IF(H161="","",IF($D$18="LEGAL",0,$D$10))</f>
        <v/>
      </c>
      <c r="N161" s="13">
        <f>IF(H161="","",IF(AND($D$14="Sí",(L161+M161)&lt;0),0,L161+M161))</f>
        <v/>
      </c>
      <c r="O161" s="199">
        <f>IF(H161="","",$D$5*N161*J161/36500)</f>
        <v/>
      </c>
      <c r="P161" s="199">
        <f>IF(H161="","",$D$5+SUM($O$5:O161))</f>
        <v/>
      </c>
    </row>
    <row r="162">
      <c r="G162" s="11">
        <f>IF(H162="","",ROW()-4)</f>
        <v/>
      </c>
      <c r="H162" s="12">
        <f>IF(OR(I161="",I161&gt;=$D$7),"",I161)</f>
        <v/>
      </c>
      <c r="I162" s="12">
        <f>IF(H162="","",MIN(IF($D$18="LEGAL",DATE(YEAR(H162)+1,1,1),EDATE($D$12,$D$11*(INT((((YEAR(H162)-YEAR($D$12))*12+(MONTH(H162)-MONTH($D$12))-IF(DAY(H162)&lt;DAY($D$12),1,0))/$D$11))+1))),$D$7))</f>
        <v/>
      </c>
      <c r="J162" s="11">
        <f>IF(H162="","",I162-H162)</f>
        <v/>
      </c>
      <c r="K162" s="12">
        <f>IF(H162="","",IF($D$18="LEGAL",H162,EDATE(H162,-$D$13)))</f>
        <v/>
      </c>
      <c r="L162" s="13">
        <f>IF(H162="","",IFERROR(INDEX('Tipos BdE'!$B$7:$M$336,MATCH(DATE(YEAR(K162),MONTH(K162),1),'Tipos BdE'!$A$7:$A$336,1),MATCH($D$9,'Tipos BdE'!$B$6:$M$6,0)),0))</f>
        <v/>
      </c>
      <c r="M162" s="13">
        <f>IF(H162="","",IF($D$18="LEGAL",0,$D$10))</f>
        <v/>
      </c>
      <c r="N162" s="13">
        <f>IF(H162="","",IF(AND($D$14="Sí",(L162+M162)&lt;0),0,L162+M162))</f>
        <v/>
      </c>
      <c r="O162" s="199">
        <f>IF(H162="","",$D$5*N162*J162/36500)</f>
        <v/>
      </c>
      <c r="P162" s="199">
        <f>IF(H162="","",$D$5+SUM($O$5:O162))</f>
        <v/>
      </c>
    </row>
    <row r="163">
      <c r="G163" s="11">
        <f>IF(H163="","",ROW()-4)</f>
        <v/>
      </c>
      <c r="H163" s="12">
        <f>IF(OR(I162="",I162&gt;=$D$7),"",I162)</f>
        <v/>
      </c>
      <c r="I163" s="12">
        <f>IF(H163="","",MIN(IF($D$18="LEGAL",DATE(YEAR(H163)+1,1,1),EDATE($D$12,$D$11*(INT((((YEAR(H163)-YEAR($D$12))*12+(MONTH(H163)-MONTH($D$12))-IF(DAY(H163)&lt;DAY($D$12),1,0))/$D$11))+1))),$D$7))</f>
        <v/>
      </c>
      <c r="J163" s="11">
        <f>IF(H163="","",I163-H163)</f>
        <v/>
      </c>
      <c r="K163" s="12">
        <f>IF(H163="","",IF($D$18="LEGAL",H163,EDATE(H163,-$D$13)))</f>
        <v/>
      </c>
      <c r="L163" s="13">
        <f>IF(H163="","",IFERROR(INDEX('Tipos BdE'!$B$7:$M$336,MATCH(DATE(YEAR(K163),MONTH(K163),1),'Tipos BdE'!$A$7:$A$336,1),MATCH($D$9,'Tipos BdE'!$B$6:$M$6,0)),0))</f>
        <v/>
      </c>
      <c r="M163" s="13">
        <f>IF(H163="","",IF($D$18="LEGAL",0,$D$10))</f>
        <v/>
      </c>
      <c r="N163" s="13">
        <f>IF(H163="","",IF(AND($D$14="Sí",(L163+M163)&lt;0),0,L163+M163))</f>
        <v/>
      </c>
      <c r="O163" s="199">
        <f>IF(H163="","",$D$5*N163*J163/36500)</f>
        <v/>
      </c>
      <c r="P163" s="199">
        <f>IF(H163="","",$D$5+SUM($O$5:O163))</f>
        <v/>
      </c>
    </row>
    <row r="164">
      <c r="G164" s="11">
        <f>IF(H164="","",ROW()-4)</f>
        <v/>
      </c>
      <c r="H164" s="12">
        <f>IF(OR(I163="",I163&gt;=$D$7),"",I163)</f>
        <v/>
      </c>
      <c r="I164" s="12">
        <f>IF(H164="","",MIN(IF($D$18="LEGAL",DATE(YEAR(H164)+1,1,1),EDATE($D$12,$D$11*(INT((((YEAR(H164)-YEAR($D$12))*12+(MONTH(H164)-MONTH($D$12))-IF(DAY(H164)&lt;DAY($D$12),1,0))/$D$11))+1))),$D$7))</f>
        <v/>
      </c>
      <c r="J164" s="11">
        <f>IF(H164="","",I164-H164)</f>
        <v/>
      </c>
      <c r="K164" s="12">
        <f>IF(H164="","",IF($D$18="LEGAL",H164,EDATE(H164,-$D$13)))</f>
        <v/>
      </c>
      <c r="L164" s="13">
        <f>IF(H164="","",IFERROR(INDEX('Tipos BdE'!$B$7:$M$336,MATCH(DATE(YEAR(K164),MONTH(K164),1),'Tipos BdE'!$A$7:$A$336,1),MATCH($D$9,'Tipos BdE'!$B$6:$M$6,0)),0))</f>
        <v/>
      </c>
      <c r="M164" s="13">
        <f>IF(H164="","",IF($D$18="LEGAL",0,$D$10))</f>
        <v/>
      </c>
      <c r="N164" s="13">
        <f>IF(H164="","",IF(AND($D$14="Sí",(L164+M164)&lt;0),0,L164+M164))</f>
        <v/>
      </c>
      <c r="O164" s="199">
        <f>IF(H164="","",$D$5*N164*J164/36500)</f>
        <v/>
      </c>
      <c r="P164" s="199">
        <f>IF(H164="","",$D$5+SUM($O$5:O164))</f>
        <v/>
      </c>
    </row>
    <row r="165">
      <c r="G165" s="11">
        <f>IF(H165="","",ROW()-4)</f>
        <v/>
      </c>
      <c r="H165" s="12">
        <f>IF(OR(I164="",I164&gt;=$D$7),"",I164)</f>
        <v/>
      </c>
      <c r="I165" s="12">
        <f>IF(H165="","",MIN(IF($D$18="LEGAL",DATE(YEAR(H165)+1,1,1),EDATE($D$12,$D$11*(INT((((YEAR(H165)-YEAR($D$12))*12+(MONTH(H165)-MONTH($D$12))-IF(DAY(H165)&lt;DAY($D$12),1,0))/$D$11))+1))),$D$7))</f>
        <v/>
      </c>
      <c r="J165" s="11">
        <f>IF(H165="","",I165-H165)</f>
        <v/>
      </c>
      <c r="K165" s="12">
        <f>IF(H165="","",IF($D$18="LEGAL",H165,EDATE(H165,-$D$13)))</f>
        <v/>
      </c>
      <c r="L165" s="13">
        <f>IF(H165="","",IFERROR(INDEX('Tipos BdE'!$B$7:$M$336,MATCH(DATE(YEAR(K165),MONTH(K165),1),'Tipos BdE'!$A$7:$A$336,1),MATCH($D$9,'Tipos BdE'!$B$6:$M$6,0)),0))</f>
        <v/>
      </c>
      <c r="M165" s="13">
        <f>IF(H165="","",IF($D$18="LEGAL",0,$D$10))</f>
        <v/>
      </c>
      <c r="N165" s="13">
        <f>IF(H165="","",IF(AND($D$14="Sí",(L165+M165)&lt;0),0,L165+M165))</f>
        <v/>
      </c>
      <c r="O165" s="199">
        <f>IF(H165="","",$D$5*N165*J165/36500)</f>
        <v/>
      </c>
      <c r="P165" s="199">
        <f>IF(H165="","",$D$5+SUM($O$5:O165))</f>
        <v/>
      </c>
    </row>
    <row r="166">
      <c r="G166" s="11">
        <f>IF(H166="","",ROW()-4)</f>
        <v/>
      </c>
      <c r="H166" s="12">
        <f>IF(OR(I165="",I165&gt;=$D$7),"",I165)</f>
        <v/>
      </c>
      <c r="I166" s="12">
        <f>IF(H166="","",MIN(IF($D$18="LEGAL",DATE(YEAR(H166)+1,1,1),EDATE($D$12,$D$11*(INT((((YEAR(H166)-YEAR($D$12))*12+(MONTH(H166)-MONTH($D$12))-IF(DAY(H166)&lt;DAY($D$12),1,0))/$D$11))+1))),$D$7))</f>
        <v/>
      </c>
      <c r="J166" s="11">
        <f>IF(H166="","",I166-H166)</f>
        <v/>
      </c>
      <c r="K166" s="12">
        <f>IF(H166="","",IF($D$18="LEGAL",H166,EDATE(H166,-$D$13)))</f>
        <v/>
      </c>
      <c r="L166" s="13">
        <f>IF(H166="","",IFERROR(INDEX('Tipos BdE'!$B$7:$M$336,MATCH(DATE(YEAR(K166),MONTH(K166),1),'Tipos BdE'!$A$7:$A$336,1),MATCH($D$9,'Tipos BdE'!$B$6:$M$6,0)),0))</f>
        <v/>
      </c>
      <c r="M166" s="13">
        <f>IF(H166="","",IF($D$18="LEGAL",0,$D$10))</f>
        <v/>
      </c>
      <c r="N166" s="13">
        <f>IF(H166="","",IF(AND($D$14="Sí",(L166+M166)&lt;0),0,L166+M166))</f>
        <v/>
      </c>
      <c r="O166" s="199">
        <f>IF(H166="","",$D$5*N166*J166/36500)</f>
        <v/>
      </c>
      <c r="P166" s="199">
        <f>IF(H166="","",$D$5+SUM($O$5:O166))</f>
        <v/>
      </c>
    </row>
    <row r="167">
      <c r="G167" s="11">
        <f>IF(H167="","",ROW()-4)</f>
        <v/>
      </c>
      <c r="H167" s="12">
        <f>IF(OR(I166="",I166&gt;=$D$7),"",I166)</f>
        <v/>
      </c>
      <c r="I167" s="12">
        <f>IF(H167="","",MIN(IF($D$18="LEGAL",DATE(YEAR(H167)+1,1,1),EDATE($D$12,$D$11*(INT((((YEAR(H167)-YEAR($D$12))*12+(MONTH(H167)-MONTH($D$12))-IF(DAY(H167)&lt;DAY($D$12),1,0))/$D$11))+1))),$D$7))</f>
        <v/>
      </c>
      <c r="J167" s="11">
        <f>IF(H167="","",I167-H167)</f>
        <v/>
      </c>
      <c r="K167" s="12">
        <f>IF(H167="","",IF($D$18="LEGAL",H167,EDATE(H167,-$D$13)))</f>
        <v/>
      </c>
      <c r="L167" s="13">
        <f>IF(H167="","",IFERROR(INDEX('Tipos BdE'!$B$7:$M$336,MATCH(DATE(YEAR(K167),MONTH(K167),1),'Tipos BdE'!$A$7:$A$336,1),MATCH($D$9,'Tipos BdE'!$B$6:$M$6,0)),0))</f>
        <v/>
      </c>
      <c r="M167" s="13">
        <f>IF(H167="","",IF($D$18="LEGAL",0,$D$10))</f>
        <v/>
      </c>
      <c r="N167" s="13">
        <f>IF(H167="","",IF(AND($D$14="Sí",(L167+M167)&lt;0),0,L167+M167))</f>
        <v/>
      </c>
      <c r="O167" s="199">
        <f>IF(H167="","",$D$5*N167*J167/36500)</f>
        <v/>
      </c>
      <c r="P167" s="199">
        <f>IF(H167="","",$D$5+SUM($O$5:O167))</f>
        <v/>
      </c>
    </row>
    <row r="168">
      <c r="G168" s="11">
        <f>IF(H168="","",ROW()-4)</f>
        <v/>
      </c>
      <c r="H168" s="12">
        <f>IF(OR(I167="",I167&gt;=$D$7),"",I167)</f>
        <v/>
      </c>
      <c r="I168" s="12">
        <f>IF(H168="","",MIN(IF($D$18="LEGAL",DATE(YEAR(H168)+1,1,1),EDATE($D$12,$D$11*(INT((((YEAR(H168)-YEAR($D$12))*12+(MONTH(H168)-MONTH($D$12))-IF(DAY(H168)&lt;DAY($D$12),1,0))/$D$11))+1))),$D$7))</f>
        <v/>
      </c>
      <c r="J168" s="11">
        <f>IF(H168="","",I168-H168)</f>
        <v/>
      </c>
      <c r="K168" s="12">
        <f>IF(H168="","",IF($D$18="LEGAL",H168,EDATE(H168,-$D$13)))</f>
        <v/>
      </c>
      <c r="L168" s="13">
        <f>IF(H168="","",IFERROR(INDEX('Tipos BdE'!$B$7:$M$336,MATCH(DATE(YEAR(K168),MONTH(K168),1),'Tipos BdE'!$A$7:$A$336,1),MATCH($D$9,'Tipos BdE'!$B$6:$M$6,0)),0))</f>
        <v/>
      </c>
      <c r="M168" s="13">
        <f>IF(H168="","",IF($D$18="LEGAL",0,$D$10))</f>
        <v/>
      </c>
      <c r="N168" s="13">
        <f>IF(H168="","",IF(AND($D$14="Sí",(L168+M168)&lt;0),0,L168+M168))</f>
        <v/>
      </c>
      <c r="O168" s="199">
        <f>IF(H168="","",$D$5*N168*J168/36500)</f>
        <v/>
      </c>
      <c r="P168" s="199">
        <f>IF(H168="","",$D$5+SUM($O$5:O168))</f>
        <v/>
      </c>
    </row>
    <row r="169">
      <c r="G169" s="11">
        <f>IF(H169="","",ROW()-4)</f>
        <v/>
      </c>
      <c r="H169" s="12">
        <f>IF(OR(I168="",I168&gt;=$D$7),"",I168)</f>
        <v/>
      </c>
      <c r="I169" s="12">
        <f>IF(H169="","",MIN(IF($D$18="LEGAL",DATE(YEAR(H169)+1,1,1),EDATE($D$12,$D$11*(INT((((YEAR(H169)-YEAR($D$12))*12+(MONTH(H169)-MONTH($D$12))-IF(DAY(H169)&lt;DAY($D$12),1,0))/$D$11))+1))),$D$7))</f>
        <v/>
      </c>
      <c r="J169" s="11">
        <f>IF(H169="","",I169-H169)</f>
        <v/>
      </c>
      <c r="K169" s="12">
        <f>IF(H169="","",IF($D$18="LEGAL",H169,EDATE(H169,-$D$13)))</f>
        <v/>
      </c>
      <c r="L169" s="13">
        <f>IF(H169="","",IFERROR(INDEX('Tipos BdE'!$B$7:$M$336,MATCH(DATE(YEAR(K169),MONTH(K169),1),'Tipos BdE'!$A$7:$A$336,1),MATCH($D$9,'Tipos BdE'!$B$6:$M$6,0)),0))</f>
        <v/>
      </c>
      <c r="M169" s="13">
        <f>IF(H169="","",IF($D$18="LEGAL",0,$D$10))</f>
        <v/>
      </c>
      <c r="N169" s="13">
        <f>IF(H169="","",IF(AND($D$14="Sí",(L169+M169)&lt;0),0,L169+M169))</f>
        <v/>
      </c>
      <c r="O169" s="199">
        <f>IF(H169="","",$D$5*N169*J169/36500)</f>
        <v/>
      </c>
      <c r="P169" s="199">
        <f>IF(H169="","",$D$5+SUM($O$5:O169))</f>
        <v/>
      </c>
    </row>
    <row r="170">
      <c r="G170" s="11">
        <f>IF(H170="","",ROW()-4)</f>
        <v/>
      </c>
      <c r="H170" s="12">
        <f>IF(OR(I169="",I169&gt;=$D$7),"",I169)</f>
        <v/>
      </c>
      <c r="I170" s="12">
        <f>IF(H170="","",MIN(IF($D$18="LEGAL",DATE(YEAR(H170)+1,1,1),EDATE($D$12,$D$11*(INT((((YEAR(H170)-YEAR($D$12))*12+(MONTH(H170)-MONTH($D$12))-IF(DAY(H170)&lt;DAY($D$12),1,0))/$D$11))+1))),$D$7))</f>
        <v/>
      </c>
      <c r="J170" s="11">
        <f>IF(H170="","",I170-H170)</f>
        <v/>
      </c>
      <c r="K170" s="12">
        <f>IF(H170="","",IF($D$18="LEGAL",H170,EDATE(H170,-$D$13)))</f>
        <v/>
      </c>
      <c r="L170" s="13">
        <f>IF(H170="","",IFERROR(INDEX('Tipos BdE'!$B$7:$M$336,MATCH(DATE(YEAR(K170),MONTH(K170),1),'Tipos BdE'!$A$7:$A$336,1),MATCH($D$9,'Tipos BdE'!$B$6:$M$6,0)),0))</f>
        <v/>
      </c>
      <c r="M170" s="13">
        <f>IF(H170="","",IF($D$18="LEGAL",0,$D$10))</f>
        <v/>
      </c>
      <c r="N170" s="13">
        <f>IF(H170="","",IF(AND($D$14="Sí",(L170+M170)&lt;0),0,L170+M170))</f>
        <v/>
      </c>
      <c r="O170" s="199">
        <f>IF(H170="","",$D$5*N170*J170/36500)</f>
        <v/>
      </c>
      <c r="P170" s="199">
        <f>IF(H170="","",$D$5+SUM($O$5:O170))</f>
        <v/>
      </c>
    </row>
    <row r="171">
      <c r="G171" s="11">
        <f>IF(H171="","",ROW()-4)</f>
        <v/>
      </c>
      <c r="H171" s="12">
        <f>IF(OR(I170="",I170&gt;=$D$7),"",I170)</f>
        <v/>
      </c>
      <c r="I171" s="12">
        <f>IF(H171="","",MIN(IF($D$18="LEGAL",DATE(YEAR(H171)+1,1,1),EDATE($D$12,$D$11*(INT((((YEAR(H171)-YEAR($D$12))*12+(MONTH(H171)-MONTH($D$12))-IF(DAY(H171)&lt;DAY($D$12),1,0))/$D$11))+1))),$D$7))</f>
        <v/>
      </c>
      <c r="J171" s="11">
        <f>IF(H171="","",I171-H171)</f>
        <v/>
      </c>
      <c r="K171" s="12">
        <f>IF(H171="","",IF($D$18="LEGAL",H171,EDATE(H171,-$D$13)))</f>
        <v/>
      </c>
      <c r="L171" s="13">
        <f>IF(H171="","",IFERROR(INDEX('Tipos BdE'!$B$7:$M$336,MATCH(DATE(YEAR(K171),MONTH(K171),1),'Tipos BdE'!$A$7:$A$336,1),MATCH($D$9,'Tipos BdE'!$B$6:$M$6,0)),0))</f>
        <v/>
      </c>
      <c r="M171" s="13">
        <f>IF(H171="","",IF($D$18="LEGAL",0,$D$10))</f>
        <v/>
      </c>
      <c r="N171" s="13">
        <f>IF(H171="","",IF(AND($D$14="Sí",(L171+M171)&lt;0),0,L171+M171))</f>
        <v/>
      </c>
      <c r="O171" s="199">
        <f>IF(H171="","",$D$5*N171*J171/36500)</f>
        <v/>
      </c>
      <c r="P171" s="199">
        <f>IF(H171="","",$D$5+SUM($O$5:O171))</f>
        <v/>
      </c>
    </row>
    <row r="172">
      <c r="G172" s="11">
        <f>IF(H172="","",ROW()-4)</f>
        <v/>
      </c>
      <c r="H172" s="12">
        <f>IF(OR(I171="",I171&gt;=$D$7),"",I171)</f>
        <v/>
      </c>
      <c r="I172" s="12">
        <f>IF(H172="","",MIN(IF($D$18="LEGAL",DATE(YEAR(H172)+1,1,1),EDATE($D$12,$D$11*(INT((((YEAR(H172)-YEAR($D$12))*12+(MONTH(H172)-MONTH($D$12))-IF(DAY(H172)&lt;DAY($D$12),1,0))/$D$11))+1))),$D$7))</f>
        <v/>
      </c>
      <c r="J172" s="11">
        <f>IF(H172="","",I172-H172)</f>
        <v/>
      </c>
      <c r="K172" s="12">
        <f>IF(H172="","",IF($D$18="LEGAL",H172,EDATE(H172,-$D$13)))</f>
        <v/>
      </c>
      <c r="L172" s="13">
        <f>IF(H172="","",IFERROR(INDEX('Tipos BdE'!$B$7:$M$336,MATCH(DATE(YEAR(K172),MONTH(K172),1),'Tipos BdE'!$A$7:$A$336,1),MATCH($D$9,'Tipos BdE'!$B$6:$M$6,0)),0))</f>
        <v/>
      </c>
      <c r="M172" s="13">
        <f>IF(H172="","",IF($D$18="LEGAL",0,$D$10))</f>
        <v/>
      </c>
      <c r="N172" s="13">
        <f>IF(H172="","",IF(AND($D$14="Sí",(L172+M172)&lt;0),0,L172+M172))</f>
        <v/>
      </c>
      <c r="O172" s="199">
        <f>IF(H172="","",$D$5*N172*J172/36500)</f>
        <v/>
      </c>
      <c r="P172" s="199">
        <f>IF(H172="","",$D$5+SUM($O$5:O172))</f>
        <v/>
      </c>
    </row>
    <row r="173">
      <c r="G173" s="11">
        <f>IF(H173="","",ROW()-4)</f>
        <v/>
      </c>
      <c r="H173" s="12">
        <f>IF(OR(I172="",I172&gt;=$D$7),"",I172)</f>
        <v/>
      </c>
      <c r="I173" s="12">
        <f>IF(H173="","",MIN(IF($D$18="LEGAL",DATE(YEAR(H173)+1,1,1),EDATE($D$12,$D$11*(INT((((YEAR(H173)-YEAR($D$12))*12+(MONTH(H173)-MONTH($D$12))-IF(DAY(H173)&lt;DAY($D$12),1,0))/$D$11))+1))),$D$7))</f>
        <v/>
      </c>
      <c r="J173" s="11">
        <f>IF(H173="","",I173-H173)</f>
        <v/>
      </c>
      <c r="K173" s="12">
        <f>IF(H173="","",IF($D$18="LEGAL",H173,EDATE(H173,-$D$13)))</f>
        <v/>
      </c>
      <c r="L173" s="13">
        <f>IF(H173="","",IFERROR(INDEX('Tipos BdE'!$B$7:$M$336,MATCH(DATE(YEAR(K173),MONTH(K173),1),'Tipos BdE'!$A$7:$A$336,1),MATCH($D$9,'Tipos BdE'!$B$6:$M$6,0)),0))</f>
        <v/>
      </c>
      <c r="M173" s="13">
        <f>IF(H173="","",IF($D$18="LEGAL",0,$D$10))</f>
        <v/>
      </c>
      <c r="N173" s="13">
        <f>IF(H173="","",IF(AND($D$14="Sí",(L173+M173)&lt;0),0,L173+M173))</f>
        <v/>
      </c>
      <c r="O173" s="199">
        <f>IF(H173="","",$D$5*N173*J173/36500)</f>
        <v/>
      </c>
      <c r="P173" s="199">
        <f>IF(H173="","",$D$5+SUM($O$5:O173))</f>
        <v/>
      </c>
    </row>
    <row r="174">
      <c r="G174" s="11">
        <f>IF(H174="","",ROW()-4)</f>
        <v/>
      </c>
      <c r="H174" s="12">
        <f>IF(OR(I173="",I173&gt;=$D$7),"",I173)</f>
        <v/>
      </c>
      <c r="I174" s="12">
        <f>IF(H174="","",MIN(IF($D$18="LEGAL",DATE(YEAR(H174)+1,1,1),EDATE($D$12,$D$11*(INT((((YEAR(H174)-YEAR($D$12))*12+(MONTH(H174)-MONTH($D$12))-IF(DAY(H174)&lt;DAY($D$12),1,0))/$D$11))+1))),$D$7))</f>
        <v/>
      </c>
      <c r="J174" s="11">
        <f>IF(H174="","",I174-H174)</f>
        <v/>
      </c>
      <c r="K174" s="12">
        <f>IF(H174="","",IF($D$18="LEGAL",H174,EDATE(H174,-$D$13)))</f>
        <v/>
      </c>
      <c r="L174" s="13">
        <f>IF(H174="","",IFERROR(INDEX('Tipos BdE'!$B$7:$M$336,MATCH(DATE(YEAR(K174),MONTH(K174),1),'Tipos BdE'!$A$7:$A$336,1),MATCH($D$9,'Tipos BdE'!$B$6:$M$6,0)),0))</f>
        <v/>
      </c>
      <c r="M174" s="13">
        <f>IF(H174="","",IF($D$18="LEGAL",0,$D$10))</f>
        <v/>
      </c>
      <c r="N174" s="13">
        <f>IF(H174="","",IF(AND($D$14="Sí",(L174+M174)&lt;0),0,L174+M174))</f>
        <v/>
      </c>
      <c r="O174" s="199">
        <f>IF(H174="","",$D$5*N174*J174/36500)</f>
        <v/>
      </c>
      <c r="P174" s="199">
        <f>IF(H174="","",$D$5+SUM($O$5:O174))</f>
        <v/>
      </c>
    </row>
    <row r="175">
      <c r="G175" s="11">
        <f>IF(H175="","",ROW()-4)</f>
        <v/>
      </c>
      <c r="H175" s="12">
        <f>IF(OR(I174="",I174&gt;=$D$7),"",I174)</f>
        <v/>
      </c>
      <c r="I175" s="12">
        <f>IF(H175="","",MIN(IF($D$18="LEGAL",DATE(YEAR(H175)+1,1,1),EDATE($D$12,$D$11*(INT((((YEAR(H175)-YEAR($D$12))*12+(MONTH(H175)-MONTH($D$12))-IF(DAY(H175)&lt;DAY($D$12),1,0))/$D$11))+1))),$D$7))</f>
        <v/>
      </c>
      <c r="J175" s="11">
        <f>IF(H175="","",I175-H175)</f>
        <v/>
      </c>
      <c r="K175" s="12">
        <f>IF(H175="","",IF($D$18="LEGAL",H175,EDATE(H175,-$D$13)))</f>
        <v/>
      </c>
      <c r="L175" s="13">
        <f>IF(H175="","",IFERROR(INDEX('Tipos BdE'!$B$7:$M$336,MATCH(DATE(YEAR(K175),MONTH(K175),1),'Tipos BdE'!$A$7:$A$336,1),MATCH($D$9,'Tipos BdE'!$B$6:$M$6,0)),0))</f>
        <v/>
      </c>
      <c r="M175" s="13">
        <f>IF(H175="","",IF($D$18="LEGAL",0,$D$10))</f>
        <v/>
      </c>
      <c r="N175" s="13">
        <f>IF(H175="","",IF(AND($D$14="Sí",(L175+M175)&lt;0),0,L175+M175))</f>
        <v/>
      </c>
      <c r="O175" s="199">
        <f>IF(H175="","",$D$5*N175*J175/36500)</f>
        <v/>
      </c>
      <c r="P175" s="199">
        <f>IF(H175="","",$D$5+SUM($O$5:O175))</f>
        <v/>
      </c>
    </row>
    <row r="176">
      <c r="G176" s="11">
        <f>IF(H176="","",ROW()-4)</f>
        <v/>
      </c>
      <c r="H176" s="12">
        <f>IF(OR(I175="",I175&gt;=$D$7),"",I175)</f>
        <v/>
      </c>
      <c r="I176" s="12">
        <f>IF(H176="","",MIN(IF($D$18="LEGAL",DATE(YEAR(H176)+1,1,1),EDATE($D$12,$D$11*(INT((((YEAR(H176)-YEAR($D$12))*12+(MONTH(H176)-MONTH($D$12))-IF(DAY(H176)&lt;DAY($D$12),1,0))/$D$11))+1))),$D$7))</f>
        <v/>
      </c>
      <c r="J176" s="11">
        <f>IF(H176="","",I176-H176)</f>
        <v/>
      </c>
      <c r="K176" s="12">
        <f>IF(H176="","",IF($D$18="LEGAL",H176,EDATE(H176,-$D$13)))</f>
        <v/>
      </c>
      <c r="L176" s="13">
        <f>IF(H176="","",IFERROR(INDEX('Tipos BdE'!$B$7:$M$336,MATCH(DATE(YEAR(K176),MONTH(K176),1),'Tipos BdE'!$A$7:$A$336,1),MATCH($D$9,'Tipos BdE'!$B$6:$M$6,0)),0))</f>
        <v/>
      </c>
      <c r="M176" s="13">
        <f>IF(H176="","",IF($D$18="LEGAL",0,$D$10))</f>
        <v/>
      </c>
      <c r="N176" s="13">
        <f>IF(H176="","",IF(AND($D$14="Sí",(L176+M176)&lt;0),0,L176+M176))</f>
        <v/>
      </c>
      <c r="O176" s="199">
        <f>IF(H176="","",$D$5*N176*J176/36500)</f>
        <v/>
      </c>
      <c r="P176" s="199">
        <f>IF(H176="","",$D$5+SUM($O$5:O176))</f>
        <v/>
      </c>
    </row>
    <row r="177">
      <c r="G177" s="11">
        <f>IF(H177="","",ROW()-4)</f>
        <v/>
      </c>
      <c r="H177" s="12">
        <f>IF(OR(I176="",I176&gt;=$D$7),"",I176)</f>
        <v/>
      </c>
      <c r="I177" s="12">
        <f>IF(H177="","",MIN(IF($D$18="LEGAL",DATE(YEAR(H177)+1,1,1),EDATE($D$12,$D$11*(INT((((YEAR(H177)-YEAR($D$12))*12+(MONTH(H177)-MONTH($D$12))-IF(DAY(H177)&lt;DAY($D$12),1,0))/$D$11))+1))),$D$7))</f>
        <v/>
      </c>
      <c r="J177" s="11">
        <f>IF(H177="","",I177-H177)</f>
        <v/>
      </c>
      <c r="K177" s="12">
        <f>IF(H177="","",IF($D$18="LEGAL",H177,EDATE(H177,-$D$13)))</f>
        <v/>
      </c>
      <c r="L177" s="13">
        <f>IF(H177="","",IFERROR(INDEX('Tipos BdE'!$B$7:$M$336,MATCH(DATE(YEAR(K177),MONTH(K177),1),'Tipos BdE'!$A$7:$A$336,1),MATCH($D$9,'Tipos BdE'!$B$6:$M$6,0)),0))</f>
        <v/>
      </c>
      <c r="M177" s="13">
        <f>IF(H177="","",IF($D$18="LEGAL",0,$D$10))</f>
        <v/>
      </c>
      <c r="N177" s="13">
        <f>IF(H177="","",IF(AND($D$14="Sí",(L177+M177)&lt;0),0,L177+M177))</f>
        <v/>
      </c>
      <c r="O177" s="199">
        <f>IF(H177="","",$D$5*N177*J177/36500)</f>
        <v/>
      </c>
      <c r="P177" s="199">
        <f>IF(H177="","",$D$5+SUM($O$5:O177))</f>
        <v/>
      </c>
    </row>
    <row r="178">
      <c r="G178" s="11">
        <f>IF(H178="","",ROW()-4)</f>
        <v/>
      </c>
      <c r="H178" s="12">
        <f>IF(OR(I177="",I177&gt;=$D$7),"",I177)</f>
        <v/>
      </c>
      <c r="I178" s="12">
        <f>IF(H178="","",MIN(IF($D$18="LEGAL",DATE(YEAR(H178)+1,1,1),EDATE($D$12,$D$11*(INT((((YEAR(H178)-YEAR($D$12))*12+(MONTH(H178)-MONTH($D$12))-IF(DAY(H178)&lt;DAY($D$12),1,0))/$D$11))+1))),$D$7))</f>
        <v/>
      </c>
      <c r="J178" s="11">
        <f>IF(H178="","",I178-H178)</f>
        <v/>
      </c>
      <c r="K178" s="12">
        <f>IF(H178="","",IF($D$18="LEGAL",H178,EDATE(H178,-$D$13)))</f>
        <v/>
      </c>
      <c r="L178" s="13">
        <f>IF(H178="","",IFERROR(INDEX('Tipos BdE'!$B$7:$M$336,MATCH(DATE(YEAR(K178),MONTH(K178),1),'Tipos BdE'!$A$7:$A$336,1),MATCH($D$9,'Tipos BdE'!$B$6:$M$6,0)),0))</f>
        <v/>
      </c>
      <c r="M178" s="13">
        <f>IF(H178="","",IF($D$18="LEGAL",0,$D$10))</f>
        <v/>
      </c>
      <c r="N178" s="13">
        <f>IF(H178="","",IF(AND($D$14="Sí",(L178+M178)&lt;0),0,L178+M178))</f>
        <v/>
      </c>
      <c r="O178" s="199">
        <f>IF(H178="","",$D$5*N178*J178/36500)</f>
        <v/>
      </c>
      <c r="P178" s="199">
        <f>IF(H178="","",$D$5+SUM($O$5:O178))</f>
        <v/>
      </c>
    </row>
    <row r="179">
      <c r="G179" s="11">
        <f>IF(H179="","",ROW()-4)</f>
        <v/>
      </c>
      <c r="H179" s="12">
        <f>IF(OR(I178="",I178&gt;=$D$7),"",I178)</f>
        <v/>
      </c>
      <c r="I179" s="12">
        <f>IF(H179="","",MIN(IF($D$18="LEGAL",DATE(YEAR(H179)+1,1,1),EDATE($D$12,$D$11*(INT((((YEAR(H179)-YEAR($D$12))*12+(MONTH(H179)-MONTH($D$12))-IF(DAY(H179)&lt;DAY($D$12),1,0))/$D$11))+1))),$D$7))</f>
        <v/>
      </c>
      <c r="J179" s="11">
        <f>IF(H179="","",I179-H179)</f>
        <v/>
      </c>
      <c r="K179" s="12">
        <f>IF(H179="","",IF($D$18="LEGAL",H179,EDATE(H179,-$D$13)))</f>
        <v/>
      </c>
      <c r="L179" s="13">
        <f>IF(H179="","",IFERROR(INDEX('Tipos BdE'!$B$7:$M$336,MATCH(DATE(YEAR(K179),MONTH(K179),1),'Tipos BdE'!$A$7:$A$336,1),MATCH($D$9,'Tipos BdE'!$B$6:$M$6,0)),0))</f>
        <v/>
      </c>
      <c r="M179" s="13">
        <f>IF(H179="","",IF($D$18="LEGAL",0,$D$10))</f>
        <v/>
      </c>
      <c r="N179" s="13">
        <f>IF(H179="","",IF(AND($D$14="Sí",(L179+M179)&lt;0),0,L179+M179))</f>
        <v/>
      </c>
      <c r="O179" s="199">
        <f>IF(H179="","",$D$5*N179*J179/36500)</f>
        <v/>
      </c>
      <c r="P179" s="199">
        <f>IF(H179="","",$D$5+SUM($O$5:O179))</f>
        <v/>
      </c>
    </row>
    <row r="180">
      <c r="G180" s="11">
        <f>IF(H180="","",ROW()-4)</f>
        <v/>
      </c>
      <c r="H180" s="12">
        <f>IF(OR(I179="",I179&gt;=$D$7),"",I179)</f>
        <v/>
      </c>
      <c r="I180" s="12">
        <f>IF(H180="","",MIN(IF($D$18="LEGAL",DATE(YEAR(H180)+1,1,1),EDATE($D$12,$D$11*(INT((((YEAR(H180)-YEAR($D$12))*12+(MONTH(H180)-MONTH($D$12))-IF(DAY(H180)&lt;DAY($D$12),1,0))/$D$11))+1))),$D$7))</f>
        <v/>
      </c>
      <c r="J180" s="11">
        <f>IF(H180="","",I180-H180)</f>
        <v/>
      </c>
      <c r="K180" s="12">
        <f>IF(H180="","",IF($D$18="LEGAL",H180,EDATE(H180,-$D$13)))</f>
        <v/>
      </c>
      <c r="L180" s="13">
        <f>IF(H180="","",IFERROR(INDEX('Tipos BdE'!$B$7:$M$336,MATCH(DATE(YEAR(K180),MONTH(K180),1),'Tipos BdE'!$A$7:$A$336,1),MATCH($D$9,'Tipos BdE'!$B$6:$M$6,0)),0))</f>
        <v/>
      </c>
      <c r="M180" s="13">
        <f>IF(H180="","",IF($D$18="LEGAL",0,$D$10))</f>
        <v/>
      </c>
      <c r="N180" s="13">
        <f>IF(H180="","",IF(AND($D$14="Sí",(L180+M180)&lt;0),0,L180+M180))</f>
        <v/>
      </c>
      <c r="O180" s="199">
        <f>IF(H180="","",$D$5*N180*J180/36500)</f>
        <v/>
      </c>
      <c r="P180" s="199">
        <f>IF(H180="","",$D$5+SUM($O$5:O180))</f>
        <v/>
      </c>
    </row>
    <row r="181">
      <c r="G181" s="11">
        <f>IF(H181="","",ROW()-4)</f>
        <v/>
      </c>
      <c r="H181" s="12">
        <f>IF(OR(I180="",I180&gt;=$D$7),"",I180)</f>
        <v/>
      </c>
      <c r="I181" s="12">
        <f>IF(H181="","",MIN(IF($D$18="LEGAL",DATE(YEAR(H181)+1,1,1),EDATE($D$12,$D$11*(INT((((YEAR(H181)-YEAR($D$12))*12+(MONTH(H181)-MONTH($D$12))-IF(DAY(H181)&lt;DAY($D$12),1,0))/$D$11))+1))),$D$7))</f>
        <v/>
      </c>
      <c r="J181" s="11">
        <f>IF(H181="","",I181-H181)</f>
        <v/>
      </c>
      <c r="K181" s="12">
        <f>IF(H181="","",IF($D$18="LEGAL",H181,EDATE(H181,-$D$13)))</f>
        <v/>
      </c>
      <c r="L181" s="13">
        <f>IF(H181="","",IFERROR(INDEX('Tipos BdE'!$B$7:$M$336,MATCH(DATE(YEAR(K181),MONTH(K181),1),'Tipos BdE'!$A$7:$A$336,1),MATCH($D$9,'Tipos BdE'!$B$6:$M$6,0)),0))</f>
        <v/>
      </c>
      <c r="M181" s="13">
        <f>IF(H181="","",IF($D$18="LEGAL",0,$D$10))</f>
        <v/>
      </c>
      <c r="N181" s="13">
        <f>IF(H181="","",IF(AND($D$14="Sí",(L181+M181)&lt;0),0,L181+M181))</f>
        <v/>
      </c>
      <c r="O181" s="199">
        <f>IF(H181="","",$D$5*N181*J181/36500)</f>
        <v/>
      </c>
      <c r="P181" s="199">
        <f>IF(H181="","",$D$5+SUM($O$5:O181))</f>
        <v/>
      </c>
    </row>
    <row r="182">
      <c r="G182" s="11">
        <f>IF(H182="","",ROW()-4)</f>
        <v/>
      </c>
      <c r="H182" s="12">
        <f>IF(OR(I181="",I181&gt;=$D$7),"",I181)</f>
        <v/>
      </c>
      <c r="I182" s="12">
        <f>IF(H182="","",MIN(IF($D$18="LEGAL",DATE(YEAR(H182)+1,1,1),EDATE($D$12,$D$11*(INT((((YEAR(H182)-YEAR($D$12))*12+(MONTH(H182)-MONTH($D$12))-IF(DAY(H182)&lt;DAY($D$12),1,0))/$D$11))+1))),$D$7))</f>
        <v/>
      </c>
      <c r="J182" s="11">
        <f>IF(H182="","",I182-H182)</f>
        <v/>
      </c>
      <c r="K182" s="12">
        <f>IF(H182="","",IF($D$18="LEGAL",H182,EDATE(H182,-$D$13)))</f>
        <v/>
      </c>
      <c r="L182" s="13">
        <f>IF(H182="","",IFERROR(INDEX('Tipos BdE'!$B$7:$M$336,MATCH(DATE(YEAR(K182),MONTH(K182),1),'Tipos BdE'!$A$7:$A$336,1),MATCH($D$9,'Tipos BdE'!$B$6:$M$6,0)),0))</f>
        <v/>
      </c>
      <c r="M182" s="13">
        <f>IF(H182="","",IF($D$18="LEGAL",0,$D$10))</f>
        <v/>
      </c>
      <c r="N182" s="13">
        <f>IF(H182="","",IF(AND($D$14="Sí",(L182+M182)&lt;0),0,L182+M182))</f>
        <v/>
      </c>
      <c r="O182" s="199">
        <f>IF(H182="","",$D$5*N182*J182/36500)</f>
        <v/>
      </c>
      <c r="P182" s="199">
        <f>IF(H182="","",$D$5+SUM($O$5:O182))</f>
        <v/>
      </c>
    </row>
    <row r="183">
      <c r="G183" s="11">
        <f>IF(H183="","",ROW()-4)</f>
        <v/>
      </c>
      <c r="H183" s="12">
        <f>IF(OR(I182="",I182&gt;=$D$7),"",I182)</f>
        <v/>
      </c>
      <c r="I183" s="12">
        <f>IF(H183="","",MIN(IF($D$18="LEGAL",DATE(YEAR(H183)+1,1,1),EDATE($D$12,$D$11*(INT((((YEAR(H183)-YEAR($D$12))*12+(MONTH(H183)-MONTH($D$12))-IF(DAY(H183)&lt;DAY($D$12),1,0))/$D$11))+1))),$D$7))</f>
        <v/>
      </c>
      <c r="J183" s="11">
        <f>IF(H183="","",I183-H183)</f>
        <v/>
      </c>
      <c r="K183" s="12">
        <f>IF(H183="","",IF($D$18="LEGAL",H183,EDATE(H183,-$D$13)))</f>
        <v/>
      </c>
      <c r="L183" s="13">
        <f>IF(H183="","",IFERROR(INDEX('Tipos BdE'!$B$7:$M$336,MATCH(DATE(YEAR(K183),MONTH(K183),1),'Tipos BdE'!$A$7:$A$336,1),MATCH($D$9,'Tipos BdE'!$B$6:$M$6,0)),0))</f>
        <v/>
      </c>
      <c r="M183" s="13">
        <f>IF(H183="","",IF($D$18="LEGAL",0,$D$10))</f>
        <v/>
      </c>
      <c r="N183" s="13">
        <f>IF(H183="","",IF(AND($D$14="Sí",(L183+M183)&lt;0),0,L183+M183))</f>
        <v/>
      </c>
      <c r="O183" s="199">
        <f>IF(H183="","",$D$5*N183*J183/36500)</f>
        <v/>
      </c>
      <c r="P183" s="199">
        <f>IF(H183="","",$D$5+SUM($O$5:O183))</f>
        <v/>
      </c>
    </row>
    <row r="184">
      <c r="G184" s="11">
        <f>IF(H184="","",ROW()-4)</f>
        <v/>
      </c>
      <c r="H184" s="12">
        <f>IF(OR(I183="",I183&gt;=$D$7),"",I183)</f>
        <v/>
      </c>
      <c r="I184" s="12">
        <f>IF(H184="","",MIN(IF($D$18="LEGAL",DATE(YEAR(H184)+1,1,1),EDATE($D$12,$D$11*(INT((((YEAR(H184)-YEAR($D$12))*12+(MONTH(H184)-MONTH($D$12))-IF(DAY(H184)&lt;DAY($D$12),1,0))/$D$11))+1))),$D$7))</f>
        <v/>
      </c>
      <c r="J184" s="11">
        <f>IF(H184="","",I184-H184)</f>
        <v/>
      </c>
      <c r="K184" s="12">
        <f>IF(H184="","",IF($D$18="LEGAL",H184,EDATE(H184,-$D$13)))</f>
        <v/>
      </c>
      <c r="L184" s="13">
        <f>IF(H184="","",IFERROR(INDEX('Tipos BdE'!$B$7:$M$336,MATCH(DATE(YEAR(K184),MONTH(K184),1),'Tipos BdE'!$A$7:$A$336,1),MATCH($D$9,'Tipos BdE'!$B$6:$M$6,0)),0))</f>
        <v/>
      </c>
      <c r="M184" s="13">
        <f>IF(H184="","",IF($D$18="LEGAL",0,$D$10))</f>
        <v/>
      </c>
      <c r="N184" s="13">
        <f>IF(H184="","",IF(AND($D$14="Sí",(L184+M184)&lt;0),0,L184+M184))</f>
        <v/>
      </c>
      <c r="O184" s="199">
        <f>IF(H184="","",$D$5*N184*J184/36500)</f>
        <v/>
      </c>
      <c r="P184" s="199">
        <f>IF(H184="","",$D$5+SUM($O$5:O184))</f>
        <v/>
      </c>
    </row>
    <row r="185">
      <c r="G185" s="11">
        <f>IF(H185="","",ROW()-4)</f>
        <v/>
      </c>
      <c r="H185" s="12">
        <f>IF(OR(I184="",I184&gt;=$D$7),"",I184)</f>
        <v/>
      </c>
      <c r="I185" s="12">
        <f>IF(H185="","",MIN(IF($D$18="LEGAL",DATE(YEAR(H185)+1,1,1),EDATE($D$12,$D$11*(INT((((YEAR(H185)-YEAR($D$12))*12+(MONTH(H185)-MONTH($D$12))-IF(DAY(H185)&lt;DAY($D$12),1,0))/$D$11))+1))),$D$7))</f>
        <v/>
      </c>
      <c r="J185" s="11">
        <f>IF(H185="","",I185-H185)</f>
        <v/>
      </c>
      <c r="K185" s="12">
        <f>IF(H185="","",IF($D$18="LEGAL",H185,EDATE(H185,-$D$13)))</f>
        <v/>
      </c>
      <c r="L185" s="13">
        <f>IF(H185="","",IFERROR(INDEX('Tipos BdE'!$B$7:$M$336,MATCH(DATE(YEAR(K185),MONTH(K185),1),'Tipos BdE'!$A$7:$A$336,1),MATCH($D$9,'Tipos BdE'!$B$6:$M$6,0)),0))</f>
        <v/>
      </c>
      <c r="M185" s="13">
        <f>IF(H185="","",IF($D$18="LEGAL",0,$D$10))</f>
        <v/>
      </c>
      <c r="N185" s="13">
        <f>IF(H185="","",IF(AND($D$14="Sí",(L185+M185)&lt;0),0,L185+M185))</f>
        <v/>
      </c>
      <c r="O185" s="199">
        <f>IF(H185="","",$D$5*N185*J185/36500)</f>
        <v/>
      </c>
      <c r="P185" s="199">
        <f>IF(H185="","",$D$5+SUM($O$5:O185))</f>
        <v/>
      </c>
    </row>
    <row r="186">
      <c r="G186" s="11">
        <f>IF(H186="","",ROW()-4)</f>
        <v/>
      </c>
      <c r="H186" s="12">
        <f>IF(OR(I185="",I185&gt;=$D$7),"",I185)</f>
        <v/>
      </c>
      <c r="I186" s="12">
        <f>IF(H186="","",MIN(IF($D$18="LEGAL",DATE(YEAR(H186)+1,1,1),EDATE($D$12,$D$11*(INT((((YEAR(H186)-YEAR($D$12))*12+(MONTH(H186)-MONTH($D$12))-IF(DAY(H186)&lt;DAY($D$12),1,0))/$D$11))+1))),$D$7))</f>
        <v/>
      </c>
      <c r="J186" s="11">
        <f>IF(H186="","",I186-H186)</f>
        <v/>
      </c>
      <c r="K186" s="12">
        <f>IF(H186="","",IF($D$18="LEGAL",H186,EDATE(H186,-$D$13)))</f>
        <v/>
      </c>
      <c r="L186" s="13">
        <f>IF(H186="","",IFERROR(INDEX('Tipos BdE'!$B$7:$M$336,MATCH(DATE(YEAR(K186),MONTH(K186),1),'Tipos BdE'!$A$7:$A$336,1),MATCH($D$9,'Tipos BdE'!$B$6:$M$6,0)),0))</f>
        <v/>
      </c>
      <c r="M186" s="13">
        <f>IF(H186="","",IF($D$18="LEGAL",0,$D$10))</f>
        <v/>
      </c>
      <c r="N186" s="13">
        <f>IF(H186="","",IF(AND($D$14="Sí",(L186+M186)&lt;0),0,L186+M186))</f>
        <v/>
      </c>
      <c r="O186" s="199">
        <f>IF(H186="","",$D$5*N186*J186/36500)</f>
        <v/>
      </c>
      <c r="P186" s="199">
        <f>IF(H186="","",$D$5+SUM($O$5:O186))</f>
        <v/>
      </c>
    </row>
    <row r="187">
      <c r="G187" s="11">
        <f>IF(H187="","",ROW()-4)</f>
        <v/>
      </c>
      <c r="H187" s="12">
        <f>IF(OR(I186="",I186&gt;=$D$7),"",I186)</f>
        <v/>
      </c>
      <c r="I187" s="12">
        <f>IF(H187="","",MIN(IF($D$18="LEGAL",DATE(YEAR(H187)+1,1,1),EDATE($D$12,$D$11*(INT((((YEAR(H187)-YEAR($D$12))*12+(MONTH(H187)-MONTH($D$12))-IF(DAY(H187)&lt;DAY($D$12),1,0))/$D$11))+1))),$D$7))</f>
        <v/>
      </c>
      <c r="J187" s="11">
        <f>IF(H187="","",I187-H187)</f>
        <v/>
      </c>
      <c r="K187" s="12">
        <f>IF(H187="","",IF($D$18="LEGAL",H187,EDATE(H187,-$D$13)))</f>
        <v/>
      </c>
      <c r="L187" s="13">
        <f>IF(H187="","",IFERROR(INDEX('Tipos BdE'!$B$7:$M$336,MATCH(DATE(YEAR(K187),MONTH(K187),1),'Tipos BdE'!$A$7:$A$336,1),MATCH($D$9,'Tipos BdE'!$B$6:$M$6,0)),0))</f>
        <v/>
      </c>
      <c r="M187" s="13">
        <f>IF(H187="","",IF($D$18="LEGAL",0,$D$10))</f>
        <v/>
      </c>
      <c r="N187" s="13">
        <f>IF(H187="","",IF(AND($D$14="Sí",(L187+M187)&lt;0),0,L187+M187))</f>
        <v/>
      </c>
      <c r="O187" s="199">
        <f>IF(H187="","",$D$5*N187*J187/36500)</f>
        <v/>
      </c>
      <c r="P187" s="199">
        <f>IF(H187="","",$D$5+SUM($O$5:O187))</f>
        <v/>
      </c>
    </row>
    <row r="188">
      <c r="G188" s="11">
        <f>IF(H188="","",ROW()-4)</f>
        <v/>
      </c>
      <c r="H188" s="12">
        <f>IF(OR(I187="",I187&gt;=$D$7),"",I187)</f>
        <v/>
      </c>
      <c r="I188" s="12">
        <f>IF(H188="","",MIN(IF($D$18="LEGAL",DATE(YEAR(H188)+1,1,1),EDATE($D$12,$D$11*(INT((((YEAR(H188)-YEAR($D$12))*12+(MONTH(H188)-MONTH($D$12))-IF(DAY(H188)&lt;DAY($D$12),1,0))/$D$11))+1))),$D$7))</f>
        <v/>
      </c>
      <c r="J188" s="11">
        <f>IF(H188="","",I188-H188)</f>
        <v/>
      </c>
      <c r="K188" s="12">
        <f>IF(H188="","",IF($D$18="LEGAL",H188,EDATE(H188,-$D$13)))</f>
        <v/>
      </c>
      <c r="L188" s="13">
        <f>IF(H188="","",IFERROR(INDEX('Tipos BdE'!$B$7:$M$336,MATCH(DATE(YEAR(K188),MONTH(K188),1),'Tipos BdE'!$A$7:$A$336,1),MATCH($D$9,'Tipos BdE'!$B$6:$M$6,0)),0))</f>
        <v/>
      </c>
      <c r="M188" s="13">
        <f>IF(H188="","",IF($D$18="LEGAL",0,$D$10))</f>
        <v/>
      </c>
      <c r="N188" s="13">
        <f>IF(H188="","",IF(AND($D$14="Sí",(L188+M188)&lt;0),0,L188+M188))</f>
        <v/>
      </c>
      <c r="O188" s="199">
        <f>IF(H188="","",$D$5*N188*J188/36500)</f>
        <v/>
      </c>
      <c r="P188" s="199">
        <f>IF(H188="","",$D$5+SUM($O$5:O188))</f>
        <v/>
      </c>
    </row>
    <row r="189">
      <c r="G189" s="11">
        <f>IF(H189="","",ROW()-4)</f>
        <v/>
      </c>
      <c r="H189" s="12">
        <f>IF(OR(I188="",I188&gt;=$D$7),"",I188)</f>
        <v/>
      </c>
      <c r="I189" s="12">
        <f>IF(H189="","",MIN(IF($D$18="LEGAL",DATE(YEAR(H189)+1,1,1),EDATE($D$12,$D$11*(INT((((YEAR(H189)-YEAR($D$12))*12+(MONTH(H189)-MONTH($D$12))-IF(DAY(H189)&lt;DAY($D$12),1,0))/$D$11))+1))),$D$7))</f>
        <v/>
      </c>
      <c r="J189" s="11">
        <f>IF(H189="","",I189-H189)</f>
        <v/>
      </c>
      <c r="K189" s="12">
        <f>IF(H189="","",IF($D$18="LEGAL",H189,EDATE(H189,-$D$13)))</f>
        <v/>
      </c>
      <c r="L189" s="13">
        <f>IF(H189="","",IFERROR(INDEX('Tipos BdE'!$B$7:$M$336,MATCH(DATE(YEAR(K189),MONTH(K189),1),'Tipos BdE'!$A$7:$A$336,1),MATCH($D$9,'Tipos BdE'!$B$6:$M$6,0)),0))</f>
        <v/>
      </c>
      <c r="M189" s="13">
        <f>IF(H189="","",IF($D$18="LEGAL",0,$D$10))</f>
        <v/>
      </c>
      <c r="N189" s="13">
        <f>IF(H189="","",IF(AND($D$14="Sí",(L189+M189)&lt;0),0,L189+M189))</f>
        <v/>
      </c>
      <c r="O189" s="199">
        <f>IF(H189="","",$D$5*N189*J189/36500)</f>
        <v/>
      </c>
      <c r="P189" s="199">
        <f>IF(H189="","",$D$5+SUM($O$5:O189))</f>
        <v/>
      </c>
    </row>
    <row r="190">
      <c r="G190" s="11">
        <f>IF(H190="","",ROW()-4)</f>
        <v/>
      </c>
      <c r="H190" s="12">
        <f>IF(OR(I189="",I189&gt;=$D$7),"",I189)</f>
        <v/>
      </c>
      <c r="I190" s="12">
        <f>IF(H190="","",MIN(IF($D$18="LEGAL",DATE(YEAR(H190)+1,1,1),EDATE($D$12,$D$11*(INT((((YEAR(H190)-YEAR($D$12))*12+(MONTH(H190)-MONTH($D$12))-IF(DAY(H190)&lt;DAY($D$12),1,0))/$D$11))+1))),$D$7))</f>
        <v/>
      </c>
      <c r="J190" s="11">
        <f>IF(H190="","",I190-H190)</f>
        <v/>
      </c>
      <c r="K190" s="12">
        <f>IF(H190="","",IF($D$18="LEGAL",H190,EDATE(H190,-$D$13)))</f>
        <v/>
      </c>
      <c r="L190" s="13">
        <f>IF(H190="","",IFERROR(INDEX('Tipos BdE'!$B$7:$M$336,MATCH(DATE(YEAR(K190),MONTH(K190),1),'Tipos BdE'!$A$7:$A$336,1),MATCH($D$9,'Tipos BdE'!$B$6:$M$6,0)),0))</f>
        <v/>
      </c>
      <c r="M190" s="13">
        <f>IF(H190="","",IF($D$18="LEGAL",0,$D$10))</f>
        <v/>
      </c>
      <c r="N190" s="13">
        <f>IF(H190="","",IF(AND($D$14="Sí",(L190+M190)&lt;0),0,L190+M190))</f>
        <v/>
      </c>
      <c r="O190" s="199">
        <f>IF(H190="","",$D$5*N190*J190/36500)</f>
        <v/>
      </c>
      <c r="P190" s="199">
        <f>IF(H190="","",$D$5+SUM($O$5:O190))</f>
        <v/>
      </c>
    </row>
    <row r="191">
      <c r="G191" s="11">
        <f>IF(H191="","",ROW()-4)</f>
        <v/>
      </c>
      <c r="H191" s="12">
        <f>IF(OR(I190="",I190&gt;=$D$7),"",I190)</f>
        <v/>
      </c>
      <c r="I191" s="12">
        <f>IF(H191="","",MIN(IF($D$18="LEGAL",DATE(YEAR(H191)+1,1,1),EDATE($D$12,$D$11*(INT((((YEAR(H191)-YEAR($D$12))*12+(MONTH(H191)-MONTH($D$12))-IF(DAY(H191)&lt;DAY($D$12),1,0))/$D$11))+1))),$D$7))</f>
        <v/>
      </c>
      <c r="J191" s="11">
        <f>IF(H191="","",I191-H191)</f>
        <v/>
      </c>
      <c r="K191" s="12">
        <f>IF(H191="","",IF($D$18="LEGAL",H191,EDATE(H191,-$D$13)))</f>
        <v/>
      </c>
      <c r="L191" s="13">
        <f>IF(H191="","",IFERROR(INDEX('Tipos BdE'!$B$7:$M$336,MATCH(DATE(YEAR(K191),MONTH(K191),1),'Tipos BdE'!$A$7:$A$336,1),MATCH($D$9,'Tipos BdE'!$B$6:$M$6,0)),0))</f>
        <v/>
      </c>
      <c r="M191" s="13">
        <f>IF(H191="","",IF($D$18="LEGAL",0,$D$10))</f>
        <v/>
      </c>
      <c r="N191" s="13">
        <f>IF(H191="","",IF(AND($D$14="Sí",(L191+M191)&lt;0),0,L191+M191))</f>
        <v/>
      </c>
      <c r="O191" s="199">
        <f>IF(H191="","",$D$5*N191*J191/36500)</f>
        <v/>
      </c>
      <c r="P191" s="199">
        <f>IF(H191="","",$D$5+SUM($O$5:O191))</f>
        <v/>
      </c>
    </row>
    <row r="192">
      <c r="G192" s="11">
        <f>IF(H192="","",ROW()-4)</f>
        <v/>
      </c>
      <c r="H192" s="12">
        <f>IF(OR(I191="",I191&gt;=$D$7),"",I191)</f>
        <v/>
      </c>
      <c r="I192" s="12">
        <f>IF(H192="","",MIN(IF($D$18="LEGAL",DATE(YEAR(H192)+1,1,1),EDATE($D$12,$D$11*(INT((((YEAR(H192)-YEAR($D$12))*12+(MONTH(H192)-MONTH($D$12))-IF(DAY(H192)&lt;DAY($D$12),1,0))/$D$11))+1))),$D$7))</f>
        <v/>
      </c>
      <c r="J192" s="11">
        <f>IF(H192="","",I192-H192)</f>
        <v/>
      </c>
      <c r="K192" s="12">
        <f>IF(H192="","",IF($D$18="LEGAL",H192,EDATE(H192,-$D$13)))</f>
        <v/>
      </c>
      <c r="L192" s="13">
        <f>IF(H192="","",IFERROR(INDEX('Tipos BdE'!$B$7:$M$336,MATCH(DATE(YEAR(K192),MONTH(K192),1),'Tipos BdE'!$A$7:$A$336,1),MATCH($D$9,'Tipos BdE'!$B$6:$M$6,0)),0))</f>
        <v/>
      </c>
      <c r="M192" s="13">
        <f>IF(H192="","",IF($D$18="LEGAL",0,$D$10))</f>
        <v/>
      </c>
      <c r="N192" s="13">
        <f>IF(H192="","",IF(AND($D$14="Sí",(L192+M192)&lt;0),0,L192+M192))</f>
        <v/>
      </c>
      <c r="O192" s="199">
        <f>IF(H192="","",$D$5*N192*J192/36500)</f>
        <v/>
      </c>
      <c r="P192" s="199">
        <f>IF(H192="","",$D$5+SUM($O$5:O192))</f>
        <v/>
      </c>
    </row>
    <row r="193">
      <c r="G193" s="11">
        <f>IF(H193="","",ROW()-4)</f>
        <v/>
      </c>
      <c r="H193" s="12">
        <f>IF(OR(I192="",I192&gt;=$D$7),"",I192)</f>
        <v/>
      </c>
      <c r="I193" s="12">
        <f>IF(H193="","",MIN(IF($D$18="LEGAL",DATE(YEAR(H193)+1,1,1),EDATE($D$12,$D$11*(INT((((YEAR(H193)-YEAR($D$12))*12+(MONTH(H193)-MONTH($D$12))-IF(DAY(H193)&lt;DAY($D$12),1,0))/$D$11))+1))),$D$7))</f>
        <v/>
      </c>
      <c r="J193" s="11">
        <f>IF(H193="","",I193-H193)</f>
        <v/>
      </c>
      <c r="K193" s="12">
        <f>IF(H193="","",IF($D$18="LEGAL",H193,EDATE(H193,-$D$13)))</f>
        <v/>
      </c>
      <c r="L193" s="13">
        <f>IF(H193="","",IFERROR(INDEX('Tipos BdE'!$B$7:$M$336,MATCH(DATE(YEAR(K193),MONTH(K193),1),'Tipos BdE'!$A$7:$A$336,1),MATCH($D$9,'Tipos BdE'!$B$6:$M$6,0)),0))</f>
        <v/>
      </c>
      <c r="M193" s="13">
        <f>IF(H193="","",IF($D$18="LEGAL",0,$D$10))</f>
        <v/>
      </c>
      <c r="N193" s="13">
        <f>IF(H193="","",IF(AND($D$14="Sí",(L193+M193)&lt;0),0,L193+M193))</f>
        <v/>
      </c>
      <c r="O193" s="199">
        <f>IF(H193="","",$D$5*N193*J193/36500)</f>
        <v/>
      </c>
      <c r="P193" s="199">
        <f>IF(H193="","",$D$5+SUM($O$5:O193))</f>
        <v/>
      </c>
    </row>
    <row r="194">
      <c r="G194" s="11">
        <f>IF(H194="","",ROW()-4)</f>
        <v/>
      </c>
      <c r="H194" s="12">
        <f>IF(OR(I193="",I193&gt;=$D$7),"",I193)</f>
        <v/>
      </c>
      <c r="I194" s="12">
        <f>IF(H194="","",MIN(IF($D$18="LEGAL",DATE(YEAR(H194)+1,1,1),EDATE($D$12,$D$11*(INT((((YEAR(H194)-YEAR($D$12))*12+(MONTH(H194)-MONTH($D$12))-IF(DAY(H194)&lt;DAY($D$12),1,0))/$D$11))+1))),$D$7))</f>
        <v/>
      </c>
      <c r="J194" s="11">
        <f>IF(H194="","",I194-H194)</f>
        <v/>
      </c>
      <c r="K194" s="12">
        <f>IF(H194="","",IF($D$18="LEGAL",H194,EDATE(H194,-$D$13)))</f>
        <v/>
      </c>
      <c r="L194" s="13">
        <f>IF(H194="","",IFERROR(INDEX('Tipos BdE'!$B$7:$M$336,MATCH(DATE(YEAR(K194),MONTH(K194),1),'Tipos BdE'!$A$7:$A$336,1),MATCH($D$9,'Tipos BdE'!$B$6:$M$6,0)),0))</f>
        <v/>
      </c>
      <c r="M194" s="13">
        <f>IF(H194="","",IF($D$18="LEGAL",0,$D$10))</f>
        <v/>
      </c>
      <c r="N194" s="13">
        <f>IF(H194="","",IF(AND($D$14="Sí",(L194+M194)&lt;0),0,L194+M194))</f>
        <v/>
      </c>
      <c r="O194" s="199">
        <f>IF(H194="","",$D$5*N194*J194/36500)</f>
        <v/>
      </c>
      <c r="P194" s="199">
        <f>IF(H194="","",$D$5+SUM($O$5:O194))</f>
        <v/>
      </c>
    </row>
    <row r="195">
      <c r="G195" s="11">
        <f>IF(H195="","",ROW()-4)</f>
        <v/>
      </c>
      <c r="H195" s="12">
        <f>IF(OR(I194="",I194&gt;=$D$7),"",I194)</f>
        <v/>
      </c>
      <c r="I195" s="12">
        <f>IF(H195="","",MIN(IF($D$18="LEGAL",DATE(YEAR(H195)+1,1,1),EDATE($D$12,$D$11*(INT((((YEAR(H195)-YEAR($D$12))*12+(MONTH(H195)-MONTH($D$12))-IF(DAY(H195)&lt;DAY($D$12),1,0))/$D$11))+1))),$D$7))</f>
        <v/>
      </c>
      <c r="J195" s="11">
        <f>IF(H195="","",I195-H195)</f>
        <v/>
      </c>
      <c r="K195" s="12">
        <f>IF(H195="","",IF($D$18="LEGAL",H195,EDATE(H195,-$D$13)))</f>
        <v/>
      </c>
      <c r="L195" s="13">
        <f>IF(H195="","",IFERROR(INDEX('Tipos BdE'!$B$7:$M$336,MATCH(DATE(YEAR(K195),MONTH(K195),1),'Tipos BdE'!$A$7:$A$336,1),MATCH($D$9,'Tipos BdE'!$B$6:$M$6,0)),0))</f>
        <v/>
      </c>
      <c r="M195" s="13">
        <f>IF(H195="","",IF($D$18="LEGAL",0,$D$10))</f>
        <v/>
      </c>
      <c r="N195" s="13">
        <f>IF(H195="","",IF(AND($D$14="Sí",(L195+M195)&lt;0),0,L195+M195))</f>
        <v/>
      </c>
      <c r="O195" s="199">
        <f>IF(H195="","",$D$5*N195*J195/36500)</f>
        <v/>
      </c>
      <c r="P195" s="199">
        <f>IF(H195="","",$D$5+SUM($O$5:O195))</f>
        <v/>
      </c>
    </row>
    <row r="196">
      <c r="G196" s="11">
        <f>IF(H196="","",ROW()-4)</f>
        <v/>
      </c>
      <c r="H196" s="12">
        <f>IF(OR(I195="",I195&gt;=$D$7),"",I195)</f>
        <v/>
      </c>
      <c r="I196" s="12">
        <f>IF(H196="","",MIN(IF($D$18="LEGAL",DATE(YEAR(H196)+1,1,1),EDATE($D$12,$D$11*(INT((((YEAR(H196)-YEAR($D$12))*12+(MONTH(H196)-MONTH($D$12))-IF(DAY(H196)&lt;DAY($D$12),1,0))/$D$11))+1))),$D$7))</f>
        <v/>
      </c>
      <c r="J196" s="11">
        <f>IF(H196="","",I196-H196)</f>
        <v/>
      </c>
      <c r="K196" s="12">
        <f>IF(H196="","",IF($D$18="LEGAL",H196,EDATE(H196,-$D$13)))</f>
        <v/>
      </c>
      <c r="L196" s="13">
        <f>IF(H196="","",IFERROR(INDEX('Tipos BdE'!$B$7:$M$336,MATCH(DATE(YEAR(K196),MONTH(K196),1),'Tipos BdE'!$A$7:$A$336,1),MATCH($D$9,'Tipos BdE'!$B$6:$M$6,0)),0))</f>
        <v/>
      </c>
      <c r="M196" s="13">
        <f>IF(H196="","",IF($D$18="LEGAL",0,$D$10))</f>
        <v/>
      </c>
      <c r="N196" s="13">
        <f>IF(H196="","",IF(AND($D$14="Sí",(L196+M196)&lt;0),0,L196+M196))</f>
        <v/>
      </c>
      <c r="O196" s="199">
        <f>IF(H196="","",$D$5*N196*J196/36500)</f>
        <v/>
      </c>
      <c r="P196" s="199">
        <f>IF(H196="","",$D$5+SUM($O$5:O196))</f>
        <v/>
      </c>
    </row>
    <row r="197">
      <c r="G197" s="11">
        <f>IF(H197="","",ROW()-4)</f>
        <v/>
      </c>
      <c r="H197" s="12">
        <f>IF(OR(I196="",I196&gt;=$D$7),"",I196)</f>
        <v/>
      </c>
      <c r="I197" s="12">
        <f>IF(H197="","",MIN(IF($D$18="LEGAL",DATE(YEAR(H197)+1,1,1),EDATE($D$12,$D$11*(INT((((YEAR(H197)-YEAR($D$12))*12+(MONTH(H197)-MONTH($D$12))-IF(DAY(H197)&lt;DAY($D$12),1,0))/$D$11))+1))),$D$7))</f>
        <v/>
      </c>
      <c r="J197" s="11">
        <f>IF(H197="","",I197-H197)</f>
        <v/>
      </c>
      <c r="K197" s="12">
        <f>IF(H197="","",IF($D$18="LEGAL",H197,EDATE(H197,-$D$13)))</f>
        <v/>
      </c>
      <c r="L197" s="13">
        <f>IF(H197="","",IFERROR(INDEX('Tipos BdE'!$B$7:$M$336,MATCH(DATE(YEAR(K197),MONTH(K197),1),'Tipos BdE'!$A$7:$A$336,1),MATCH($D$9,'Tipos BdE'!$B$6:$M$6,0)),0))</f>
        <v/>
      </c>
      <c r="M197" s="13">
        <f>IF(H197="","",IF($D$18="LEGAL",0,$D$10))</f>
        <v/>
      </c>
      <c r="N197" s="13">
        <f>IF(H197="","",IF(AND($D$14="Sí",(L197+M197)&lt;0),0,L197+M197))</f>
        <v/>
      </c>
      <c r="O197" s="199">
        <f>IF(H197="","",$D$5*N197*J197/36500)</f>
        <v/>
      </c>
      <c r="P197" s="199">
        <f>IF(H197="","",$D$5+SUM($O$5:O197))</f>
        <v/>
      </c>
    </row>
    <row r="198">
      <c r="G198" s="11">
        <f>IF(H198="","",ROW()-4)</f>
        <v/>
      </c>
      <c r="H198" s="12">
        <f>IF(OR(I197="",I197&gt;=$D$7),"",I197)</f>
        <v/>
      </c>
      <c r="I198" s="12">
        <f>IF(H198="","",MIN(IF($D$18="LEGAL",DATE(YEAR(H198)+1,1,1),EDATE($D$12,$D$11*(INT((((YEAR(H198)-YEAR($D$12))*12+(MONTH(H198)-MONTH($D$12))-IF(DAY(H198)&lt;DAY($D$12),1,0))/$D$11))+1))),$D$7))</f>
        <v/>
      </c>
      <c r="J198" s="11">
        <f>IF(H198="","",I198-H198)</f>
        <v/>
      </c>
      <c r="K198" s="12">
        <f>IF(H198="","",IF($D$18="LEGAL",H198,EDATE(H198,-$D$13)))</f>
        <v/>
      </c>
      <c r="L198" s="13">
        <f>IF(H198="","",IFERROR(INDEX('Tipos BdE'!$B$7:$M$336,MATCH(DATE(YEAR(K198),MONTH(K198),1),'Tipos BdE'!$A$7:$A$336,1),MATCH($D$9,'Tipos BdE'!$B$6:$M$6,0)),0))</f>
        <v/>
      </c>
      <c r="M198" s="13">
        <f>IF(H198="","",IF($D$18="LEGAL",0,$D$10))</f>
        <v/>
      </c>
      <c r="N198" s="13">
        <f>IF(H198="","",IF(AND($D$14="Sí",(L198+M198)&lt;0),0,L198+M198))</f>
        <v/>
      </c>
      <c r="O198" s="199">
        <f>IF(H198="","",$D$5*N198*J198/36500)</f>
        <v/>
      </c>
      <c r="P198" s="199">
        <f>IF(H198="","",$D$5+SUM($O$5:O198))</f>
        <v/>
      </c>
    </row>
    <row r="199">
      <c r="G199" s="11">
        <f>IF(H199="","",ROW()-4)</f>
        <v/>
      </c>
      <c r="H199" s="12">
        <f>IF(OR(I198="",I198&gt;=$D$7),"",I198)</f>
        <v/>
      </c>
      <c r="I199" s="12">
        <f>IF(H199="","",MIN(IF($D$18="LEGAL",DATE(YEAR(H199)+1,1,1),EDATE($D$12,$D$11*(INT((((YEAR(H199)-YEAR($D$12))*12+(MONTH(H199)-MONTH($D$12))-IF(DAY(H199)&lt;DAY($D$12),1,0))/$D$11))+1))),$D$7))</f>
        <v/>
      </c>
      <c r="J199" s="11">
        <f>IF(H199="","",I199-H199)</f>
        <v/>
      </c>
      <c r="K199" s="12">
        <f>IF(H199="","",IF($D$18="LEGAL",H199,EDATE(H199,-$D$13)))</f>
        <v/>
      </c>
      <c r="L199" s="13">
        <f>IF(H199="","",IFERROR(INDEX('Tipos BdE'!$B$7:$M$336,MATCH(DATE(YEAR(K199),MONTH(K199),1),'Tipos BdE'!$A$7:$A$336,1),MATCH($D$9,'Tipos BdE'!$B$6:$M$6,0)),0))</f>
        <v/>
      </c>
      <c r="M199" s="13">
        <f>IF(H199="","",IF($D$18="LEGAL",0,$D$10))</f>
        <v/>
      </c>
      <c r="N199" s="13">
        <f>IF(H199="","",IF(AND($D$14="Sí",(L199+M199)&lt;0),0,L199+M199))</f>
        <v/>
      </c>
      <c r="O199" s="199">
        <f>IF(H199="","",$D$5*N199*J199/36500)</f>
        <v/>
      </c>
      <c r="P199" s="199">
        <f>IF(H199="","",$D$5+SUM($O$5:O199))</f>
        <v/>
      </c>
    </row>
    <row r="200">
      <c r="G200" s="11">
        <f>IF(H200="","",ROW()-4)</f>
        <v/>
      </c>
      <c r="H200" s="12">
        <f>IF(OR(I199="",I199&gt;=$D$7),"",I199)</f>
        <v/>
      </c>
      <c r="I200" s="12">
        <f>IF(H200="","",MIN(IF($D$18="LEGAL",DATE(YEAR(H200)+1,1,1),EDATE($D$12,$D$11*(INT((((YEAR(H200)-YEAR($D$12))*12+(MONTH(H200)-MONTH($D$12))-IF(DAY(H200)&lt;DAY($D$12),1,0))/$D$11))+1))),$D$7))</f>
        <v/>
      </c>
      <c r="J200" s="11">
        <f>IF(H200="","",I200-H200)</f>
        <v/>
      </c>
      <c r="K200" s="12">
        <f>IF(H200="","",IF($D$18="LEGAL",H200,EDATE(H200,-$D$13)))</f>
        <v/>
      </c>
      <c r="L200" s="13">
        <f>IF(H200="","",IFERROR(INDEX('Tipos BdE'!$B$7:$M$336,MATCH(DATE(YEAR(K200),MONTH(K200),1),'Tipos BdE'!$A$7:$A$336,1),MATCH($D$9,'Tipos BdE'!$B$6:$M$6,0)),0))</f>
        <v/>
      </c>
      <c r="M200" s="13">
        <f>IF(H200="","",IF($D$18="LEGAL",0,$D$10))</f>
        <v/>
      </c>
      <c r="N200" s="13">
        <f>IF(H200="","",IF(AND($D$14="Sí",(L200+M200)&lt;0),0,L200+M200))</f>
        <v/>
      </c>
      <c r="O200" s="199">
        <f>IF(H200="","",$D$5*N200*J200/36500)</f>
        <v/>
      </c>
      <c r="P200" s="199">
        <f>IF(H200="","",$D$5+SUM($O$5:O200))</f>
        <v/>
      </c>
    </row>
    <row r="201">
      <c r="G201" s="11">
        <f>IF(H201="","",ROW()-4)</f>
        <v/>
      </c>
      <c r="H201" s="12">
        <f>IF(OR(I200="",I200&gt;=$D$7),"",I200)</f>
        <v/>
      </c>
      <c r="I201" s="12">
        <f>IF(H201="","",MIN(IF($D$18="LEGAL",DATE(YEAR(H201)+1,1,1),EDATE($D$12,$D$11*(INT((((YEAR(H201)-YEAR($D$12))*12+(MONTH(H201)-MONTH($D$12))-IF(DAY(H201)&lt;DAY($D$12),1,0))/$D$11))+1))),$D$7))</f>
        <v/>
      </c>
      <c r="J201" s="11">
        <f>IF(H201="","",I201-H201)</f>
        <v/>
      </c>
      <c r="K201" s="12">
        <f>IF(H201="","",IF($D$18="LEGAL",H201,EDATE(H201,-$D$13)))</f>
        <v/>
      </c>
      <c r="L201" s="13">
        <f>IF(H201="","",IFERROR(INDEX('Tipos BdE'!$B$7:$M$336,MATCH(DATE(YEAR(K201),MONTH(K201),1),'Tipos BdE'!$A$7:$A$336,1),MATCH($D$9,'Tipos BdE'!$B$6:$M$6,0)),0))</f>
        <v/>
      </c>
      <c r="M201" s="13">
        <f>IF(H201="","",IF($D$18="LEGAL",0,$D$10))</f>
        <v/>
      </c>
      <c r="N201" s="13">
        <f>IF(H201="","",IF(AND($D$14="Sí",(L201+M201)&lt;0),0,L201+M201))</f>
        <v/>
      </c>
      <c r="O201" s="199">
        <f>IF(H201="","",$D$5*N201*J201/36500)</f>
        <v/>
      </c>
      <c r="P201" s="199">
        <f>IF(H201="","",$D$5+SUM($O$5:O201))</f>
        <v/>
      </c>
    </row>
    <row r="202">
      <c r="G202" s="11">
        <f>IF(H202="","",ROW()-4)</f>
        <v/>
      </c>
      <c r="H202" s="12">
        <f>IF(OR(I201="",I201&gt;=$D$7),"",I201)</f>
        <v/>
      </c>
      <c r="I202" s="12">
        <f>IF(H202="","",MIN(IF($D$18="LEGAL",DATE(YEAR(H202)+1,1,1),EDATE($D$12,$D$11*(INT((((YEAR(H202)-YEAR($D$12))*12+(MONTH(H202)-MONTH($D$12))-IF(DAY(H202)&lt;DAY($D$12),1,0))/$D$11))+1))),$D$7))</f>
        <v/>
      </c>
      <c r="J202" s="11">
        <f>IF(H202="","",I202-H202)</f>
        <v/>
      </c>
      <c r="K202" s="12">
        <f>IF(H202="","",IF($D$18="LEGAL",H202,EDATE(H202,-$D$13)))</f>
        <v/>
      </c>
      <c r="L202" s="13">
        <f>IF(H202="","",IFERROR(INDEX('Tipos BdE'!$B$7:$M$336,MATCH(DATE(YEAR(K202),MONTH(K202),1),'Tipos BdE'!$A$7:$A$336,1),MATCH($D$9,'Tipos BdE'!$B$6:$M$6,0)),0))</f>
        <v/>
      </c>
      <c r="M202" s="13">
        <f>IF(H202="","",IF($D$18="LEGAL",0,$D$10))</f>
        <v/>
      </c>
      <c r="N202" s="13">
        <f>IF(H202="","",IF(AND($D$14="Sí",(L202+M202)&lt;0),0,L202+M202))</f>
        <v/>
      </c>
      <c r="O202" s="199">
        <f>IF(H202="","",$D$5*N202*J202/36500)</f>
        <v/>
      </c>
      <c r="P202" s="199">
        <f>IF(H202="","",$D$5+SUM($O$5:O202))</f>
        <v/>
      </c>
    </row>
    <row r="203">
      <c r="G203" s="11">
        <f>IF(H203="","",ROW()-4)</f>
        <v/>
      </c>
      <c r="H203" s="12">
        <f>IF(OR(I202="",I202&gt;=$D$7),"",I202)</f>
        <v/>
      </c>
      <c r="I203" s="12">
        <f>IF(H203="","",MIN(IF($D$18="LEGAL",DATE(YEAR(H203)+1,1,1),EDATE($D$12,$D$11*(INT((((YEAR(H203)-YEAR($D$12))*12+(MONTH(H203)-MONTH($D$12))-IF(DAY(H203)&lt;DAY($D$12),1,0))/$D$11))+1))),$D$7))</f>
        <v/>
      </c>
      <c r="J203" s="11">
        <f>IF(H203="","",I203-H203)</f>
        <v/>
      </c>
      <c r="K203" s="12">
        <f>IF(H203="","",IF($D$18="LEGAL",H203,EDATE(H203,-$D$13)))</f>
        <v/>
      </c>
      <c r="L203" s="13">
        <f>IF(H203="","",IFERROR(INDEX('Tipos BdE'!$B$7:$M$336,MATCH(DATE(YEAR(K203),MONTH(K203),1),'Tipos BdE'!$A$7:$A$336,1),MATCH($D$9,'Tipos BdE'!$B$6:$M$6,0)),0))</f>
        <v/>
      </c>
      <c r="M203" s="13">
        <f>IF(H203="","",IF($D$18="LEGAL",0,$D$10))</f>
        <v/>
      </c>
      <c r="N203" s="13">
        <f>IF(H203="","",IF(AND($D$14="Sí",(L203+M203)&lt;0),0,L203+M203))</f>
        <v/>
      </c>
      <c r="O203" s="199">
        <f>IF(H203="","",$D$5*N203*J203/36500)</f>
        <v/>
      </c>
      <c r="P203" s="199">
        <f>IF(H203="","",$D$5+SUM($O$5:O203))</f>
        <v/>
      </c>
    </row>
    <row r="204">
      <c r="G204" s="11">
        <f>IF(H204="","",ROW()-4)</f>
        <v/>
      </c>
      <c r="H204" s="12">
        <f>IF(OR(I203="",I203&gt;=$D$7),"",I203)</f>
        <v/>
      </c>
      <c r="I204" s="12">
        <f>IF(H204="","",MIN(IF($D$18="LEGAL",DATE(YEAR(H204)+1,1,1),EDATE($D$12,$D$11*(INT((((YEAR(H204)-YEAR($D$12))*12+(MONTH(H204)-MONTH($D$12))-IF(DAY(H204)&lt;DAY($D$12),1,0))/$D$11))+1))),$D$7))</f>
        <v/>
      </c>
      <c r="J204" s="11">
        <f>IF(H204="","",I204-H204)</f>
        <v/>
      </c>
      <c r="K204" s="12">
        <f>IF(H204="","",IF($D$18="LEGAL",H204,EDATE(H204,-$D$13)))</f>
        <v/>
      </c>
      <c r="L204" s="13">
        <f>IF(H204="","",IFERROR(INDEX('Tipos BdE'!$B$7:$M$336,MATCH(DATE(YEAR(K204),MONTH(K204),1),'Tipos BdE'!$A$7:$A$336,1),MATCH($D$9,'Tipos BdE'!$B$6:$M$6,0)),0))</f>
        <v/>
      </c>
      <c r="M204" s="13">
        <f>IF(H204="","",IF($D$18="LEGAL",0,$D$10))</f>
        <v/>
      </c>
      <c r="N204" s="13">
        <f>IF(H204="","",IF(AND($D$14="Sí",(L204+M204)&lt;0),0,L204+M204))</f>
        <v/>
      </c>
      <c r="O204" s="199">
        <f>IF(H204="","",$D$5*N204*J204/36500)</f>
        <v/>
      </c>
      <c r="P204" s="199">
        <f>IF(H204="","",$D$5+SUM($O$5:O204))</f>
        <v/>
      </c>
    </row>
    <row r="205">
      <c r="G205" s="11">
        <f>IF(H205="","",ROW()-4)</f>
        <v/>
      </c>
      <c r="H205" s="12">
        <f>IF(OR(I204="",I204&gt;=$D$7),"",I204)</f>
        <v/>
      </c>
      <c r="I205" s="12">
        <f>IF(H205="","",MIN(IF($D$18="LEGAL",DATE(YEAR(H205)+1,1,1),EDATE($D$12,$D$11*(INT((((YEAR(H205)-YEAR($D$12))*12+(MONTH(H205)-MONTH($D$12))-IF(DAY(H205)&lt;DAY($D$12),1,0))/$D$11))+1))),$D$7))</f>
        <v/>
      </c>
      <c r="J205" s="11">
        <f>IF(H205="","",I205-H205)</f>
        <v/>
      </c>
      <c r="K205" s="12">
        <f>IF(H205="","",IF($D$18="LEGAL",H205,EDATE(H205,-$D$13)))</f>
        <v/>
      </c>
      <c r="L205" s="13">
        <f>IF(H205="","",IFERROR(INDEX('Tipos BdE'!$B$7:$M$336,MATCH(DATE(YEAR(K205),MONTH(K205),1),'Tipos BdE'!$A$7:$A$336,1),MATCH($D$9,'Tipos BdE'!$B$6:$M$6,0)),0))</f>
        <v/>
      </c>
      <c r="M205" s="13">
        <f>IF(H205="","",IF($D$18="LEGAL",0,$D$10))</f>
        <v/>
      </c>
      <c r="N205" s="13">
        <f>IF(H205="","",IF(AND($D$14="Sí",(L205+M205)&lt;0),0,L205+M205))</f>
        <v/>
      </c>
      <c r="O205" s="199">
        <f>IF(H205="","",$D$5*N205*J205/36500)</f>
        <v/>
      </c>
      <c r="P205" s="199">
        <f>IF(H205="","",$D$5+SUM($O$5:O205))</f>
        <v/>
      </c>
    </row>
    <row r="206">
      <c r="G206" s="11">
        <f>IF(H206="","",ROW()-4)</f>
        <v/>
      </c>
      <c r="H206" s="12">
        <f>IF(OR(I205="",I205&gt;=$D$7),"",I205)</f>
        <v/>
      </c>
      <c r="I206" s="12">
        <f>IF(H206="","",MIN(IF($D$18="LEGAL",DATE(YEAR(H206)+1,1,1),EDATE($D$12,$D$11*(INT((((YEAR(H206)-YEAR($D$12))*12+(MONTH(H206)-MONTH($D$12))-IF(DAY(H206)&lt;DAY($D$12),1,0))/$D$11))+1))),$D$7))</f>
        <v/>
      </c>
      <c r="J206" s="11">
        <f>IF(H206="","",I206-H206)</f>
        <v/>
      </c>
      <c r="K206" s="12">
        <f>IF(H206="","",IF($D$18="LEGAL",H206,EDATE(H206,-$D$13)))</f>
        <v/>
      </c>
      <c r="L206" s="13">
        <f>IF(H206="","",IFERROR(INDEX('Tipos BdE'!$B$7:$M$336,MATCH(DATE(YEAR(K206),MONTH(K206),1),'Tipos BdE'!$A$7:$A$336,1),MATCH($D$9,'Tipos BdE'!$B$6:$M$6,0)),0))</f>
        <v/>
      </c>
      <c r="M206" s="13">
        <f>IF(H206="","",IF($D$18="LEGAL",0,$D$10))</f>
        <v/>
      </c>
      <c r="N206" s="13">
        <f>IF(H206="","",IF(AND($D$14="Sí",(L206+M206)&lt;0),0,L206+M206))</f>
        <v/>
      </c>
      <c r="O206" s="199">
        <f>IF(H206="","",$D$5*N206*J206/36500)</f>
        <v/>
      </c>
      <c r="P206" s="199">
        <f>IF(H206="","",$D$5+SUM($O$5:O206))</f>
        <v/>
      </c>
    </row>
    <row r="207">
      <c r="G207" s="11">
        <f>IF(H207="","",ROW()-4)</f>
        <v/>
      </c>
      <c r="H207" s="12">
        <f>IF(OR(I206="",I206&gt;=$D$7),"",I206)</f>
        <v/>
      </c>
      <c r="I207" s="12">
        <f>IF(H207="","",MIN(IF($D$18="LEGAL",DATE(YEAR(H207)+1,1,1),EDATE($D$12,$D$11*(INT((((YEAR(H207)-YEAR($D$12))*12+(MONTH(H207)-MONTH($D$12))-IF(DAY(H207)&lt;DAY($D$12),1,0))/$D$11))+1))),$D$7))</f>
        <v/>
      </c>
      <c r="J207" s="11">
        <f>IF(H207="","",I207-H207)</f>
        <v/>
      </c>
      <c r="K207" s="12">
        <f>IF(H207="","",IF($D$18="LEGAL",H207,EDATE(H207,-$D$13)))</f>
        <v/>
      </c>
      <c r="L207" s="13">
        <f>IF(H207="","",IFERROR(INDEX('Tipos BdE'!$B$7:$M$336,MATCH(DATE(YEAR(K207),MONTH(K207),1),'Tipos BdE'!$A$7:$A$336,1),MATCH($D$9,'Tipos BdE'!$B$6:$M$6,0)),0))</f>
        <v/>
      </c>
      <c r="M207" s="13">
        <f>IF(H207="","",IF($D$18="LEGAL",0,$D$10))</f>
        <v/>
      </c>
      <c r="N207" s="13">
        <f>IF(H207="","",IF(AND($D$14="Sí",(L207+M207)&lt;0),0,L207+M207))</f>
        <v/>
      </c>
      <c r="O207" s="199">
        <f>IF(H207="","",$D$5*N207*J207/36500)</f>
        <v/>
      </c>
      <c r="P207" s="199">
        <f>IF(H207="","",$D$5+SUM($O$5:O207))</f>
        <v/>
      </c>
    </row>
    <row r="208">
      <c r="G208" s="11">
        <f>IF(H208="","",ROW()-4)</f>
        <v/>
      </c>
      <c r="H208" s="12">
        <f>IF(OR(I207="",I207&gt;=$D$7),"",I207)</f>
        <v/>
      </c>
      <c r="I208" s="12">
        <f>IF(H208="","",MIN(IF($D$18="LEGAL",DATE(YEAR(H208)+1,1,1),EDATE($D$12,$D$11*(INT((((YEAR(H208)-YEAR($D$12))*12+(MONTH(H208)-MONTH($D$12))-IF(DAY(H208)&lt;DAY($D$12),1,0))/$D$11))+1))),$D$7))</f>
        <v/>
      </c>
      <c r="J208" s="11">
        <f>IF(H208="","",I208-H208)</f>
        <v/>
      </c>
      <c r="K208" s="12">
        <f>IF(H208="","",IF($D$18="LEGAL",H208,EDATE(H208,-$D$13)))</f>
        <v/>
      </c>
      <c r="L208" s="13">
        <f>IF(H208="","",IFERROR(INDEX('Tipos BdE'!$B$7:$M$336,MATCH(DATE(YEAR(K208),MONTH(K208),1),'Tipos BdE'!$A$7:$A$336,1),MATCH($D$9,'Tipos BdE'!$B$6:$M$6,0)),0))</f>
        <v/>
      </c>
      <c r="M208" s="13">
        <f>IF(H208="","",IF($D$18="LEGAL",0,$D$10))</f>
        <v/>
      </c>
      <c r="N208" s="13">
        <f>IF(H208="","",IF(AND($D$14="Sí",(L208+M208)&lt;0),0,L208+M208))</f>
        <v/>
      </c>
      <c r="O208" s="199">
        <f>IF(H208="","",$D$5*N208*J208/36500)</f>
        <v/>
      </c>
      <c r="P208" s="199">
        <f>IF(H208="","",$D$5+SUM($O$5:O208))</f>
        <v/>
      </c>
    </row>
    <row r="209">
      <c r="G209" s="11">
        <f>IF(H209="","",ROW()-4)</f>
        <v/>
      </c>
      <c r="H209" s="12">
        <f>IF(OR(I208="",I208&gt;=$D$7),"",I208)</f>
        <v/>
      </c>
      <c r="I209" s="12">
        <f>IF(H209="","",MIN(IF($D$18="LEGAL",DATE(YEAR(H209)+1,1,1),EDATE($D$12,$D$11*(INT((((YEAR(H209)-YEAR($D$12))*12+(MONTH(H209)-MONTH($D$12))-IF(DAY(H209)&lt;DAY($D$12),1,0))/$D$11))+1))),$D$7))</f>
        <v/>
      </c>
      <c r="J209" s="11">
        <f>IF(H209="","",I209-H209)</f>
        <v/>
      </c>
      <c r="K209" s="12">
        <f>IF(H209="","",IF($D$18="LEGAL",H209,EDATE(H209,-$D$13)))</f>
        <v/>
      </c>
      <c r="L209" s="13">
        <f>IF(H209="","",IFERROR(INDEX('Tipos BdE'!$B$7:$M$336,MATCH(DATE(YEAR(K209),MONTH(K209),1),'Tipos BdE'!$A$7:$A$336,1),MATCH($D$9,'Tipos BdE'!$B$6:$M$6,0)),0))</f>
        <v/>
      </c>
      <c r="M209" s="13">
        <f>IF(H209="","",IF($D$18="LEGAL",0,$D$10))</f>
        <v/>
      </c>
      <c r="N209" s="13">
        <f>IF(H209="","",IF(AND($D$14="Sí",(L209+M209)&lt;0),0,L209+M209))</f>
        <v/>
      </c>
      <c r="O209" s="199">
        <f>IF(H209="","",$D$5*N209*J209/36500)</f>
        <v/>
      </c>
      <c r="P209" s="199">
        <f>IF(H209="","",$D$5+SUM($O$5:O209))</f>
        <v/>
      </c>
    </row>
    <row r="210">
      <c r="G210" s="11">
        <f>IF(H210="","",ROW()-4)</f>
        <v/>
      </c>
      <c r="H210" s="12">
        <f>IF(OR(I209="",I209&gt;=$D$7),"",I209)</f>
        <v/>
      </c>
      <c r="I210" s="12">
        <f>IF(H210="","",MIN(IF($D$18="LEGAL",DATE(YEAR(H210)+1,1,1),EDATE($D$12,$D$11*(INT((((YEAR(H210)-YEAR($D$12))*12+(MONTH(H210)-MONTH($D$12))-IF(DAY(H210)&lt;DAY($D$12),1,0))/$D$11))+1))),$D$7))</f>
        <v/>
      </c>
      <c r="J210" s="11">
        <f>IF(H210="","",I210-H210)</f>
        <v/>
      </c>
      <c r="K210" s="12">
        <f>IF(H210="","",IF($D$18="LEGAL",H210,EDATE(H210,-$D$13)))</f>
        <v/>
      </c>
      <c r="L210" s="13">
        <f>IF(H210="","",IFERROR(INDEX('Tipos BdE'!$B$7:$M$336,MATCH(DATE(YEAR(K210),MONTH(K210),1),'Tipos BdE'!$A$7:$A$336,1),MATCH($D$9,'Tipos BdE'!$B$6:$M$6,0)),0))</f>
        <v/>
      </c>
      <c r="M210" s="13">
        <f>IF(H210="","",IF($D$18="LEGAL",0,$D$10))</f>
        <v/>
      </c>
      <c r="N210" s="13">
        <f>IF(H210="","",IF(AND($D$14="Sí",(L210+M210)&lt;0),0,L210+M210))</f>
        <v/>
      </c>
      <c r="O210" s="199">
        <f>IF(H210="","",$D$5*N210*J210/36500)</f>
        <v/>
      </c>
      <c r="P210" s="199">
        <f>IF(H210="","",$D$5+SUM($O$5:O210))</f>
        <v/>
      </c>
    </row>
    <row r="211">
      <c r="G211" s="11">
        <f>IF(H211="","",ROW()-4)</f>
        <v/>
      </c>
      <c r="H211" s="12">
        <f>IF(OR(I210="",I210&gt;=$D$7),"",I210)</f>
        <v/>
      </c>
      <c r="I211" s="12">
        <f>IF(H211="","",MIN(IF($D$18="LEGAL",DATE(YEAR(H211)+1,1,1),EDATE($D$12,$D$11*(INT((((YEAR(H211)-YEAR($D$12))*12+(MONTH(H211)-MONTH($D$12))-IF(DAY(H211)&lt;DAY($D$12),1,0))/$D$11))+1))),$D$7))</f>
        <v/>
      </c>
      <c r="J211" s="11">
        <f>IF(H211="","",I211-H211)</f>
        <v/>
      </c>
      <c r="K211" s="12">
        <f>IF(H211="","",IF($D$18="LEGAL",H211,EDATE(H211,-$D$13)))</f>
        <v/>
      </c>
      <c r="L211" s="13">
        <f>IF(H211="","",IFERROR(INDEX('Tipos BdE'!$B$7:$M$336,MATCH(DATE(YEAR(K211),MONTH(K211),1),'Tipos BdE'!$A$7:$A$336,1),MATCH($D$9,'Tipos BdE'!$B$6:$M$6,0)),0))</f>
        <v/>
      </c>
      <c r="M211" s="13">
        <f>IF(H211="","",IF($D$18="LEGAL",0,$D$10))</f>
        <v/>
      </c>
      <c r="N211" s="13">
        <f>IF(H211="","",IF(AND($D$14="Sí",(L211+M211)&lt;0),0,L211+M211))</f>
        <v/>
      </c>
      <c r="O211" s="199">
        <f>IF(H211="","",$D$5*N211*J211/36500)</f>
        <v/>
      </c>
      <c r="P211" s="199">
        <f>IF(H211="","",$D$5+SUM($O$5:O211))</f>
        <v/>
      </c>
    </row>
    <row r="212">
      <c r="G212" s="11">
        <f>IF(H212="","",ROW()-4)</f>
        <v/>
      </c>
      <c r="H212" s="12">
        <f>IF(OR(I211="",I211&gt;=$D$7),"",I211)</f>
        <v/>
      </c>
      <c r="I212" s="12">
        <f>IF(H212="","",MIN(IF($D$18="LEGAL",DATE(YEAR(H212)+1,1,1),EDATE($D$12,$D$11*(INT((((YEAR(H212)-YEAR($D$12))*12+(MONTH(H212)-MONTH($D$12))-IF(DAY(H212)&lt;DAY($D$12),1,0))/$D$11))+1))),$D$7))</f>
        <v/>
      </c>
      <c r="J212" s="11">
        <f>IF(H212="","",I212-H212)</f>
        <v/>
      </c>
      <c r="K212" s="12">
        <f>IF(H212="","",IF($D$18="LEGAL",H212,EDATE(H212,-$D$13)))</f>
        <v/>
      </c>
      <c r="L212" s="13">
        <f>IF(H212="","",IFERROR(INDEX('Tipos BdE'!$B$7:$M$336,MATCH(DATE(YEAR(K212),MONTH(K212),1),'Tipos BdE'!$A$7:$A$336,1),MATCH($D$9,'Tipos BdE'!$B$6:$M$6,0)),0))</f>
        <v/>
      </c>
      <c r="M212" s="13">
        <f>IF(H212="","",IF($D$18="LEGAL",0,$D$10))</f>
        <v/>
      </c>
      <c r="N212" s="13">
        <f>IF(H212="","",IF(AND($D$14="Sí",(L212+M212)&lt;0),0,L212+M212))</f>
        <v/>
      </c>
      <c r="O212" s="199">
        <f>IF(H212="","",$D$5*N212*J212/36500)</f>
        <v/>
      </c>
      <c r="P212" s="199">
        <f>IF(H212="","",$D$5+SUM($O$5:O212))</f>
        <v/>
      </c>
    </row>
    <row r="213">
      <c r="G213" s="11">
        <f>IF(H213="","",ROW()-4)</f>
        <v/>
      </c>
      <c r="H213" s="12">
        <f>IF(OR(I212="",I212&gt;=$D$7),"",I212)</f>
        <v/>
      </c>
      <c r="I213" s="12">
        <f>IF(H213="","",MIN(IF($D$18="LEGAL",DATE(YEAR(H213)+1,1,1),EDATE($D$12,$D$11*(INT((((YEAR(H213)-YEAR($D$12))*12+(MONTH(H213)-MONTH($D$12))-IF(DAY(H213)&lt;DAY($D$12),1,0))/$D$11))+1))),$D$7))</f>
        <v/>
      </c>
      <c r="J213" s="11">
        <f>IF(H213="","",I213-H213)</f>
        <v/>
      </c>
      <c r="K213" s="12">
        <f>IF(H213="","",IF($D$18="LEGAL",H213,EDATE(H213,-$D$13)))</f>
        <v/>
      </c>
      <c r="L213" s="13">
        <f>IF(H213="","",IFERROR(INDEX('Tipos BdE'!$B$7:$M$336,MATCH(DATE(YEAR(K213),MONTH(K213),1),'Tipos BdE'!$A$7:$A$336,1),MATCH($D$9,'Tipos BdE'!$B$6:$M$6,0)),0))</f>
        <v/>
      </c>
      <c r="M213" s="13">
        <f>IF(H213="","",IF($D$18="LEGAL",0,$D$10))</f>
        <v/>
      </c>
      <c r="N213" s="13">
        <f>IF(H213="","",IF(AND($D$14="Sí",(L213+M213)&lt;0),0,L213+M213))</f>
        <v/>
      </c>
      <c r="O213" s="199">
        <f>IF(H213="","",$D$5*N213*J213/36500)</f>
        <v/>
      </c>
      <c r="P213" s="199">
        <f>IF(H213="","",$D$5+SUM($O$5:O213))</f>
        <v/>
      </c>
    </row>
    <row r="214">
      <c r="G214" s="11">
        <f>IF(H214="","",ROW()-4)</f>
        <v/>
      </c>
      <c r="H214" s="12">
        <f>IF(OR(I213="",I213&gt;=$D$7),"",I213)</f>
        <v/>
      </c>
      <c r="I214" s="12">
        <f>IF(H214="","",MIN(IF($D$18="LEGAL",DATE(YEAR(H214)+1,1,1),EDATE($D$12,$D$11*(INT((((YEAR(H214)-YEAR($D$12))*12+(MONTH(H214)-MONTH($D$12))-IF(DAY(H214)&lt;DAY($D$12),1,0))/$D$11))+1))),$D$7))</f>
        <v/>
      </c>
      <c r="J214" s="11">
        <f>IF(H214="","",I214-H214)</f>
        <v/>
      </c>
      <c r="K214" s="12">
        <f>IF(H214="","",IF($D$18="LEGAL",H214,EDATE(H214,-$D$13)))</f>
        <v/>
      </c>
      <c r="L214" s="13">
        <f>IF(H214="","",IFERROR(INDEX('Tipos BdE'!$B$7:$M$336,MATCH(DATE(YEAR(K214),MONTH(K214),1),'Tipos BdE'!$A$7:$A$336,1),MATCH($D$9,'Tipos BdE'!$B$6:$M$6,0)),0))</f>
        <v/>
      </c>
      <c r="M214" s="13">
        <f>IF(H214="","",IF($D$18="LEGAL",0,$D$10))</f>
        <v/>
      </c>
      <c r="N214" s="13">
        <f>IF(H214="","",IF(AND($D$14="Sí",(L214+M214)&lt;0),0,L214+M214))</f>
        <v/>
      </c>
      <c r="O214" s="199">
        <f>IF(H214="","",$D$5*N214*J214/36500)</f>
        <v/>
      </c>
      <c r="P214" s="199">
        <f>IF(H214="","",$D$5+SUM($O$5:O214))</f>
        <v/>
      </c>
    </row>
    <row r="215">
      <c r="G215" s="11">
        <f>IF(H215="","",ROW()-4)</f>
        <v/>
      </c>
      <c r="H215" s="12">
        <f>IF(OR(I214="",I214&gt;=$D$7),"",I214)</f>
        <v/>
      </c>
      <c r="I215" s="12">
        <f>IF(H215="","",MIN(IF($D$18="LEGAL",DATE(YEAR(H215)+1,1,1),EDATE($D$12,$D$11*(INT((((YEAR(H215)-YEAR($D$12))*12+(MONTH(H215)-MONTH($D$12))-IF(DAY(H215)&lt;DAY($D$12),1,0))/$D$11))+1))),$D$7))</f>
        <v/>
      </c>
      <c r="J215" s="11">
        <f>IF(H215="","",I215-H215)</f>
        <v/>
      </c>
      <c r="K215" s="12">
        <f>IF(H215="","",IF($D$18="LEGAL",H215,EDATE(H215,-$D$13)))</f>
        <v/>
      </c>
      <c r="L215" s="13">
        <f>IF(H215="","",IFERROR(INDEX('Tipos BdE'!$B$7:$M$336,MATCH(DATE(YEAR(K215),MONTH(K215),1),'Tipos BdE'!$A$7:$A$336,1),MATCH($D$9,'Tipos BdE'!$B$6:$M$6,0)),0))</f>
        <v/>
      </c>
      <c r="M215" s="13">
        <f>IF(H215="","",IF($D$18="LEGAL",0,$D$10))</f>
        <v/>
      </c>
      <c r="N215" s="13">
        <f>IF(H215="","",IF(AND($D$14="Sí",(L215+M215)&lt;0),0,L215+M215))</f>
        <v/>
      </c>
      <c r="O215" s="199">
        <f>IF(H215="","",$D$5*N215*J215/36500)</f>
        <v/>
      </c>
      <c r="P215" s="199">
        <f>IF(H215="","",$D$5+SUM($O$5:O215))</f>
        <v/>
      </c>
    </row>
    <row r="216">
      <c r="G216" s="11">
        <f>IF(H216="","",ROW()-4)</f>
        <v/>
      </c>
      <c r="H216" s="12">
        <f>IF(OR(I215="",I215&gt;=$D$7),"",I215)</f>
        <v/>
      </c>
      <c r="I216" s="12">
        <f>IF(H216="","",MIN(IF($D$18="LEGAL",DATE(YEAR(H216)+1,1,1),EDATE($D$12,$D$11*(INT((((YEAR(H216)-YEAR($D$12))*12+(MONTH(H216)-MONTH($D$12))-IF(DAY(H216)&lt;DAY($D$12),1,0))/$D$11))+1))),$D$7))</f>
        <v/>
      </c>
      <c r="J216" s="11">
        <f>IF(H216="","",I216-H216)</f>
        <v/>
      </c>
      <c r="K216" s="12">
        <f>IF(H216="","",IF($D$18="LEGAL",H216,EDATE(H216,-$D$13)))</f>
        <v/>
      </c>
      <c r="L216" s="13">
        <f>IF(H216="","",IFERROR(INDEX('Tipos BdE'!$B$7:$M$336,MATCH(DATE(YEAR(K216),MONTH(K216),1),'Tipos BdE'!$A$7:$A$336,1),MATCH($D$9,'Tipos BdE'!$B$6:$M$6,0)),0))</f>
        <v/>
      </c>
      <c r="M216" s="13">
        <f>IF(H216="","",IF($D$18="LEGAL",0,$D$10))</f>
        <v/>
      </c>
      <c r="N216" s="13">
        <f>IF(H216="","",IF(AND($D$14="Sí",(L216+M216)&lt;0),0,L216+M216))</f>
        <v/>
      </c>
      <c r="O216" s="199">
        <f>IF(H216="","",$D$5*N216*J216/36500)</f>
        <v/>
      </c>
      <c r="P216" s="199">
        <f>IF(H216="","",$D$5+SUM($O$5:O216))</f>
        <v/>
      </c>
    </row>
    <row r="217">
      <c r="G217" s="11">
        <f>IF(H217="","",ROW()-4)</f>
        <v/>
      </c>
      <c r="H217" s="12">
        <f>IF(OR(I216="",I216&gt;=$D$7),"",I216)</f>
        <v/>
      </c>
      <c r="I217" s="12">
        <f>IF(H217="","",MIN(IF($D$18="LEGAL",DATE(YEAR(H217)+1,1,1),EDATE($D$12,$D$11*(INT((((YEAR(H217)-YEAR($D$12))*12+(MONTH(H217)-MONTH($D$12))-IF(DAY(H217)&lt;DAY($D$12),1,0))/$D$11))+1))),$D$7))</f>
        <v/>
      </c>
      <c r="J217" s="11">
        <f>IF(H217="","",I217-H217)</f>
        <v/>
      </c>
      <c r="K217" s="12">
        <f>IF(H217="","",IF($D$18="LEGAL",H217,EDATE(H217,-$D$13)))</f>
        <v/>
      </c>
      <c r="L217" s="13">
        <f>IF(H217="","",IFERROR(INDEX('Tipos BdE'!$B$7:$M$336,MATCH(DATE(YEAR(K217),MONTH(K217),1),'Tipos BdE'!$A$7:$A$336,1),MATCH($D$9,'Tipos BdE'!$B$6:$M$6,0)),0))</f>
        <v/>
      </c>
      <c r="M217" s="13">
        <f>IF(H217="","",IF($D$18="LEGAL",0,$D$10))</f>
        <v/>
      </c>
      <c r="N217" s="13">
        <f>IF(H217="","",IF(AND($D$14="Sí",(L217+M217)&lt;0),0,L217+M217))</f>
        <v/>
      </c>
      <c r="O217" s="199">
        <f>IF(H217="","",$D$5*N217*J217/36500)</f>
        <v/>
      </c>
      <c r="P217" s="199">
        <f>IF(H217="","",$D$5+SUM($O$5:O217))</f>
        <v/>
      </c>
    </row>
    <row r="218">
      <c r="G218" s="11">
        <f>IF(H218="","",ROW()-4)</f>
        <v/>
      </c>
      <c r="H218" s="12">
        <f>IF(OR(I217="",I217&gt;=$D$7),"",I217)</f>
        <v/>
      </c>
      <c r="I218" s="12">
        <f>IF(H218="","",MIN(IF($D$18="LEGAL",DATE(YEAR(H218)+1,1,1),EDATE($D$12,$D$11*(INT((((YEAR(H218)-YEAR($D$12))*12+(MONTH(H218)-MONTH($D$12))-IF(DAY(H218)&lt;DAY($D$12),1,0))/$D$11))+1))),$D$7))</f>
        <v/>
      </c>
      <c r="J218" s="11">
        <f>IF(H218="","",I218-H218)</f>
        <v/>
      </c>
      <c r="K218" s="12">
        <f>IF(H218="","",IF($D$18="LEGAL",H218,EDATE(H218,-$D$13)))</f>
        <v/>
      </c>
      <c r="L218" s="13">
        <f>IF(H218="","",IFERROR(INDEX('Tipos BdE'!$B$7:$M$336,MATCH(DATE(YEAR(K218),MONTH(K218),1),'Tipos BdE'!$A$7:$A$336,1),MATCH($D$9,'Tipos BdE'!$B$6:$M$6,0)),0))</f>
        <v/>
      </c>
      <c r="M218" s="13">
        <f>IF(H218="","",IF($D$18="LEGAL",0,$D$10))</f>
        <v/>
      </c>
      <c r="N218" s="13">
        <f>IF(H218="","",IF(AND($D$14="Sí",(L218+M218)&lt;0),0,L218+M218))</f>
        <v/>
      </c>
      <c r="O218" s="199">
        <f>IF(H218="","",$D$5*N218*J218/36500)</f>
        <v/>
      </c>
      <c r="P218" s="199">
        <f>IF(H218="","",$D$5+SUM($O$5:O218))</f>
        <v/>
      </c>
    </row>
    <row r="219">
      <c r="G219" s="11">
        <f>IF(H219="","",ROW()-4)</f>
        <v/>
      </c>
      <c r="H219" s="12">
        <f>IF(OR(I218="",I218&gt;=$D$7),"",I218)</f>
        <v/>
      </c>
      <c r="I219" s="12">
        <f>IF(H219="","",MIN(IF($D$18="LEGAL",DATE(YEAR(H219)+1,1,1),EDATE($D$12,$D$11*(INT((((YEAR(H219)-YEAR($D$12))*12+(MONTH(H219)-MONTH($D$12))-IF(DAY(H219)&lt;DAY($D$12),1,0))/$D$11))+1))),$D$7))</f>
        <v/>
      </c>
      <c r="J219" s="11">
        <f>IF(H219="","",I219-H219)</f>
        <v/>
      </c>
      <c r="K219" s="12">
        <f>IF(H219="","",IF($D$18="LEGAL",H219,EDATE(H219,-$D$13)))</f>
        <v/>
      </c>
      <c r="L219" s="13">
        <f>IF(H219="","",IFERROR(INDEX('Tipos BdE'!$B$7:$M$336,MATCH(DATE(YEAR(K219),MONTH(K219),1),'Tipos BdE'!$A$7:$A$336,1),MATCH($D$9,'Tipos BdE'!$B$6:$M$6,0)),0))</f>
        <v/>
      </c>
      <c r="M219" s="13">
        <f>IF(H219="","",IF($D$18="LEGAL",0,$D$10))</f>
        <v/>
      </c>
      <c r="N219" s="13">
        <f>IF(H219="","",IF(AND($D$14="Sí",(L219+M219)&lt;0),0,L219+M219))</f>
        <v/>
      </c>
      <c r="O219" s="199">
        <f>IF(H219="","",$D$5*N219*J219/36500)</f>
        <v/>
      </c>
      <c r="P219" s="199">
        <f>IF(H219="","",$D$5+SUM($O$5:O219))</f>
        <v/>
      </c>
    </row>
    <row r="220">
      <c r="G220" s="11">
        <f>IF(H220="","",ROW()-4)</f>
        <v/>
      </c>
      <c r="H220" s="12">
        <f>IF(OR(I219="",I219&gt;=$D$7),"",I219)</f>
        <v/>
      </c>
      <c r="I220" s="12">
        <f>IF(H220="","",MIN(IF($D$18="LEGAL",DATE(YEAR(H220)+1,1,1),EDATE($D$12,$D$11*(INT((((YEAR(H220)-YEAR($D$12))*12+(MONTH(H220)-MONTH($D$12))-IF(DAY(H220)&lt;DAY($D$12),1,0))/$D$11))+1))),$D$7))</f>
        <v/>
      </c>
      <c r="J220" s="11">
        <f>IF(H220="","",I220-H220)</f>
        <v/>
      </c>
      <c r="K220" s="12">
        <f>IF(H220="","",IF($D$18="LEGAL",H220,EDATE(H220,-$D$13)))</f>
        <v/>
      </c>
      <c r="L220" s="13">
        <f>IF(H220="","",IFERROR(INDEX('Tipos BdE'!$B$7:$M$336,MATCH(DATE(YEAR(K220),MONTH(K220),1),'Tipos BdE'!$A$7:$A$336,1),MATCH($D$9,'Tipos BdE'!$B$6:$M$6,0)),0))</f>
        <v/>
      </c>
      <c r="M220" s="13">
        <f>IF(H220="","",IF($D$18="LEGAL",0,$D$10))</f>
        <v/>
      </c>
      <c r="N220" s="13">
        <f>IF(H220="","",IF(AND($D$14="Sí",(L220+M220)&lt;0),0,L220+M220))</f>
        <v/>
      </c>
      <c r="O220" s="199">
        <f>IF(H220="","",$D$5*N220*J220/36500)</f>
        <v/>
      </c>
      <c r="P220" s="199">
        <f>IF(H220="","",$D$5+SUM($O$5:O220))</f>
        <v/>
      </c>
    </row>
    <row r="221">
      <c r="G221" s="11">
        <f>IF(H221="","",ROW()-4)</f>
        <v/>
      </c>
      <c r="H221" s="12">
        <f>IF(OR(I220="",I220&gt;=$D$7),"",I220)</f>
        <v/>
      </c>
      <c r="I221" s="12">
        <f>IF(H221="","",MIN(IF($D$18="LEGAL",DATE(YEAR(H221)+1,1,1),EDATE($D$12,$D$11*(INT((((YEAR(H221)-YEAR($D$12))*12+(MONTH(H221)-MONTH($D$12))-IF(DAY(H221)&lt;DAY($D$12),1,0))/$D$11))+1))),$D$7))</f>
        <v/>
      </c>
      <c r="J221" s="11">
        <f>IF(H221="","",I221-H221)</f>
        <v/>
      </c>
      <c r="K221" s="12">
        <f>IF(H221="","",IF($D$18="LEGAL",H221,EDATE(H221,-$D$13)))</f>
        <v/>
      </c>
      <c r="L221" s="13">
        <f>IF(H221="","",IFERROR(INDEX('Tipos BdE'!$B$7:$M$336,MATCH(DATE(YEAR(K221),MONTH(K221),1),'Tipos BdE'!$A$7:$A$336,1),MATCH($D$9,'Tipos BdE'!$B$6:$M$6,0)),0))</f>
        <v/>
      </c>
      <c r="M221" s="13">
        <f>IF(H221="","",IF($D$18="LEGAL",0,$D$10))</f>
        <v/>
      </c>
      <c r="N221" s="13">
        <f>IF(H221="","",IF(AND($D$14="Sí",(L221+M221)&lt;0),0,L221+M221))</f>
        <v/>
      </c>
      <c r="O221" s="199">
        <f>IF(H221="","",$D$5*N221*J221/36500)</f>
        <v/>
      </c>
      <c r="P221" s="199">
        <f>IF(H221="","",$D$5+SUM($O$5:O221))</f>
        <v/>
      </c>
    </row>
    <row r="222">
      <c r="G222" s="11">
        <f>IF(H222="","",ROW()-4)</f>
        <v/>
      </c>
      <c r="H222" s="12">
        <f>IF(OR(I221="",I221&gt;=$D$7),"",I221)</f>
        <v/>
      </c>
      <c r="I222" s="12">
        <f>IF(H222="","",MIN(IF($D$18="LEGAL",DATE(YEAR(H222)+1,1,1),EDATE($D$12,$D$11*(INT((((YEAR(H222)-YEAR($D$12))*12+(MONTH(H222)-MONTH($D$12))-IF(DAY(H222)&lt;DAY($D$12),1,0))/$D$11))+1))),$D$7))</f>
        <v/>
      </c>
      <c r="J222" s="11">
        <f>IF(H222="","",I222-H222)</f>
        <v/>
      </c>
      <c r="K222" s="12">
        <f>IF(H222="","",IF($D$18="LEGAL",H222,EDATE(H222,-$D$13)))</f>
        <v/>
      </c>
      <c r="L222" s="13">
        <f>IF(H222="","",IFERROR(INDEX('Tipos BdE'!$B$7:$M$336,MATCH(DATE(YEAR(K222),MONTH(K222),1),'Tipos BdE'!$A$7:$A$336,1),MATCH($D$9,'Tipos BdE'!$B$6:$M$6,0)),0))</f>
        <v/>
      </c>
      <c r="M222" s="13">
        <f>IF(H222="","",IF($D$18="LEGAL",0,$D$10))</f>
        <v/>
      </c>
      <c r="N222" s="13">
        <f>IF(H222="","",IF(AND($D$14="Sí",(L222+M222)&lt;0),0,L222+M222))</f>
        <v/>
      </c>
      <c r="O222" s="199">
        <f>IF(H222="","",$D$5*N222*J222/36500)</f>
        <v/>
      </c>
      <c r="P222" s="199">
        <f>IF(H222="","",$D$5+SUM($O$5:O222))</f>
        <v/>
      </c>
    </row>
    <row r="223">
      <c r="G223" s="11">
        <f>IF(H223="","",ROW()-4)</f>
        <v/>
      </c>
      <c r="H223" s="12">
        <f>IF(OR(I222="",I222&gt;=$D$7),"",I222)</f>
        <v/>
      </c>
      <c r="I223" s="12">
        <f>IF(H223="","",MIN(IF($D$18="LEGAL",DATE(YEAR(H223)+1,1,1),EDATE($D$12,$D$11*(INT((((YEAR(H223)-YEAR($D$12))*12+(MONTH(H223)-MONTH($D$12))-IF(DAY(H223)&lt;DAY($D$12),1,0))/$D$11))+1))),$D$7))</f>
        <v/>
      </c>
      <c r="J223" s="11">
        <f>IF(H223="","",I223-H223)</f>
        <v/>
      </c>
      <c r="K223" s="12">
        <f>IF(H223="","",IF($D$18="LEGAL",H223,EDATE(H223,-$D$13)))</f>
        <v/>
      </c>
      <c r="L223" s="13">
        <f>IF(H223="","",IFERROR(INDEX('Tipos BdE'!$B$7:$M$336,MATCH(DATE(YEAR(K223),MONTH(K223),1),'Tipos BdE'!$A$7:$A$336,1),MATCH($D$9,'Tipos BdE'!$B$6:$M$6,0)),0))</f>
        <v/>
      </c>
      <c r="M223" s="13">
        <f>IF(H223="","",IF($D$18="LEGAL",0,$D$10))</f>
        <v/>
      </c>
      <c r="N223" s="13">
        <f>IF(H223="","",IF(AND($D$14="Sí",(L223+M223)&lt;0),0,L223+M223))</f>
        <v/>
      </c>
      <c r="O223" s="199">
        <f>IF(H223="","",$D$5*N223*J223/36500)</f>
        <v/>
      </c>
      <c r="P223" s="199">
        <f>IF(H223="","",$D$5+SUM($O$5:O223))</f>
        <v/>
      </c>
    </row>
    <row r="224">
      <c r="G224" s="11">
        <f>IF(H224="","",ROW()-4)</f>
        <v/>
      </c>
      <c r="H224" s="12">
        <f>IF(OR(I223="",I223&gt;=$D$7),"",I223)</f>
        <v/>
      </c>
      <c r="I224" s="12">
        <f>IF(H224="","",MIN(IF($D$18="LEGAL",DATE(YEAR(H224)+1,1,1),EDATE($D$12,$D$11*(INT((((YEAR(H224)-YEAR($D$12))*12+(MONTH(H224)-MONTH($D$12))-IF(DAY(H224)&lt;DAY($D$12),1,0))/$D$11))+1))),$D$7))</f>
        <v/>
      </c>
      <c r="J224" s="11">
        <f>IF(H224="","",I224-H224)</f>
        <v/>
      </c>
      <c r="K224" s="12">
        <f>IF(H224="","",IF($D$18="LEGAL",H224,EDATE(H224,-$D$13)))</f>
        <v/>
      </c>
      <c r="L224" s="13">
        <f>IF(H224="","",IFERROR(INDEX('Tipos BdE'!$B$7:$M$336,MATCH(DATE(YEAR(K224),MONTH(K224),1),'Tipos BdE'!$A$7:$A$336,1),MATCH($D$9,'Tipos BdE'!$B$6:$M$6,0)),0))</f>
        <v/>
      </c>
      <c r="M224" s="13">
        <f>IF(H224="","",IF($D$18="LEGAL",0,$D$10))</f>
        <v/>
      </c>
      <c r="N224" s="13">
        <f>IF(H224="","",IF(AND($D$14="Sí",(L224+M224)&lt;0),0,L224+M224))</f>
        <v/>
      </c>
      <c r="O224" s="199">
        <f>IF(H224="","",$D$5*N224*J224/36500)</f>
        <v/>
      </c>
      <c r="P224" s="199">
        <f>IF(H224="","",$D$5+SUM($O$5:O224))</f>
        <v/>
      </c>
    </row>
    <row r="225">
      <c r="G225" s="11">
        <f>IF(H225="","",ROW()-4)</f>
        <v/>
      </c>
      <c r="H225" s="12">
        <f>IF(OR(I224="",I224&gt;=$D$7),"",I224)</f>
        <v/>
      </c>
      <c r="I225" s="12">
        <f>IF(H225="","",MIN(IF($D$18="LEGAL",DATE(YEAR(H225)+1,1,1),EDATE($D$12,$D$11*(INT((((YEAR(H225)-YEAR($D$12))*12+(MONTH(H225)-MONTH($D$12))-IF(DAY(H225)&lt;DAY($D$12),1,0))/$D$11))+1))),$D$7))</f>
        <v/>
      </c>
      <c r="J225" s="11">
        <f>IF(H225="","",I225-H225)</f>
        <v/>
      </c>
      <c r="K225" s="12">
        <f>IF(H225="","",IF($D$18="LEGAL",H225,EDATE(H225,-$D$13)))</f>
        <v/>
      </c>
      <c r="L225" s="13">
        <f>IF(H225="","",IFERROR(INDEX('Tipos BdE'!$B$7:$M$336,MATCH(DATE(YEAR(K225),MONTH(K225),1),'Tipos BdE'!$A$7:$A$336,1),MATCH($D$9,'Tipos BdE'!$B$6:$M$6,0)),0))</f>
        <v/>
      </c>
      <c r="M225" s="13">
        <f>IF(H225="","",IF($D$18="LEGAL",0,$D$10))</f>
        <v/>
      </c>
      <c r="N225" s="13">
        <f>IF(H225="","",IF(AND($D$14="Sí",(L225+M225)&lt;0),0,L225+M225))</f>
        <v/>
      </c>
      <c r="O225" s="199">
        <f>IF(H225="","",$D$5*N225*J225/36500)</f>
        <v/>
      </c>
      <c r="P225" s="199">
        <f>IF(H225="","",$D$5+SUM($O$5:O225))</f>
        <v/>
      </c>
    </row>
    <row r="226">
      <c r="G226" s="11">
        <f>IF(H226="","",ROW()-4)</f>
        <v/>
      </c>
      <c r="H226" s="12">
        <f>IF(OR(I225="",I225&gt;=$D$7),"",I225)</f>
        <v/>
      </c>
      <c r="I226" s="12">
        <f>IF(H226="","",MIN(IF($D$18="LEGAL",DATE(YEAR(H226)+1,1,1),EDATE($D$12,$D$11*(INT((((YEAR(H226)-YEAR($D$12))*12+(MONTH(H226)-MONTH($D$12))-IF(DAY(H226)&lt;DAY($D$12),1,0))/$D$11))+1))),$D$7))</f>
        <v/>
      </c>
      <c r="J226" s="11">
        <f>IF(H226="","",I226-H226)</f>
        <v/>
      </c>
      <c r="K226" s="12">
        <f>IF(H226="","",IF($D$18="LEGAL",H226,EDATE(H226,-$D$13)))</f>
        <v/>
      </c>
      <c r="L226" s="13">
        <f>IF(H226="","",IFERROR(INDEX('Tipos BdE'!$B$7:$M$336,MATCH(DATE(YEAR(K226),MONTH(K226),1),'Tipos BdE'!$A$7:$A$336,1),MATCH($D$9,'Tipos BdE'!$B$6:$M$6,0)),0))</f>
        <v/>
      </c>
      <c r="M226" s="13">
        <f>IF(H226="","",IF($D$18="LEGAL",0,$D$10))</f>
        <v/>
      </c>
      <c r="N226" s="13">
        <f>IF(H226="","",IF(AND($D$14="Sí",(L226+M226)&lt;0),0,L226+M226))</f>
        <v/>
      </c>
      <c r="O226" s="199">
        <f>IF(H226="","",$D$5*N226*J226/36500)</f>
        <v/>
      </c>
      <c r="P226" s="199">
        <f>IF(H226="","",$D$5+SUM($O$5:O226))</f>
        <v/>
      </c>
    </row>
    <row r="227">
      <c r="G227" s="11">
        <f>IF(H227="","",ROW()-4)</f>
        <v/>
      </c>
      <c r="H227" s="12">
        <f>IF(OR(I226="",I226&gt;=$D$7),"",I226)</f>
        <v/>
      </c>
      <c r="I227" s="12">
        <f>IF(H227="","",MIN(IF($D$18="LEGAL",DATE(YEAR(H227)+1,1,1),EDATE($D$12,$D$11*(INT((((YEAR(H227)-YEAR($D$12))*12+(MONTH(H227)-MONTH($D$12))-IF(DAY(H227)&lt;DAY($D$12),1,0))/$D$11))+1))),$D$7))</f>
        <v/>
      </c>
      <c r="J227" s="11">
        <f>IF(H227="","",I227-H227)</f>
        <v/>
      </c>
      <c r="K227" s="12">
        <f>IF(H227="","",IF($D$18="LEGAL",H227,EDATE(H227,-$D$13)))</f>
        <v/>
      </c>
      <c r="L227" s="13">
        <f>IF(H227="","",IFERROR(INDEX('Tipos BdE'!$B$7:$M$336,MATCH(DATE(YEAR(K227),MONTH(K227),1),'Tipos BdE'!$A$7:$A$336,1),MATCH($D$9,'Tipos BdE'!$B$6:$M$6,0)),0))</f>
        <v/>
      </c>
      <c r="M227" s="13">
        <f>IF(H227="","",IF($D$18="LEGAL",0,$D$10))</f>
        <v/>
      </c>
      <c r="N227" s="13">
        <f>IF(H227="","",IF(AND($D$14="Sí",(L227+M227)&lt;0),0,L227+M227))</f>
        <v/>
      </c>
      <c r="O227" s="199">
        <f>IF(H227="","",$D$5*N227*J227/36500)</f>
        <v/>
      </c>
      <c r="P227" s="199">
        <f>IF(H227="","",$D$5+SUM($O$5:O227))</f>
        <v/>
      </c>
    </row>
    <row r="228">
      <c r="G228" s="11">
        <f>IF(H228="","",ROW()-4)</f>
        <v/>
      </c>
      <c r="H228" s="12">
        <f>IF(OR(I227="",I227&gt;=$D$7),"",I227)</f>
        <v/>
      </c>
      <c r="I228" s="12">
        <f>IF(H228="","",MIN(IF($D$18="LEGAL",DATE(YEAR(H228)+1,1,1),EDATE($D$12,$D$11*(INT((((YEAR(H228)-YEAR($D$12))*12+(MONTH(H228)-MONTH($D$12))-IF(DAY(H228)&lt;DAY($D$12),1,0))/$D$11))+1))),$D$7))</f>
        <v/>
      </c>
      <c r="J228" s="11">
        <f>IF(H228="","",I228-H228)</f>
        <v/>
      </c>
      <c r="K228" s="12">
        <f>IF(H228="","",IF($D$18="LEGAL",H228,EDATE(H228,-$D$13)))</f>
        <v/>
      </c>
      <c r="L228" s="13">
        <f>IF(H228="","",IFERROR(INDEX('Tipos BdE'!$B$7:$M$336,MATCH(DATE(YEAR(K228),MONTH(K228),1),'Tipos BdE'!$A$7:$A$336,1),MATCH($D$9,'Tipos BdE'!$B$6:$M$6,0)),0))</f>
        <v/>
      </c>
      <c r="M228" s="13">
        <f>IF(H228="","",IF($D$18="LEGAL",0,$D$10))</f>
        <v/>
      </c>
      <c r="N228" s="13">
        <f>IF(H228="","",IF(AND($D$14="Sí",(L228+M228)&lt;0),0,L228+M228))</f>
        <v/>
      </c>
      <c r="O228" s="199">
        <f>IF(H228="","",$D$5*N228*J228/36500)</f>
        <v/>
      </c>
      <c r="P228" s="199">
        <f>IF(H228="","",$D$5+SUM($O$5:O228))</f>
        <v/>
      </c>
    </row>
    <row r="229">
      <c r="G229" s="11">
        <f>IF(H229="","",ROW()-4)</f>
        <v/>
      </c>
      <c r="H229" s="12">
        <f>IF(OR(I228="",I228&gt;=$D$7),"",I228)</f>
        <v/>
      </c>
      <c r="I229" s="12">
        <f>IF(H229="","",MIN(IF($D$18="LEGAL",DATE(YEAR(H229)+1,1,1),EDATE($D$12,$D$11*(INT((((YEAR(H229)-YEAR($D$12))*12+(MONTH(H229)-MONTH($D$12))-IF(DAY(H229)&lt;DAY($D$12),1,0))/$D$11))+1))),$D$7))</f>
        <v/>
      </c>
      <c r="J229" s="11">
        <f>IF(H229="","",I229-H229)</f>
        <v/>
      </c>
      <c r="K229" s="12">
        <f>IF(H229="","",IF($D$18="LEGAL",H229,EDATE(H229,-$D$13)))</f>
        <v/>
      </c>
      <c r="L229" s="13">
        <f>IF(H229="","",IFERROR(INDEX('Tipos BdE'!$B$7:$M$336,MATCH(DATE(YEAR(K229),MONTH(K229),1),'Tipos BdE'!$A$7:$A$336,1),MATCH($D$9,'Tipos BdE'!$B$6:$M$6,0)),0))</f>
        <v/>
      </c>
      <c r="M229" s="13">
        <f>IF(H229="","",IF($D$18="LEGAL",0,$D$10))</f>
        <v/>
      </c>
      <c r="N229" s="13">
        <f>IF(H229="","",IF(AND($D$14="Sí",(L229+M229)&lt;0),0,L229+M229))</f>
        <v/>
      </c>
      <c r="O229" s="199">
        <f>IF(H229="","",$D$5*N229*J229/36500)</f>
        <v/>
      </c>
      <c r="P229" s="199">
        <f>IF(H229="","",$D$5+SUM($O$5:O229))</f>
        <v/>
      </c>
    </row>
    <row r="230">
      <c r="G230" s="11">
        <f>IF(H230="","",ROW()-4)</f>
        <v/>
      </c>
      <c r="H230" s="12">
        <f>IF(OR(I229="",I229&gt;=$D$7),"",I229)</f>
        <v/>
      </c>
      <c r="I230" s="12">
        <f>IF(H230="","",MIN(IF($D$18="LEGAL",DATE(YEAR(H230)+1,1,1),EDATE($D$12,$D$11*(INT((((YEAR(H230)-YEAR($D$12))*12+(MONTH(H230)-MONTH($D$12))-IF(DAY(H230)&lt;DAY($D$12),1,0))/$D$11))+1))),$D$7))</f>
        <v/>
      </c>
      <c r="J230" s="11">
        <f>IF(H230="","",I230-H230)</f>
        <v/>
      </c>
      <c r="K230" s="12">
        <f>IF(H230="","",IF($D$18="LEGAL",H230,EDATE(H230,-$D$13)))</f>
        <v/>
      </c>
      <c r="L230" s="13">
        <f>IF(H230="","",IFERROR(INDEX('Tipos BdE'!$B$7:$M$336,MATCH(DATE(YEAR(K230),MONTH(K230),1),'Tipos BdE'!$A$7:$A$336,1),MATCH($D$9,'Tipos BdE'!$B$6:$M$6,0)),0))</f>
        <v/>
      </c>
      <c r="M230" s="13">
        <f>IF(H230="","",IF($D$18="LEGAL",0,$D$10))</f>
        <v/>
      </c>
      <c r="N230" s="13">
        <f>IF(H230="","",IF(AND($D$14="Sí",(L230+M230)&lt;0),0,L230+M230))</f>
        <v/>
      </c>
      <c r="O230" s="199">
        <f>IF(H230="","",$D$5*N230*J230/36500)</f>
        <v/>
      </c>
      <c r="P230" s="199">
        <f>IF(H230="","",$D$5+SUM($O$5:O230))</f>
        <v/>
      </c>
    </row>
    <row r="231">
      <c r="G231" s="11">
        <f>IF(H231="","",ROW()-4)</f>
        <v/>
      </c>
      <c r="H231" s="12">
        <f>IF(OR(I230="",I230&gt;=$D$7),"",I230)</f>
        <v/>
      </c>
      <c r="I231" s="12">
        <f>IF(H231="","",MIN(IF($D$18="LEGAL",DATE(YEAR(H231)+1,1,1),EDATE($D$12,$D$11*(INT((((YEAR(H231)-YEAR($D$12))*12+(MONTH(H231)-MONTH($D$12))-IF(DAY(H231)&lt;DAY($D$12),1,0))/$D$11))+1))),$D$7))</f>
        <v/>
      </c>
      <c r="J231" s="11">
        <f>IF(H231="","",I231-H231)</f>
        <v/>
      </c>
      <c r="K231" s="12">
        <f>IF(H231="","",IF($D$18="LEGAL",H231,EDATE(H231,-$D$13)))</f>
        <v/>
      </c>
      <c r="L231" s="13">
        <f>IF(H231="","",IFERROR(INDEX('Tipos BdE'!$B$7:$M$336,MATCH(DATE(YEAR(K231),MONTH(K231),1),'Tipos BdE'!$A$7:$A$336,1),MATCH($D$9,'Tipos BdE'!$B$6:$M$6,0)),0))</f>
        <v/>
      </c>
      <c r="M231" s="13">
        <f>IF(H231="","",IF($D$18="LEGAL",0,$D$10))</f>
        <v/>
      </c>
      <c r="N231" s="13">
        <f>IF(H231="","",IF(AND($D$14="Sí",(L231+M231)&lt;0),0,L231+M231))</f>
        <v/>
      </c>
      <c r="O231" s="199">
        <f>IF(H231="","",$D$5*N231*J231/36500)</f>
        <v/>
      </c>
      <c r="P231" s="199">
        <f>IF(H231="","",$D$5+SUM($O$5:O231))</f>
        <v/>
      </c>
    </row>
    <row r="232">
      <c r="G232" s="11">
        <f>IF(H232="","",ROW()-4)</f>
        <v/>
      </c>
      <c r="H232" s="12">
        <f>IF(OR(I231="",I231&gt;=$D$7),"",I231)</f>
        <v/>
      </c>
      <c r="I232" s="12">
        <f>IF(H232="","",MIN(IF($D$18="LEGAL",DATE(YEAR(H232)+1,1,1),EDATE($D$12,$D$11*(INT((((YEAR(H232)-YEAR($D$12))*12+(MONTH(H232)-MONTH($D$12))-IF(DAY(H232)&lt;DAY($D$12),1,0))/$D$11))+1))),$D$7))</f>
        <v/>
      </c>
      <c r="J232" s="11">
        <f>IF(H232="","",I232-H232)</f>
        <v/>
      </c>
      <c r="K232" s="12">
        <f>IF(H232="","",IF($D$18="LEGAL",H232,EDATE(H232,-$D$13)))</f>
        <v/>
      </c>
      <c r="L232" s="13">
        <f>IF(H232="","",IFERROR(INDEX('Tipos BdE'!$B$7:$M$336,MATCH(DATE(YEAR(K232),MONTH(K232),1),'Tipos BdE'!$A$7:$A$336,1),MATCH($D$9,'Tipos BdE'!$B$6:$M$6,0)),0))</f>
        <v/>
      </c>
      <c r="M232" s="13">
        <f>IF(H232="","",IF($D$18="LEGAL",0,$D$10))</f>
        <v/>
      </c>
      <c r="N232" s="13">
        <f>IF(H232="","",IF(AND($D$14="Sí",(L232+M232)&lt;0),0,L232+M232))</f>
        <v/>
      </c>
      <c r="O232" s="199">
        <f>IF(H232="","",$D$5*N232*J232/36500)</f>
        <v/>
      </c>
      <c r="P232" s="199">
        <f>IF(H232="","",$D$5+SUM($O$5:O232))</f>
        <v/>
      </c>
    </row>
    <row r="233">
      <c r="G233" s="11">
        <f>IF(H233="","",ROW()-4)</f>
        <v/>
      </c>
      <c r="H233" s="12">
        <f>IF(OR(I232="",I232&gt;=$D$7),"",I232)</f>
        <v/>
      </c>
      <c r="I233" s="12">
        <f>IF(H233="","",MIN(IF($D$18="LEGAL",DATE(YEAR(H233)+1,1,1),EDATE($D$12,$D$11*(INT((((YEAR(H233)-YEAR($D$12))*12+(MONTH(H233)-MONTH($D$12))-IF(DAY(H233)&lt;DAY($D$12),1,0))/$D$11))+1))),$D$7))</f>
        <v/>
      </c>
      <c r="J233" s="11">
        <f>IF(H233="","",I233-H233)</f>
        <v/>
      </c>
      <c r="K233" s="12">
        <f>IF(H233="","",IF($D$18="LEGAL",H233,EDATE(H233,-$D$13)))</f>
        <v/>
      </c>
      <c r="L233" s="13">
        <f>IF(H233="","",IFERROR(INDEX('Tipos BdE'!$B$7:$M$336,MATCH(DATE(YEAR(K233),MONTH(K233),1),'Tipos BdE'!$A$7:$A$336,1),MATCH($D$9,'Tipos BdE'!$B$6:$M$6,0)),0))</f>
        <v/>
      </c>
      <c r="M233" s="13">
        <f>IF(H233="","",IF($D$18="LEGAL",0,$D$10))</f>
        <v/>
      </c>
      <c r="N233" s="13">
        <f>IF(H233="","",IF(AND($D$14="Sí",(L233+M233)&lt;0),0,L233+M233))</f>
        <v/>
      </c>
      <c r="O233" s="199">
        <f>IF(H233="","",$D$5*N233*J233/36500)</f>
        <v/>
      </c>
      <c r="P233" s="199">
        <f>IF(H233="","",$D$5+SUM($O$5:O233))</f>
        <v/>
      </c>
    </row>
    <row r="234">
      <c r="G234" s="11">
        <f>IF(H234="","",ROW()-4)</f>
        <v/>
      </c>
      <c r="H234" s="12">
        <f>IF(OR(I233="",I233&gt;=$D$7),"",I233)</f>
        <v/>
      </c>
      <c r="I234" s="12">
        <f>IF(H234="","",MIN(IF($D$18="LEGAL",DATE(YEAR(H234)+1,1,1),EDATE($D$12,$D$11*(INT((((YEAR(H234)-YEAR($D$12))*12+(MONTH(H234)-MONTH($D$12))-IF(DAY(H234)&lt;DAY($D$12),1,0))/$D$11))+1))),$D$7))</f>
        <v/>
      </c>
      <c r="J234" s="11">
        <f>IF(H234="","",I234-H234)</f>
        <v/>
      </c>
      <c r="K234" s="12">
        <f>IF(H234="","",IF($D$18="LEGAL",H234,EDATE(H234,-$D$13)))</f>
        <v/>
      </c>
      <c r="L234" s="13">
        <f>IF(H234="","",IFERROR(INDEX('Tipos BdE'!$B$7:$M$336,MATCH(DATE(YEAR(K234),MONTH(K234),1),'Tipos BdE'!$A$7:$A$336,1),MATCH($D$9,'Tipos BdE'!$B$6:$M$6,0)),0))</f>
        <v/>
      </c>
      <c r="M234" s="13">
        <f>IF(H234="","",IF($D$18="LEGAL",0,$D$10))</f>
        <v/>
      </c>
      <c r="N234" s="13">
        <f>IF(H234="","",IF(AND($D$14="Sí",(L234+M234)&lt;0),0,L234+M234))</f>
        <v/>
      </c>
      <c r="O234" s="199">
        <f>IF(H234="","",$D$5*N234*J234/36500)</f>
        <v/>
      </c>
      <c r="P234" s="199">
        <f>IF(H234="","",$D$5+SUM($O$5:O234))</f>
        <v/>
      </c>
    </row>
    <row r="235">
      <c r="G235" s="11">
        <f>IF(H235="","",ROW()-4)</f>
        <v/>
      </c>
      <c r="H235" s="12">
        <f>IF(OR(I234="",I234&gt;=$D$7),"",I234)</f>
        <v/>
      </c>
      <c r="I235" s="12">
        <f>IF(H235="","",MIN(IF($D$18="LEGAL",DATE(YEAR(H235)+1,1,1),EDATE($D$12,$D$11*(INT((((YEAR(H235)-YEAR($D$12))*12+(MONTH(H235)-MONTH($D$12))-IF(DAY(H235)&lt;DAY($D$12),1,0))/$D$11))+1))),$D$7))</f>
        <v/>
      </c>
      <c r="J235" s="11">
        <f>IF(H235="","",I235-H235)</f>
        <v/>
      </c>
      <c r="K235" s="12">
        <f>IF(H235="","",IF($D$18="LEGAL",H235,EDATE(H235,-$D$13)))</f>
        <v/>
      </c>
      <c r="L235" s="13">
        <f>IF(H235="","",IFERROR(INDEX('Tipos BdE'!$B$7:$M$336,MATCH(DATE(YEAR(K235),MONTH(K235),1),'Tipos BdE'!$A$7:$A$336,1),MATCH($D$9,'Tipos BdE'!$B$6:$M$6,0)),0))</f>
        <v/>
      </c>
      <c r="M235" s="13">
        <f>IF(H235="","",IF($D$18="LEGAL",0,$D$10))</f>
        <v/>
      </c>
      <c r="N235" s="13">
        <f>IF(H235="","",IF(AND($D$14="Sí",(L235+M235)&lt;0),0,L235+M235))</f>
        <v/>
      </c>
      <c r="O235" s="199">
        <f>IF(H235="","",$D$5*N235*J235/36500)</f>
        <v/>
      </c>
      <c r="P235" s="199">
        <f>IF(H235="","",$D$5+SUM($O$5:O235))</f>
        <v/>
      </c>
    </row>
    <row r="236">
      <c r="G236" s="11">
        <f>IF(H236="","",ROW()-4)</f>
        <v/>
      </c>
      <c r="H236" s="12">
        <f>IF(OR(I235="",I235&gt;=$D$7),"",I235)</f>
        <v/>
      </c>
      <c r="I236" s="12">
        <f>IF(H236="","",MIN(IF($D$18="LEGAL",DATE(YEAR(H236)+1,1,1),EDATE($D$12,$D$11*(INT((((YEAR(H236)-YEAR($D$12))*12+(MONTH(H236)-MONTH($D$12))-IF(DAY(H236)&lt;DAY($D$12),1,0))/$D$11))+1))),$D$7))</f>
        <v/>
      </c>
      <c r="J236" s="11">
        <f>IF(H236="","",I236-H236)</f>
        <v/>
      </c>
      <c r="K236" s="12">
        <f>IF(H236="","",IF($D$18="LEGAL",H236,EDATE(H236,-$D$13)))</f>
        <v/>
      </c>
      <c r="L236" s="13">
        <f>IF(H236="","",IFERROR(INDEX('Tipos BdE'!$B$7:$M$336,MATCH(DATE(YEAR(K236),MONTH(K236),1),'Tipos BdE'!$A$7:$A$336,1),MATCH($D$9,'Tipos BdE'!$B$6:$M$6,0)),0))</f>
        <v/>
      </c>
      <c r="M236" s="13">
        <f>IF(H236="","",IF($D$18="LEGAL",0,$D$10))</f>
        <v/>
      </c>
      <c r="N236" s="13">
        <f>IF(H236="","",IF(AND($D$14="Sí",(L236+M236)&lt;0),0,L236+M236))</f>
        <v/>
      </c>
      <c r="O236" s="199">
        <f>IF(H236="","",$D$5*N236*J236/36500)</f>
        <v/>
      </c>
      <c r="P236" s="199">
        <f>IF(H236="","",$D$5+SUM($O$5:O236))</f>
        <v/>
      </c>
    </row>
    <row r="237">
      <c r="G237" s="11">
        <f>IF(H237="","",ROW()-4)</f>
        <v/>
      </c>
      <c r="H237" s="12">
        <f>IF(OR(I236="",I236&gt;=$D$7),"",I236)</f>
        <v/>
      </c>
      <c r="I237" s="12">
        <f>IF(H237="","",MIN(IF($D$18="LEGAL",DATE(YEAR(H237)+1,1,1),EDATE($D$12,$D$11*(INT((((YEAR(H237)-YEAR($D$12))*12+(MONTH(H237)-MONTH($D$12))-IF(DAY(H237)&lt;DAY($D$12),1,0))/$D$11))+1))),$D$7))</f>
        <v/>
      </c>
      <c r="J237" s="11">
        <f>IF(H237="","",I237-H237)</f>
        <v/>
      </c>
      <c r="K237" s="12">
        <f>IF(H237="","",IF($D$18="LEGAL",H237,EDATE(H237,-$D$13)))</f>
        <v/>
      </c>
      <c r="L237" s="13">
        <f>IF(H237="","",IFERROR(INDEX('Tipos BdE'!$B$7:$M$336,MATCH(DATE(YEAR(K237),MONTH(K237),1),'Tipos BdE'!$A$7:$A$336,1),MATCH($D$9,'Tipos BdE'!$B$6:$M$6,0)),0))</f>
        <v/>
      </c>
      <c r="M237" s="13">
        <f>IF(H237="","",IF($D$18="LEGAL",0,$D$10))</f>
        <v/>
      </c>
      <c r="N237" s="13">
        <f>IF(H237="","",IF(AND($D$14="Sí",(L237+M237)&lt;0),0,L237+M237))</f>
        <v/>
      </c>
      <c r="O237" s="199">
        <f>IF(H237="","",$D$5*N237*J237/36500)</f>
        <v/>
      </c>
      <c r="P237" s="199">
        <f>IF(H237="","",$D$5+SUM($O$5:O237))</f>
        <v/>
      </c>
    </row>
    <row r="238">
      <c r="G238" s="11">
        <f>IF(H238="","",ROW()-4)</f>
        <v/>
      </c>
      <c r="H238" s="12">
        <f>IF(OR(I237="",I237&gt;=$D$7),"",I237)</f>
        <v/>
      </c>
      <c r="I238" s="12">
        <f>IF(H238="","",MIN(IF($D$18="LEGAL",DATE(YEAR(H238)+1,1,1),EDATE($D$12,$D$11*(INT((((YEAR(H238)-YEAR($D$12))*12+(MONTH(H238)-MONTH($D$12))-IF(DAY(H238)&lt;DAY($D$12),1,0))/$D$11))+1))),$D$7))</f>
        <v/>
      </c>
      <c r="J238" s="11">
        <f>IF(H238="","",I238-H238)</f>
        <v/>
      </c>
      <c r="K238" s="12">
        <f>IF(H238="","",IF($D$18="LEGAL",H238,EDATE(H238,-$D$13)))</f>
        <v/>
      </c>
      <c r="L238" s="13">
        <f>IF(H238="","",IFERROR(INDEX('Tipos BdE'!$B$7:$M$336,MATCH(DATE(YEAR(K238),MONTH(K238),1),'Tipos BdE'!$A$7:$A$336,1),MATCH($D$9,'Tipos BdE'!$B$6:$M$6,0)),0))</f>
        <v/>
      </c>
      <c r="M238" s="13">
        <f>IF(H238="","",IF($D$18="LEGAL",0,$D$10))</f>
        <v/>
      </c>
      <c r="N238" s="13">
        <f>IF(H238="","",IF(AND($D$14="Sí",(L238+M238)&lt;0),0,L238+M238))</f>
        <v/>
      </c>
      <c r="O238" s="199">
        <f>IF(H238="","",$D$5*N238*J238/36500)</f>
        <v/>
      </c>
      <c r="P238" s="199">
        <f>IF(H238="","",$D$5+SUM($O$5:O238))</f>
        <v/>
      </c>
    </row>
    <row r="239">
      <c r="G239" s="11">
        <f>IF(H239="","",ROW()-4)</f>
        <v/>
      </c>
      <c r="H239" s="12">
        <f>IF(OR(I238="",I238&gt;=$D$7),"",I238)</f>
        <v/>
      </c>
      <c r="I239" s="12">
        <f>IF(H239="","",MIN(IF($D$18="LEGAL",DATE(YEAR(H239)+1,1,1),EDATE($D$12,$D$11*(INT((((YEAR(H239)-YEAR($D$12))*12+(MONTH(H239)-MONTH($D$12))-IF(DAY(H239)&lt;DAY($D$12),1,0))/$D$11))+1))),$D$7))</f>
        <v/>
      </c>
      <c r="J239" s="11">
        <f>IF(H239="","",I239-H239)</f>
        <v/>
      </c>
      <c r="K239" s="12">
        <f>IF(H239="","",IF($D$18="LEGAL",H239,EDATE(H239,-$D$13)))</f>
        <v/>
      </c>
      <c r="L239" s="13">
        <f>IF(H239="","",IFERROR(INDEX('Tipos BdE'!$B$7:$M$336,MATCH(DATE(YEAR(K239),MONTH(K239),1),'Tipos BdE'!$A$7:$A$336,1),MATCH($D$9,'Tipos BdE'!$B$6:$M$6,0)),0))</f>
        <v/>
      </c>
      <c r="M239" s="13">
        <f>IF(H239="","",IF($D$18="LEGAL",0,$D$10))</f>
        <v/>
      </c>
      <c r="N239" s="13">
        <f>IF(H239="","",IF(AND($D$14="Sí",(L239+M239)&lt;0),0,L239+M239))</f>
        <v/>
      </c>
      <c r="O239" s="199">
        <f>IF(H239="","",$D$5*N239*J239/36500)</f>
        <v/>
      </c>
      <c r="P239" s="199">
        <f>IF(H239="","",$D$5+SUM($O$5:O239))</f>
        <v/>
      </c>
    </row>
    <row r="240">
      <c r="G240" s="11">
        <f>IF(H240="","",ROW()-4)</f>
        <v/>
      </c>
      <c r="H240" s="12">
        <f>IF(OR(I239="",I239&gt;=$D$7),"",I239)</f>
        <v/>
      </c>
      <c r="I240" s="12">
        <f>IF(H240="","",MIN(IF($D$18="LEGAL",DATE(YEAR(H240)+1,1,1),EDATE($D$12,$D$11*(INT((((YEAR(H240)-YEAR($D$12))*12+(MONTH(H240)-MONTH($D$12))-IF(DAY(H240)&lt;DAY($D$12),1,0))/$D$11))+1))),$D$7))</f>
        <v/>
      </c>
      <c r="J240" s="11">
        <f>IF(H240="","",I240-H240)</f>
        <v/>
      </c>
      <c r="K240" s="12">
        <f>IF(H240="","",IF($D$18="LEGAL",H240,EDATE(H240,-$D$13)))</f>
        <v/>
      </c>
      <c r="L240" s="13">
        <f>IF(H240="","",IFERROR(INDEX('Tipos BdE'!$B$7:$M$336,MATCH(DATE(YEAR(K240),MONTH(K240),1),'Tipos BdE'!$A$7:$A$336,1),MATCH($D$9,'Tipos BdE'!$B$6:$M$6,0)),0))</f>
        <v/>
      </c>
      <c r="M240" s="13">
        <f>IF(H240="","",IF($D$18="LEGAL",0,$D$10))</f>
        <v/>
      </c>
      <c r="N240" s="13">
        <f>IF(H240="","",IF(AND($D$14="Sí",(L240+M240)&lt;0),0,L240+M240))</f>
        <v/>
      </c>
      <c r="O240" s="199">
        <f>IF(H240="","",$D$5*N240*J240/36500)</f>
        <v/>
      </c>
      <c r="P240" s="199">
        <f>IF(H240="","",$D$5+SUM($O$5:O240))</f>
        <v/>
      </c>
    </row>
    <row r="241">
      <c r="G241" s="11">
        <f>IF(H241="","",ROW()-4)</f>
        <v/>
      </c>
      <c r="H241" s="12">
        <f>IF(OR(I240="",I240&gt;=$D$7),"",I240)</f>
        <v/>
      </c>
      <c r="I241" s="12">
        <f>IF(H241="","",MIN(IF($D$18="LEGAL",DATE(YEAR(H241)+1,1,1),EDATE($D$12,$D$11*(INT((((YEAR(H241)-YEAR($D$12))*12+(MONTH(H241)-MONTH($D$12))-IF(DAY(H241)&lt;DAY($D$12),1,0))/$D$11))+1))),$D$7))</f>
        <v/>
      </c>
      <c r="J241" s="11">
        <f>IF(H241="","",I241-H241)</f>
        <v/>
      </c>
      <c r="K241" s="12">
        <f>IF(H241="","",IF($D$18="LEGAL",H241,EDATE(H241,-$D$13)))</f>
        <v/>
      </c>
      <c r="L241" s="13">
        <f>IF(H241="","",IFERROR(INDEX('Tipos BdE'!$B$7:$M$336,MATCH(DATE(YEAR(K241),MONTH(K241),1),'Tipos BdE'!$A$7:$A$336,1),MATCH($D$9,'Tipos BdE'!$B$6:$M$6,0)),0))</f>
        <v/>
      </c>
      <c r="M241" s="13">
        <f>IF(H241="","",IF($D$18="LEGAL",0,$D$10))</f>
        <v/>
      </c>
      <c r="N241" s="13">
        <f>IF(H241="","",IF(AND($D$14="Sí",(L241+M241)&lt;0),0,L241+M241))</f>
        <v/>
      </c>
      <c r="O241" s="199">
        <f>IF(H241="","",$D$5*N241*J241/36500)</f>
        <v/>
      </c>
      <c r="P241" s="199">
        <f>IF(H241="","",$D$5+SUM($O$5:O241))</f>
        <v/>
      </c>
    </row>
    <row r="242">
      <c r="G242" s="11">
        <f>IF(H242="","",ROW()-4)</f>
        <v/>
      </c>
      <c r="H242" s="12">
        <f>IF(OR(I241="",I241&gt;=$D$7),"",I241)</f>
        <v/>
      </c>
      <c r="I242" s="12">
        <f>IF(H242="","",MIN(IF($D$18="LEGAL",DATE(YEAR(H242)+1,1,1),EDATE($D$12,$D$11*(INT((((YEAR(H242)-YEAR($D$12))*12+(MONTH(H242)-MONTH($D$12))-IF(DAY(H242)&lt;DAY($D$12),1,0))/$D$11))+1))),$D$7))</f>
        <v/>
      </c>
      <c r="J242" s="11">
        <f>IF(H242="","",I242-H242)</f>
        <v/>
      </c>
      <c r="K242" s="12">
        <f>IF(H242="","",IF($D$18="LEGAL",H242,EDATE(H242,-$D$13)))</f>
        <v/>
      </c>
      <c r="L242" s="13">
        <f>IF(H242="","",IFERROR(INDEX('Tipos BdE'!$B$7:$M$336,MATCH(DATE(YEAR(K242),MONTH(K242),1),'Tipos BdE'!$A$7:$A$336,1),MATCH($D$9,'Tipos BdE'!$B$6:$M$6,0)),0))</f>
        <v/>
      </c>
      <c r="M242" s="13">
        <f>IF(H242="","",IF($D$18="LEGAL",0,$D$10))</f>
        <v/>
      </c>
      <c r="N242" s="13">
        <f>IF(H242="","",IF(AND($D$14="Sí",(L242+M242)&lt;0),0,L242+M242))</f>
        <v/>
      </c>
      <c r="O242" s="199">
        <f>IF(H242="","",$D$5*N242*J242/36500)</f>
        <v/>
      </c>
      <c r="P242" s="199">
        <f>IF(H242="","",$D$5+SUM($O$5:O242))</f>
        <v/>
      </c>
    </row>
    <row r="243">
      <c r="G243" s="11">
        <f>IF(H243="","",ROW()-4)</f>
        <v/>
      </c>
      <c r="H243" s="12">
        <f>IF(OR(I242="",I242&gt;=$D$7),"",I242)</f>
        <v/>
      </c>
      <c r="I243" s="12">
        <f>IF(H243="","",MIN(IF($D$18="LEGAL",DATE(YEAR(H243)+1,1,1),EDATE($D$12,$D$11*(INT((((YEAR(H243)-YEAR($D$12))*12+(MONTH(H243)-MONTH($D$12))-IF(DAY(H243)&lt;DAY($D$12),1,0))/$D$11))+1))),$D$7))</f>
        <v/>
      </c>
      <c r="J243" s="11">
        <f>IF(H243="","",I243-H243)</f>
        <v/>
      </c>
      <c r="K243" s="12">
        <f>IF(H243="","",IF($D$18="LEGAL",H243,EDATE(H243,-$D$13)))</f>
        <v/>
      </c>
      <c r="L243" s="13">
        <f>IF(H243="","",IFERROR(INDEX('Tipos BdE'!$B$7:$M$336,MATCH(DATE(YEAR(K243),MONTH(K243),1),'Tipos BdE'!$A$7:$A$336,1),MATCH($D$9,'Tipos BdE'!$B$6:$M$6,0)),0))</f>
        <v/>
      </c>
      <c r="M243" s="13">
        <f>IF(H243="","",IF($D$18="LEGAL",0,$D$10))</f>
        <v/>
      </c>
      <c r="N243" s="13">
        <f>IF(H243="","",IF(AND($D$14="Sí",(L243+M243)&lt;0),0,L243+M243))</f>
        <v/>
      </c>
      <c r="O243" s="199">
        <f>IF(H243="","",$D$5*N243*J243/36500)</f>
        <v/>
      </c>
      <c r="P243" s="199">
        <f>IF(H243="","",$D$5+SUM($O$5:O243))</f>
        <v/>
      </c>
    </row>
    <row r="244">
      <c r="G244" s="11">
        <f>IF(H244="","",ROW()-4)</f>
        <v/>
      </c>
      <c r="H244" s="12">
        <f>IF(OR(I243="",I243&gt;=$D$7),"",I243)</f>
        <v/>
      </c>
      <c r="I244" s="12">
        <f>IF(H244="","",MIN(IF($D$18="LEGAL",DATE(YEAR(H244)+1,1,1),EDATE($D$12,$D$11*(INT((((YEAR(H244)-YEAR($D$12))*12+(MONTH(H244)-MONTH($D$12))-IF(DAY(H244)&lt;DAY($D$12),1,0))/$D$11))+1))),$D$7))</f>
        <v/>
      </c>
      <c r="J244" s="11">
        <f>IF(H244="","",I244-H244)</f>
        <v/>
      </c>
      <c r="K244" s="12">
        <f>IF(H244="","",IF($D$18="LEGAL",H244,EDATE(H244,-$D$13)))</f>
        <v/>
      </c>
      <c r="L244" s="13">
        <f>IF(H244="","",IFERROR(INDEX('Tipos BdE'!$B$7:$M$336,MATCH(DATE(YEAR(K244),MONTH(K244),1),'Tipos BdE'!$A$7:$A$336,1),MATCH($D$9,'Tipos BdE'!$B$6:$M$6,0)),0))</f>
        <v/>
      </c>
      <c r="M244" s="13">
        <f>IF(H244="","",IF($D$18="LEGAL",0,$D$10))</f>
        <v/>
      </c>
      <c r="N244" s="13">
        <f>IF(H244="","",IF(AND($D$14="Sí",(L244+M244)&lt;0),0,L244+M244))</f>
        <v/>
      </c>
      <c r="O244" s="199">
        <f>IF(H244="","",$D$5*N244*J244/36500)</f>
        <v/>
      </c>
      <c r="P244" s="199">
        <f>IF(H244="","",$D$5+SUM($O$5:O244))</f>
        <v/>
      </c>
    </row>
    <row r="245">
      <c r="G245" s="11">
        <f>IF(H245="","",ROW()-4)</f>
        <v/>
      </c>
      <c r="H245" s="12">
        <f>IF(OR(I244="",I244&gt;=$D$7),"",I244)</f>
        <v/>
      </c>
      <c r="I245" s="12">
        <f>IF(H245="","",MIN(IF($D$18="LEGAL",DATE(YEAR(H245)+1,1,1),EDATE($D$12,$D$11*(INT((((YEAR(H245)-YEAR($D$12))*12+(MONTH(H245)-MONTH($D$12))-IF(DAY(H245)&lt;DAY($D$12),1,0))/$D$11))+1))),$D$7))</f>
        <v/>
      </c>
      <c r="J245" s="11">
        <f>IF(H245="","",I245-H245)</f>
        <v/>
      </c>
      <c r="K245" s="12">
        <f>IF(H245="","",IF($D$18="LEGAL",H245,EDATE(H245,-$D$13)))</f>
        <v/>
      </c>
      <c r="L245" s="13">
        <f>IF(H245="","",IFERROR(INDEX('Tipos BdE'!$B$7:$M$336,MATCH(DATE(YEAR(K245),MONTH(K245),1),'Tipos BdE'!$A$7:$A$336,1),MATCH($D$9,'Tipos BdE'!$B$6:$M$6,0)),0))</f>
        <v/>
      </c>
      <c r="M245" s="13">
        <f>IF(H245="","",IF($D$18="LEGAL",0,$D$10))</f>
        <v/>
      </c>
      <c r="N245" s="13">
        <f>IF(H245="","",IF(AND($D$14="Sí",(L245+M245)&lt;0),0,L245+M245))</f>
        <v/>
      </c>
      <c r="O245" s="199">
        <f>IF(H245="","",$D$5*N245*J245/36500)</f>
        <v/>
      </c>
      <c r="P245" s="199">
        <f>IF(H245="","",$D$5+SUM($O$5:O245))</f>
        <v/>
      </c>
    </row>
    <row r="246">
      <c r="G246" s="11">
        <f>IF(H246="","",ROW()-4)</f>
        <v/>
      </c>
      <c r="H246" s="12">
        <f>IF(OR(I245="",I245&gt;=$D$7),"",I245)</f>
        <v/>
      </c>
      <c r="I246" s="12">
        <f>IF(H246="","",MIN(IF($D$18="LEGAL",DATE(YEAR(H246)+1,1,1),EDATE($D$12,$D$11*(INT((((YEAR(H246)-YEAR($D$12))*12+(MONTH(H246)-MONTH($D$12))-IF(DAY(H246)&lt;DAY($D$12),1,0))/$D$11))+1))),$D$7))</f>
        <v/>
      </c>
      <c r="J246" s="11">
        <f>IF(H246="","",I246-H246)</f>
        <v/>
      </c>
      <c r="K246" s="12">
        <f>IF(H246="","",IF($D$18="LEGAL",H246,EDATE(H246,-$D$13)))</f>
        <v/>
      </c>
      <c r="L246" s="13">
        <f>IF(H246="","",IFERROR(INDEX('Tipos BdE'!$B$7:$M$336,MATCH(DATE(YEAR(K246),MONTH(K246),1),'Tipos BdE'!$A$7:$A$336,1),MATCH($D$9,'Tipos BdE'!$B$6:$M$6,0)),0))</f>
        <v/>
      </c>
      <c r="M246" s="13">
        <f>IF(H246="","",IF($D$18="LEGAL",0,$D$10))</f>
        <v/>
      </c>
      <c r="N246" s="13">
        <f>IF(H246="","",IF(AND($D$14="Sí",(L246+M246)&lt;0),0,L246+M246))</f>
        <v/>
      </c>
      <c r="O246" s="199">
        <f>IF(H246="","",$D$5*N246*J246/36500)</f>
        <v/>
      </c>
      <c r="P246" s="199">
        <f>IF(H246="","",$D$5+SUM($O$5:O246))</f>
        <v/>
      </c>
    </row>
    <row r="247">
      <c r="G247" s="11">
        <f>IF(H247="","",ROW()-4)</f>
        <v/>
      </c>
      <c r="H247" s="12">
        <f>IF(OR(I246="",I246&gt;=$D$7),"",I246)</f>
        <v/>
      </c>
      <c r="I247" s="12">
        <f>IF(H247="","",MIN(IF($D$18="LEGAL",DATE(YEAR(H247)+1,1,1),EDATE($D$12,$D$11*(INT((((YEAR(H247)-YEAR($D$12))*12+(MONTH(H247)-MONTH($D$12))-IF(DAY(H247)&lt;DAY($D$12),1,0))/$D$11))+1))),$D$7))</f>
        <v/>
      </c>
      <c r="J247" s="11">
        <f>IF(H247="","",I247-H247)</f>
        <v/>
      </c>
      <c r="K247" s="12">
        <f>IF(H247="","",IF($D$18="LEGAL",H247,EDATE(H247,-$D$13)))</f>
        <v/>
      </c>
      <c r="L247" s="13">
        <f>IF(H247="","",IFERROR(INDEX('Tipos BdE'!$B$7:$M$336,MATCH(DATE(YEAR(K247),MONTH(K247),1),'Tipos BdE'!$A$7:$A$336,1),MATCH($D$9,'Tipos BdE'!$B$6:$M$6,0)),0))</f>
        <v/>
      </c>
      <c r="M247" s="13">
        <f>IF(H247="","",IF($D$18="LEGAL",0,$D$10))</f>
        <v/>
      </c>
      <c r="N247" s="13">
        <f>IF(H247="","",IF(AND($D$14="Sí",(L247+M247)&lt;0),0,L247+M247))</f>
        <v/>
      </c>
      <c r="O247" s="199">
        <f>IF(H247="","",$D$5*N247*J247/36500)</f>
        <v/>
      </c>
      <c r="P247" s="199">
        <f>IF(H247="","",$D$5+SUM($O$5:O247))</f>
        <v/>
      </c>
    </row>
    <row r="248">
      <c r="G248" s="11">
        <f>IF(H248="","",ROW()-4)</f>
        <v/>
      </c>
      <c r="H248" s="12">
        <f>IF(OR(I247="",I247&gt;=$D$7),"",I247)</f>
        <v/>
      </c>
      <c r="I248" s="12">
        <f>IF(H248="","",MIN(IF($D$18="LEGAL",DATE(YEAR(H248)+1,1,1),EDATE($D$12,$D$11*(INT((((YEAR(H248)-YEAR($D$12))*12+(MONTH(H248)-MONTH($D$12))-IF(DAY(H248)&lt;DAY($D$12),1,0))/$D$11))+1))),$D$7))</f>
        <v/>
      </c>
      <c r="J248" s="11">
        <f>IF(H248="","",I248-H248)</f>
        <v/>
      </c>
      <c r="K248" s="12">
        <f>IF(H248="","",IF($D$18="LEGAL",H248,EDATE(H248,-$D$13)))</f>
        <v/>
      </c>
      <c r="L248" s="13">
        <f>IF(H248="","",IFERROR(INDEX('Tipos BdE'!$B$7:$M$336,MATCH(DATE(YEAR(K248),MONTH(K248),1),'Tipos BdE'!$A$7:$A$336,1),MATCH($D$9,'Tipos BdE'!$B$6:$M$6,0)),0))</f>
        <v/>
      </c>
      <c r="M248" s="13">
        <f>IF(H248="","",IF($D$18="LEGAL",0,$D$10))</f>
        <v/>
      </c>
      <c r="N248" s="13">
        <f>IF(H248="","",IF(AND($D$14="Sí",(L248+M248)&lt;0),0,L248+M248))</f>
        <v/>
      </c>
      <c r="O248" s="199">
        <f>IF(H248="","",$D$5*N248*J248/36500)</f>
        <v/>
      </c>
      <c r="P248" s="199">
        <f>IF(H248="","",$D$5+SUM($O$5:O248))</f>
        <v/>
      </c>
    </row>
    <row r="249">
      <c r="G249" s="11">
        <f>IF(H249="","",ROW()-4)</f>
        <v/>
      </c>
      <c r="H249" s="12">
        <f>IF(OR(I248="",I248&gt;=$D$7),"",I248)</f>
        <v/>
      </c>
      <c r="I249" s="12">
        <f>IF(H249="","",MIN(IF($D$18="LEGAL",DATE(YEAR(H249)+1,1,1),EDATE($D$12,$D$11*(INT((((YEAR(H249)-YEAR($D$12))*12+(MONTH(H249)-MONTH($D$12))-IF(DAY(H249)&lt;DAY($D$12),1,0))/$D$11))+1))),$D$7))</f>
        <v/>
      </c>
      <c r="J249" s="11">
        <f>IF(H249="","",I249-H249)</f>
        <v/>
      </c>
      <c r="K249" s="12">
        <f>IF(H249="","",IF($D$18="LEGAL",H249,EDATE(H249,-$D$13)))</f>
        <v/>
      </c>
      <c r="L249" s="13">
        <f>IF(H249="","",IFERROR(INDEX('Tipos BdE'!$B$7:$M$336,MATCH(DATE(YEAR(K249),MONTH(K249),1),'Tipos BdE'!$A$7:$A$336,1),MATCH($D$9,'Tipos BdE'!$B$6:$M$6,0)),0))</f>
        <v/>
      </c>
      <c r="M249" s="13">
        <f>IF(H249="","",IF($D$18="LEGAL",0,$D$10))</f>
        <v/>
      </c>
      <c r="N249" s="13">
        <f>IF(H249="","",IF(AND($D$14="Sí",(L249+M249)&lt;0),0,L249+M249))</f>
        <v/>
      </c>
      <c r="O249" s="199">
        <f>IF(H249="","",$D$5*N249*J249/36500)</f>
        <v/>
      </c>
      <c r="P249" s="199">
        <f>IF(H249="","",$D$5+SUM($O$5:O249))</f>
        <v/>
      </c>
    </row>
    <row r="250">
      <c r="G250" s="11">
        <f>IF(H250="","",ROW()-4)</f>
        <v/>
      </c>
      <c r="H250" s="12">
        <f>IF(OR(I249="",I249&gt;=$D$7),"",I249)</f>
        <v/>
      </c>
      <c r="I250" s="12">
        <f>IF(H250="","",MIN(IF($D$18="LEGAL",DATE(YEAR(H250)+1,1,1),EDATE($D$12,$D$11*(INT((((YEAR(H250)-YEAR($D$12))*12+(MONTH(H250)-MONTH($D$12))-IF(DAY(H250)&lt;DAY($D$12),1,0))/$D$11))+1))),$D$7))</f>
        <v/>
      </c>
      <c r="J250" s="11">
        <f>IF(H250="","",I250-H250)</f>
        <v/>
      </c>
      <c r="K250" s="12">
        <f>IF(H250="","",IF($D$18="LEGAL",H250,EDATE(H250,-$D$13)))</f>
        <v/>
      </c>
      <c r="L250" s="13">
        <f>IF(H250="","",IFERROR(INDEX('Tipos BdE'!$B$7:$M$336,MATCH(DATE(YEAR(K250),MONTH(K250),1),'Tipos BdE'!$A$7:$A$336,1),MATCH($D$9,'Tipos BdE'!$B$6:$M$6,0)),0))</f>
        <v/>
      </c>
      <c r="M250" s="13">
        <f>IF(H250="","",IF($D$18="LEGAL",0,$D$10))</f>
        <v/>
      </c>
      <c r="N250" s="13">
        <f>IF(H250="","",IF(AND($D$14="Sí",(L250+M250)&lt;0),0,L250+M250))</f>
        <v/>
      </c>
      <c r="O250" s="199">
        <f>IF(H250="","",$D$5*N250*J250/36500)</f>
        <v/>
      </c>
      <c r="P250" s="199">
        <f>IF(H250="","",$D$5+SUM($O$5:O250))</f>
        <v/>
      </c>
    </row>
    <row r="251">
      <c r="G251" s="11">
        <f>IF(H251="","",ROW()-4)</f>
        <v/>
      </c>
      <c r="H251" s="12">
        <f>IF(OR(I250="",I250&gt;=$D$7),"",I250)</f>
        <v/>
      </c>
      <c r="I251" s="12">
        <f>IF(H251="","",MIN(IF($D$18="LEGAL",DATE(YEAR(H251)+1,1,1),EDATE($D$12,$D$11*(INT((((YEAR(H251)-YEAR($D$12))*12+(MONTH(H251)-MONTH($D$12))-IF(DAY(H251)&lt;DAY($D$12),1,0))/$D$11))+1))),$D$7))</f>
        <v/>
      </c>
      <c r="J251" s="11">
        <f>IF(H251="","",I251-H251)</f>
        <v/>
      </c>
      <c r="K251" s="12">
        <f>IF(H251="","",IF($D$18="LEGAL",H251,EDATE(H251,-$D$13)))</f>
        <v/>
      </c>
      <c r="L251" s="13">
        <f>IF(H251="","",IFERROR(INDEX('Tipos BdE'!$B$7:$M$336,MATCH(DATE(YEAR(K251),MONTH(K251),1),'Tipos BdE'!$A$7:$A$336,1),MATCH($D$9,'Tipos BdE'!$B$6:$M$6,0)),0))</f>
        <v/>
      </c>
      <c r="M251" s="13">
        <f>IF(H251="","",IF($D$18="LEGAL",0,$D$10))</f>
        <v/>
      </c>
      <c r="N251" s="13">
        <f>IF(H251="","",IF(AND($D$14="Sí",(L251+M251)&lt;0),0,L251+M251))</f>
        <v/>
      </c>
      <c r="O251" s="199">
        <f>IF(H251="","",$D$5*N251*J251/36500)</f>
        <v/>
      </c>
      <c r="P251" s="199">
        <f>IF(H251="","",$D$5+SUM($O$5:O251))</f>
        <v/>
      </c>
    </row>
    <row r="252">
      <c r="G252" s="11">
        <f>IF(H252="","",ROW()-4)</f>
        <v/>
      </c>
      <c r="H252" s="12">
        <f>IF(OR(I251="",I251&gt;=$D$7),"",I251)</f>
        <v/>
      </c>
      <c r="I252" s="12">
        <f>IF(H252="","",MIN(IF($D$18="LEGAL",DATE(YEAR(H252)+1,1,1),EDATE($D$12,$D$11*(INT((((YEAR(H252)-YEAR($D$12))*12+(MONTH(H252)-MONTH($D$12))-IF(DAY(H252)&lt;DAY($D$12),1,0))/$D$11))+1))),$D$7))</f>
        <v/>
      </c>
      <c r="J252" s="11">
        <f>IF(H252="","",I252-H252)</f>
        <v/>
      </c>
      <c r="K252" s="12">
        <f>IF(H252="","",IF($D$18="LEGAL",H252,EDATE(H252,-$D$13)))</f>
        <v/>
      </c>
      <c r="L252" s="13">
        <f>IF(H252="","",IFERROR(INDEX('Tipos BdE'!$B$7:$M$336,MATCH(DATE(YEAR(K252),MONTH(K252),1),'Tipos BdE'!$A$7:$A$336,1),MATCH($D$9,'Tipos BdE'!$B$6:$M$6,0)),0))</f>
        <v/>
      </c>
      <c r="M252" s="13">
        <f>IF(H252="","",IF($D$18="LEGAL",0,$D$10))</f>
        <v/>
      </c>
      <c r="N252" s="13">
        <f>IF(H252="","",IF(AND($D$14="Sí",(L252+M252)&lt;0),0,L252+M252))</f>
        <v/>
      </c>
      <c r="O252" s="199">
        <f>IF(H252="","",$D$5*N252*J252/36500)</f>
        <v/>
      </c>
      <c r="P252" s="199">
        <f>IF(H252="","",$D$5+SUM($O$5:O252))</f>
        <v/>
      </c>
    </row>
    <row r="253">
      <c r="G253" s="11">
        <f>IF(H253="","",ROW()-4)</f>
        <v/>
      </c>
      <c r="H253" s="12">
        <f>IF(OR(I252="",I252&gt;=$D$7),"",I252)</f>
        <v/>
      </c>
      <c r="I253" s="12">
        <f>IF(H253="","",MIN(IF($D$18="LEGAL",DATE(YEAR(H253)+1,1,1),EDATE($D$12,$D$11*(INT((((YEAR(H253)-YEAR($D$12))*12+(MONTH(H253)-MONTH($D$12))-IF(DAY(H253)&lt;DAY($D$12),1,0))/$D$11))+1))),$D$7))</f>
        <v/>
      </c>
      <c r="J253" s="11">
        <f>IF(H253="","",I253-H253)</f>
        <v/>
      </c>
      <c r="K253" s="12">
        <f>IF(H253="","",IF($D$18="LEGAL",H253,EDATE(H253,-$D$13)))</f>
        <v/>
      </c>
      <c r="L253" s="13">
        <f>IF(H253="","",IFERROR(INDEX('Tipos BdE'!$B$7:$M$336,MATCH(DATE(YEAR(K253),MONTH(K253),1),'Tipos BdE'!$A$7:$A$336,1),MATCH($D$9,'Tipos BdE'!$B$6:$M$6,0)),0))</f>
        <v/>
      </c>
      <c r="M253" s="13">
        <f>IF(H253="","",IF($D$18="LEGAL",0,$D$10))</f>
        <v/>
      </c>
      <c r="N253" s="13">
        <f>IF(H253="","",IF(AND($D$14="Sí",(L253+M253)&lt;0),0,L253+M253))</f>
        <v/>
      </c>
      <c r="O253" s="199">
        <f>IF(H253="","",$D$5*N253*J253/36500)</f>
        <v/>
      </c>
      <c r="P253" s="199">
        <f>IF(H253="","",$D$5+SUM($O$5:O253))</f>
        <v/>
      </c>
    </row>
    <row r="254">
      <c r="G254" s="11">
        <f>IF(H254="","",ROW()-4)</f>
        <v/>
      </c>
      <c r="H254" s="12">
        <f>IF(OR(I253="",I253&gt;=$D$7),"",I253)</f>
        <v/>
      </c>
      <c r="I254" s="12">
        <f>IF(H254="","",MIN(IF($D$18="LEGAL",DATE(YEAR(H254)+1,1,1),EDATE($D$12,$D$11*(INT((((YEAR(H254)-YEAR($D$12))*12+(MONTH(H254)-MONTH($D$12))-IF(DAY(H254)&lt;DAY($D$12),1,0))/$D$11))+1))),$D$7))</f>
        <v/>
      </c>
      <c r="J254" s="11">
        <f>IF(H254="","",I254-H254)</f>
        <v/>
      </c>
      <c r="K254" s="12">
        <f>IF(H254="","",IF($D$18="LEGAL",H254,EDATE(H254,-$D$13)))</f>
        <v/>
      </c>
      <c r="L254" s="13">
        <f>IF(H254="","",IFERROR(INDEX('Tipos BdE'!$B$7:$M$336,MATCH(DATE(YEAR(K254),MONTH(K254),1),'Tipos BdE'!$A$7:$A$336,1),MATCH($D$9,'Tipos BdE'!$B$6:$M$6,0)),0))</f>
        <v/>
      </c>
      <c r="M254" s="13">
        <f>IF(H254="","",IF($D$18="LEGAL",0,$D$10))</f>
        <v/>
      </c>
      <c r="N254" s="13">
        <f>IF(H254="","",IF(AND($D$14="Sí",(L254+M254)&lt;0),0,L254+M254))</f>
        <v/>
      </c>
      <c r="O254" s="199">
        <f>IF(H254="","",$D$5*N254*J254/36500)</f>
        <v/>
      </c>
      <c r="P254" s="199">
        <f>IF(H254="","",$D$5+SUM($O$5:O254))</f>
        <v/>
      </c>
    </row>
    <row r="255">
      <c r="G255" s="11">
        <f>IF(H255="","",ROW()-4)</f>
        <v/>
      </c>
      <c r="H255" s="12">
        <f>IF(OR(I254="",I254&gt;=$D$7),"",I254)</f>
        <v/>
      </c>
      <c r="I255" s="12">
        <f>IF(H255="","",MIN(IF($D$18="LEGAL",DATE(YEAR(H255)+1,1,1),EDATE($D$12,$D$11*(INT((((YEAR(H255)-YEAR($D$12))*12+(MONTH(H255)-MONTH($D$12))-IF(DAY(H255)&lt;DAY($D$12),1,0))/$D$11))+1))),$D$7))</f>
        <v/>
      </c>
      <c r="J255" s="11">
        <f>IF(H255="","",I255-H255)</f>
        <v/>
      </c>
      <c r="K255" s="12">
        <f>IF(H255="","",IF($D$18="LEGAL",H255,EDATE(H255,-$D$13)))</f>
        <v/>
      </c>
      <c r="L255" s="13">
        <f>IF(H255="","",IFERROR(INDEX('Tipos BdE'!$B$7:$M$336,MATCH(DATE(YEAR(K255),MONTH(K255),1),'Tipos BdE'!$A$7:$A$336,1),MATCH($D$9,'Tipos BdE'!$B$6:$M$6,0)),0))</f>
        <v/>
      </c>
      <c r="M255" s="13">
        <f>IF(H255="","",IF($D$18="LEGAL",0,$D$10))</f>
        <v/>
      </c>
      <c r="N255" s="13">
        <f>IF(H255="","",IF(AND($D$14="Sí",(L255+M255)&lt;0),0,L255+M255))</f>
        <v/>
      </c>
      <c r="O255" s="199">
        <f>IF(H255="","",$D$5*N255*J255/36500)</f>
        <v/>
      </c>
      <c r="P255" s="199">
        <f>IF(H255="","",$D$5+SUM($O$5:O255))</f>
        <v/>
      </c>
    </row>
    <row r="256">
      <c r="G256" s="11">
        <f>IF(H256="","",ROW()-4)</f>
        <v/>
      </c>
      <c r="H256" s="12">
        <f>IF(OR(I255="",I255&gt;=$D$7),"",I255)</f>
        <v/>
      </c>
      <c r="I256" s="12">
        <f>IF(H256="","",MIN(IF($D$18="LEGAL",DATE(YEAR(H256)+1,1,1),EDATE($D$12,$D$11*(INT((((YEAR(H256)-YEAR($D$12))*12+(MONTH(H256)-MONTH($D$12))-IF(DAY(H256)&lt;DAY($D$12),1,0))/$D$11))+1))),$D$7))</f>
        <v/>
      </c>
      <c r="J256" s="11">
        <f>IF(H256="","",I256-H256)</f>
        <v/>
      </c>
      <c r="K256" s="12">
        <f>IF(H256="","",IF($D$18="LEGAL",H256,EDATE(H256,-$D$13)))</f>
        <v/>
      </c>
      <c r="L256" s="13">
        <f>IF(H256="","",IFERROR(INDEX('Tipos BdE'!$B$7:$M$336,MATCH(DATE(YEAR(K256),MONTH(K256),1),'Tipos BdE'!$A$7:$A$336,1),MATCH($D$9,'Tipos BdE'!$B$6:$M$6,0)),0))</f>
        <v/>
      </c>
      <c r="M256" s="13">
        <f>IF(H256="","",IF($D$18="LEGAL",0,$D$10))</f>
        <v/>
      </c>
      <c r="N256" s="13">
        <f>IF(H256="","",IF(AND($D$14="Sí",(L256+M256)&lt;0),0,L256+M256))</f>
        <v/>
      </c>
      <c r="O256" s="199">
        <f>IF(H256="","",$D$5*N256*J256/36500)</f>
        <v/>
      </c>
      <c r="P256" s="199">
        <f>IF(H256="","",$D$5+SUM($O$5:O256))</f>
        <v/>
      </c>
    </row>
    <row r="257">
      <c r="G257" s="11">
        <f>IF(H257="","",ROW()-4)</f>
        <v/>
      </c>
      <c r="H257" s="12">
        <f>IF(OR(I256="",I256&gt;=$D$7),"",I256)</f>
        <v/>
      </c>
      <c r="I257" s="12">
        <f>IF(H257="","",MIN(IF($D$18="LEGAL",DATE(YEAR(H257)+1,1,1),EDATE($D$12,$D$11*(INT((((YEAR(H257)-YEAR($D$12))*12+(MONTH(H257)-MONTH($D$12))-IF(DAY(H257)&lt;DAY($D$12),1,0))/$D$11))+1))),$D$7))</f>
        <v/>
      </c>
      <c r="J257" s="11">
        <f>IF(H257="","",I257-H257)</f>
        <v/>
      </c>
      <c r="K257" s="12">
        <f>IF(H257="","",IF($D$18="LEGAL",H257,EDATE(H257,-$D$13)))</f>
        <v/>
      </c>
      <c r="L257" s="13">
        <f>IF(H257="","",IFERROR(INDEX('Tipos BdE'!$B$7:$M$336,MATCH(DATE(YEAR(K257),MONTH(K257),1),'Tipos BdE'!$A$7:$A$336,1),MATCH($D$9,'Tipos BdE'!$B$6:$M$6,0)),0))</f>
        <v/>
      </c>
      <c r="M257" s="13">
        <f>IF(H257="","",IF($D$18="LEGAL",0,$D$10))</f>
        <v/>
      </c>
      <c r="N257" s="13">
        <f>IF(H257="","",IF(AND($D$14="Sí",(L257+M257)&lt;0),0,L257+M257))</f>
        <v/>
      </c>
      <c r="O257" s="199">
        <f>IF(H257="","",$D$5*N257*J257/36500)</f>
        <v/>
      </c>
      <c r="P257" s="199">
        <f>IF(H257="","",$D$5+SUM($O$5:O257))</f>
        <v/>
      </c>
    </row>
    <row r="258">
      <c r="G258" s="11">
        <f>IF(H258="","",ROW()-4)</f>
        <v/>
      </c>
      <c r="H258" s="12">
        <f>IF(OR(I257="",I257&gt;=$D$7),"",I257)</f>
        <v/>
      </c>
      <c r="I258" s="12">
        <f>IF(H258="","",MIN(IF($D$18="LEGAL",DATE(YEAR(H258)+1,1,1),EDATE($D$12,$D$11*(INT((((YEAR(H258)-YEAR($D$12))*12+(MONTH(H258)-MONTH($D$12))-IF(DAY(H258)&lt;DAY($D$12),1,0))/$D$11))+1))),$D$7))</f>
        <v/>
      </c>
      <c r="J258" s="11">
        <f>IF(H258="","",I258-H258)</f>
        <v/>
      </c>
      <c r="K258" s="12">
        <f>IF(H258="","",IF($D$18="LEGAL",H258,EDATE(H258,-$D$13)))</f>
        <v/>
      </c>
      <c r="L258" s="13">
        <f>IF(H258="","",IFERROR(INDEX('Tipos BdE'!$B$7:$M$336,MATCH(DATE(YEAR(K258),MONTH(K258),1),'Tipos BdE'!$A$7:$A$336,1),MATCH($D$9,'Tipos BdE'!$B$6:$M$6,0)),0))</f>
        <v/>
      </c>
      <c r="M258" s="13">
        <f>IF(H258="","",IF($D$18="LEGAL",0,$D$10))</f>
        <v/>
      </c>
      <c r="N258" s="13">
        <f>IF(H258="","",IF(AND($D$14="Sí",(L258+M258)&lt;0),0,L258+M258))</f>
        <v/>
      </c>
      <c r="O258" s="199">
        <f>IF(H258="","",$D$5*N258*J258/36500)</f>
        <v/>
      </c>
      <c r="P258" s="199">
        <f>IF(H258="","",$D$5+SUM($O$5:O258))</f>
        <v/>
      </c>
    </row>
    <row r="259">
      <c r="G259" s="11">
        <f>IF(H259="","",ROW()-4)</f>
        <v/>
      </c>
      <c r="H259" s="12">
        <f>IF(OR(I258="",I258&gt;=$D$7),"",I258)</f>
        <v/>
      </c>
      <c r="I259" s="12">
        <f>IF(H259="","",MIN(IF($D$18="LEGAL",DATE(YEAR(H259)+1,1,1),EDATE($D$12,$D$11*(INT((((YEAR(H259)-YEAR($D$12))*12+(MONTH(H259)-MONTH($D$12))-IF(DAY(H259)&lt;DAY($D$12),1,0))/$D$11))+1))),$D$7))</f>
        <v/>
      </c>
      <c r="J259" s="11">
        <f>IF(H259="","",I259-H259)</f>
        <v/>
      </c>
      <c r="K259" s="12">
        <f>IF(H259="","",IF($D$18="LEGAL",H259,EDATE(H259,-$D$13)))</f>
        <v/>
      </c>
      <c r="L259" s="13">
        <f>IF(H259="","",IFERROR(INDEX('Tipos BdE'!$B$7:$M$336,MATCH(DATE(YEAR(K259),MONTH(K259),1),'Tipos BdE'!$A$7:$A$336,1),MATCH($D$9,'Tipos BdE'!$B$6:$M$6,0)),0))</f>
        <v/>
      </c>
      <c r="M259" s="13">
        <f>IF(H259="","",IF($D$18="LEGAL",0,$D$10))</f>
        <v/>
      </c>
      <c r="N259" s="13">
        <f>IF(H259="","",IF(AND($D$14="Sí",(L259+M259)&lt;0),0,L259+M259))</f>
        <v/>
      </c>
      <c r="O259" s="199">
        <f>IF(H259="","",$D$5*N259*J259/36500)</f>
        <v/>
      </c>
      <c r="P259" s="199">
        <f>IF(H259="","",$D$5+SUM($O$5:O259))</f>
        <v/>
      </c>
    </row>
    <row r="260">
      <c r="G260" s="11">
        <f>IF(H260="","",ROW()-4)</f>
        <v/>
      </c>
      <c r="H260" s="12">
        <f>IF(OR(I259="",I259&gt;=$D$7),"",I259)</f>
        <v/>
      </c>
      <c r="I260" s="12">
        <f>IF(H260="","",MIN(IF($D$18="LEGAL",DATE(YEAR(H260)+1,1,1),EDATE($D$12,$D$11*(INT((((YEAR(H260)-YEAR($D$12))*12+(MONTH(H260)-MONTH($D$12))-IF(DAY(H260)&lt;DAY($D$12),1,0))/$D$11))+1))),$D$7))</f>
        <v/>
      </c>
      <c r="J260" s="11">
        <f>IF(H260="","",I260-H260)</f>
        <v/>
      </c>
      <c r="K260" s="12">
        <f>IF(H260="","",IF($D$18="LEGAL",H260,EDATE(H260,-$D$13)))</f>
        <v/>
      </c>
      <c r="L260" s="13">
        <f>IF(H260="","",IFERROR(INDEX('Tipos BdE'!$B$7:$M$336,MATCH(DATE(YEAR(K260),MONTH(K260),1),'Tipos BdE'!$A$7:$A$336,1),MATCH($D$9,'Tipos BdE'!$B$6:$M$6,0)),0))</f>
        <v/>
      </c>
      <c r="M260" s="13">
        <f>IF(H260="","",IF($D$18="LEGAL",0,$D$10))</f>
        <v/>
      </c>
      <c r="N260" s="13">
        <f>IF(H260="","",IF(AND($D$14="Sí",(L260+M260)&lt;0),0,L260+M260))</f>
        <v/>
      </c>
      <c r="O260" s="199">
        <f>IF(H260="","",$D$5*N260*J260/36500)</f>
        <v/>
      </c>
      <c r="P260" s="199">
        <f>IF(H260="","",$D$5+SUM($O$5:O260))</f>
        <v/>
      </c>
    </row>
    <row r="261">
      <c r="G261" s="11">
        <f>IF(H261="","",ROW()-4)</f>
        <v/>
      </c>
      <c r="H261" s="12">
        <f>IF(OR(I260="",I260&gt;=$D$7),"",I260)</f>
        <v/>
      </c>
      <c r="I261" s="12">
        <f>IF(H261="","",MIN(IF($D$18="LEGAL",DATE(YEAR(H261)+1,1,1),EDATE($D$12,$D$11*(INT((((YEAR(H261)-YEAR($D$12))*12+(MONTH(H261)-MONTH($D$12))-IF(DAY(H261)&lt;DAY($D$12),1,0))/$D$11))+1))),$D$7))</f>
        <v/>
      </c>
      <c r="J261" s="11">
        <f>IF(H261="","",I261-H261)</f>
        <v/>
      </c>
      <c r="K261" s="12">
        <f>IF(H261="","",IF($D$18="LEGAL",H261,EDATE(H261,-$D$13)))</f>
        <v/>
      </c>
      <c r="L261" s="13">
        <f>IF(H261="","",IFERROR(INDEX('Tipos BdE'!$B$7:$M$336,MATCH(DATE(YEAR(K261),MONTH(K261),1),'Tipos BdE'!$A$7:$A$336,1),MATCH($D$9,'Tipos BdE'!$B$6:$M$6,0)),0))</f>
        <v/>
      </c>
      <c r="M261" s="13">
        <f>IF(H261="","",IF($D$18="LEGAL",0,$D$10))</f>
        <v/>
      </c>
      <c r="N261" s="13">
        <f>IF(H261="","",IF(AND($D$14="Sí",(L261+M261)&lt;0),0,L261+M261))</f>
        <v/>
      </c>
      <c r="O261" s="199">
        <f>IF(H261="","",$D$5*N261*J261/36500)</f>
        <v/>
      </c>
      <c r="P261" s="199">
        <f>IF(H261="","",$D$5+SUM($O$5:O261))</f>
        <v/>
      </c>
    </row>
    <row r="262">
      <c r="G262" s="11">
        <f>IF(H262="","",ROW()-4)</f>
        <v/>
      </c>
      <c r="H262" s="12">
        <f>IF(OR(I261="",I261&gt;=$D$7),"",I261)</f>
        <v/>
      </c>
      <c r="I262" s="12">
        <f>IF(H262="","",MIN(IF($D$18="LEGAL",DATE(YEAR(H262)+1,1,1),EDATE($D$12,$D$11*(INT((((YEAR(H262)-YEAR($D$12))*12+(MONTH(H262)-MONTH($D$12))-IF(DAY(H262)&lt;DAY($D$12),1,0))/$D$11))+1))),$D$7))</f>
        <v/>
      </c>
      <c r="J262" s="11">
        <f>IF(H262="","",I262-H262)</f>
        <v/>
      </c>
      <c r="K262" s="12">
        <f>IF(H262="","",IF($D$18="LEGAL",H262,EDATE(H262,-$D$13)))</f>
        <v/>
      </c>
      <c r="L262" s="13">
        <f>IF(H262="","",IFERROR(INDEX('Tipos BdE'!$B$7:$M$336,MATCH(DATE(YEAR(K262),MONTH(K262),1),'Tipos BdE'!$A$7:$A$336,1),MATCH($D$9,'Tipos BdE'!$B$6:$M$6,0)),0))</f>
        <v/>
      </c>
      <c r="M262" s="13">
        <f>IF(H262="","",IF($D$18="LEGAL",0,$D$10))</f>
        <v/>
      </c>
      <c r="N262" s="13">
        <f>IF(H262="","",IF(AND($D$14="Sí",(L262+M262)&lt;0),0,L262+M262))</f>
        <v/>
      </c>
      <c r="O262" s="199">
        <f>IF(H262="","",$D$5*N262*J262/36500)</f>
        <v/>
      </c>
      <c r="P262" s="199">
        <f>IF(H262="","",$D$5+SUM($O$5:O262))</f>
        <v/>
      </c>
    </row>
    <row r="263">
      <c r="G263" s="11">
        <f>IF(H263="","",ROW()-4)</f>
        <v/>
      </c>
      <c r="H263" s="12">
        <f>IF(OR(I262="",I262&gt;=$D$7),"",I262)</f>
        <v/>
      </c>
      <c r="I263" s="12">
        <f>IF(H263="","",MIN(IF($D$18="LEGAL",DATE(YEAR(H263)+1,1,1),EDATE($D$12,$D$11*(INT((((YEAR(H263)-YEAR($D$12))*12+(MONTH(H263)-MONTH($D$12))-IF(DAY(H263)&lt;DAY($D$12),1,0))/$D$11))+1))),$D$7))</f>
        <v/>
      </c>
      <c r="J263" s="11">
        <f>IF(H263="","",I263-H263)</f>
        <v/>
      </c>
      <c r="K263" s="12">
        <f>IF(H263="","",IF($D$18="LEGAL",H263,EDATE(H263,-$D$13)))</f>
        <v/>
      </c>
      <c r="L263" s="13">
        <f>IF(H263="","",IFERROR(INDEX('Tipos BdE'!$B$7:$M$336,MATCH(DATE(YEAR(K263),MONTH(K263),1),'Tipos BdE'!$A$7:$A$336,1),MATCH($D$9,'Tipos BdE'!$B$6:$M$6,0)),0))</f>
        <v/>
      </c>
      <c r="M263" s="13">
        <f>IF(H263="","",IF($D$18="LEGAL",0,$D$10))</f>
        <v/>
      </c>
      <c r="N263" s="13">
        <f>IF(H263="","",IF(AND($D$14="Sí",(L263+M263)&lt;0),0,L263+M263))</f>
        <v/>
      </c>
      <c r="O263" s="199">
        <f>IF(H263="","",$D$5*N263*J263/36500)</f>
        <v/>
      </c>
      <c r="P263" s="199">
        <f>IF(H263="","",$D$5+SUM($O$5:O263))</f>
        <v/>
      </c>
    </row>
    <row r="264">
      <c r="G264" s="11">
        <f>IF(H264="","",ROW()-4)</f>
        <v/>
      </c>
      <c r="H264" s="12">
        <f>IF(OR(I263="",I263&gt;=$D$7),"",I263)</f>
        <v/>
      </c>
      <c r="I264" s="12">
        <f>IF(H264="","",MIN(IF($D$18="LEGAL",DATE(YEAR(H264)+1,1,1),EDATE($D$12,$D$11*(INT((((YEAR(H264)-YEAR($D$12))*12+(MONTH(H264)-MONTH($D$12))-IF(DAY(H264)&lt;DAY($D$12),1,0))/$D$11))+1))),$D$7))</f>
        <v/>
      </c>
      <c r="J264" s="11">
        <f>IF(H264="","",I264-H264)</f>
        <v/>
      </c>
      <c r="K264" s="12">
        <f>IF(H264="","",IF($D$18="LEGAL",H264,EDATE(H264,-$D$13)))</f>
        <v/>
      </c>
      <c r="L264" s="13">
        <f>IF(H264="","",IFERROR(INDEX('Tipos BdE'!$B$7:$M$336,MATCH(DATE(YEAR(K264),MONTH(K264),1),'Tipos BdE'!$A$7:$A$336,1),MATCH($D$9,'Tipos BdE'!$B$6:$M$6,0)),0))</f>
        <v/>
      </c>
      <c r="M264" s="13">
        <f>IF(H264="","",IF($D$18="LEGAL",0,$D$10))</f>
        <v/>
      </c>
      <c r="N264" s="13">
        <f>IF(H264="","",IF(AND($D$14="Sí",(L264+M264)&lt;0),0,L264+M264))</f>
        <v/>
      </c>
      <c r="O264" s="199">
        <f>IF(H264="","",$D$5*N264*J264/36500)</f>
        <v/>
      </c>
      <c r="P264" s="199">
        <f>IF(H264="","",$D$5+SUM($O$5:O264))</f>
        <v/>
      </c>
    </row>
    <row r="265">
      <c r="G265" s="11">
        <f>IF(H265="","",ROW()-4)</f>
        <v/>
      </c>
      <c r="H265" s="12">
        <f>IF(OR(I264="",I264&gt;=$D$7),"",I264)</f>
        <v/>
      </c>
      <c r="I265" s="12">
        <f>IF(H265="","",MIN(IF($D$18="LEGAL",DATE(YEAR(H265)+1,1,1),EDATE($D$12,$D$11*(INT((((YEAR(H265)-YEAR($D$12))*12+(MONTH(H265)-MONTH($D$12))-IF(DAY(H265)&lt;DAY($D$12),1,0))/$D$11))+1))),$D$7))</f>
        <v/>
      </c>
      <c r="J265" s="11">
        <f>IF(H265="","",I265-H265)</f>
        <v/>
      </c>
      <c r="K265" s="12">
        <f>IF(H265="","",IF($D$18="LEGAL",H265,EDATE(H265,-$D$13)))</f>
        <v/>
      </c>
      <c r="L265" s="13">
        <f>IF(H265="","",IFERROR(INDEX('Tipos BdE'!$B$7:$M$336,MATCH(DATE(YEAR(K265),MONTH(K265),1),'Tipos BdE'!$A$7:$A$336,1),MATCH($D$9,'Tipos BdE'!$B$6:$M$6,0)),0))</f>
        <v/>
      </c>
      <c r="M265" s="13">
        <f>IF(H265="","",IF($D$18="LEGAL",0,$D$10))</f>
        <v/>
      </c>
      <c r="N265" s="13">
        <f>IF(H265="","",IF(AND($D$14="Sí",(L265+M265)&lt;0),0,L265+M265))</f>
        <v/>
      </c>
      <c r="O265" s="199">
        <f>IF(H265="","",$D$5*N265*J265/36500)</f>
        <v/>
      </c>
      <c r="P265" s="199">
        <f>IF(H265="","",$D$5+SUM($O$5:O265))</f>
        <v/>
      </c>
    </row>
    <row r="266">
      <c r="G266" s="11">
        <f>IF(H266="","",ROW()-4)</f>
        <v/>
      </c>
      <c r="H266" s="12">
        <f>IF(OR(I265="",I265&gt;=$D$7),"",I265)</f>
        <v/>
      </c>
      <c r="I266" s="12">
        <f>IF(H266="","",MIN(IF($D$18="LEGAL",DATE(YEAR(H266)+1,1,1),EDATE($D$12,$D$11*(INT((((YEAR(H266)-YEAR($D$12))*12+(MONTH(H266)-MONTH($D$12))-IF(DAY(H266)&lt;DAY($D$12),1,0))/$D$11))+1))),$D$7))</f>
        <v/>
      </c>
      <c r="J266" s="11">
        <f>IF(H266="","",I266-H266)</f>
        <v/>
      </c>
      <c r="K266" s="12">
        <f>IF(H266="","",IF($D$18="LEGAL",H266,EDATE(H266,-$D$13)))</f>
        <v/>
      </c>
      <c r="L266" s="13">
        <f>IF(H266="","",IFERROR(INDEX('Tipos BdE'!$B$7:$M$336,MATCH(DATE(YEAR(K266),MONTH(K266),1),'Tipos BdE'!$A$7:$A$336,1),MATCH($D$9,'Tipos BdE'!$B$6:$M$6,0)),0))</f>
        <v/>
      </c>
      <c r="M266" s="13">
        <f>IF(H266="","",IF($D$18="LEGAL",0,$D$10))</f>
        <v/>
      </c>
      <c r="N266" s="13">
        <f>IF(H266="","",IF(AND($D$14="Sí",(L266+M266)&lt;0),0,L266+M266))</f>
        <v/>
      </c>
      <c r="O266" s="199">
        <f>IF(H266="","",$D$5*N266*J266/36500)</f>
        <v/>
      </c>
      <c r="P266" s="199">
        <f>IF(H266="","",$D$5+SUM($O$5:O266))</f>
        <v/>
      </c>
    </row>
    <row r="267">
      <c r="G267" s="11">
        <f>IF(H267="","",ROW()-4)</f>
        <v/>
      </c>
      <c r="H267" s="12">
        <f>IF(OR(I266="",I266&gt;=$D$7),"",I266)</f>
        <v/>
      </c>
      <c r="I267" s="12">
        <f>IF(H267="","",MIN(IF($D$18="LEGAL",DATE(YEAR(H267)+1,1,1),EDATE($D$12,$D$11*(INT((((YEAR(H267)-YEAR($D$12))*12+(MONTH(H267)-MONTH($D$12))-IF(DAY(H267)&lt;DAY($D$12),1,0))/$D$11))+1))),$D$7))</f>
        <v/>
      </c>
      <c r="J267" s="11">
        <f>IF(H267="","",I267-H267)</f>
        <v/>
      </c>
      <c r="K267" s="12">
        <f>IF(H267="","",IF($D$18="LEGAL",H267,EDATE(H267,-$D$13)))</f>
        <v/>
      </c>
      <c r="L267" s="13">
        <f>IF(H267="","",IFERROR(INDEX('Tipos BdE'!$B$7:$M$336,MATCH(DATE(YEAR(K267),MONTH(K267),1),'Tipos BdE'!$A$7:$A$336,1),MATCH($D$9,'Tipos BdE'!$B$6:$M$6,0)),0))</f>
        <v/>
      </c>
      <c r="M267" s="13">
        <f>IF(H267="","",IF($D$18="LEGAL",0,$D$10))</f>
        <v/>
      </c>
      <c r="N267" s="13">
        <f>IF(H267="","",IF(AND($D$14="Sí",(L267+M267)&lt;0),0,L267+M267))</f>
        <v/>
      </c>
      <c r="O267" s="199">
        <f>IF(H267="","",$D$5*N267*J267/36500)</f>
        <v/>
      </c>
      <c r="P267" s="199">
        <f>IF(H267="","",$D$5+SUM($O$5:O267))</f>
        <v/>
      </c>
    </row>
    <row r="268">
      <c r="G268" s="11">
        <f>IF(H268="","",ROW()-4)</f>
        <v/>
      </c>
      <c r="H268" s="12">
        <f>IF(OR(I267="",I267&gt;=$D$7),"",I267)</f>
        <v/>
      </c>
      <c r="I268" s="12">
        <f>IF(H268="","",MIN(IF($D$18="LEGAL",DATE(YEAR(H268)+1,1,1),EDATE($D$12,$D$11*(INT((((YEAR(H268)-YEAR($D$12))*12+(MONTH(H268)-MONTH($D$12))-IF(DAY(H268)&lt;DAY($D$12),1,0))/$D$11))+1))),$D$7))</f>
        <v/>
      </c>
      <c r="J268" s="11">
        <f>IF(H268="","",I268-H268)</f>
        <v/>
      </c>
      <c r="K268" s="12">
        <f>IF(H268="","",IF($D$18="LEGAL",H268,EDATE(H268,-$D$13)))</f>
        <v/>
      </c>
      <c r="L268" s="13">
        <f>IF(H268="","",IFERROR(INDEX('Tipos BdE'!$B$7:$M$336,MATCH(DATE(YEAR(K268),MONTH(K268),1),'Tipos BdE'!$A$7:$A$336,1),MATCH($D$9,'Tipos BdE'!$B$6:$M$6,0)),0))</f>
        <v/>
      </c>
      <c r="M268" s="13">
        <f>IF(H268="","",IF($D$18="LEGAL",0,$D$10))</f>
        <v/>
      </c>
      <c r="N268" s="13">
        <f>IF(H268="","",IF(AND($D$14="Sí",(L268+M268)&lt;0),0,L268+M268))</f>
        <v/>
      </c>
      <c r="O268" s="199">
        <f>IF(H268="","",$D$5*N268*J268/36500)</f>
        <v/>
      </c>
      <c r="P268" s="199">
        <f>IF(H268="","",$D$5+SUM($O$5:O268))</f>
        <v/>
      </c>
    </row>
    <row r="269">
      <c r="G269" s="11">
        <f>IF(H269="","",ROW()-4)</f>
        <v/>
      </c>
      <c r="H269" s="12">
        <f>IF(OR(I268="",I268&gt;=$D$7),"",I268)</f>
        <v/>
      </c>
      <c r="I269" s="12">
        <f>IF(H269="","",MIN(IF($D$18="LEGAL",DATE(YEAR(H269)+1,1,1),EDATE($D$12,$D$11*(INT((((YEAR(H269)-YEAR($D$12))*12+(MONTH(H269)-MONTH($D$12))-IF(DAY(H269)&lt;DAY($D$12),1,0))/$D$11))+1))),$D$7))</f>
        <v/>
      </c>
      <c r="J269" s="11">
        <f>IF(H269="","",I269-H269)</f>
        <v/>
      </c>
      <c r="K269" s="12">
        <f>IF(H269="","",IF($D$18="LEGAL",H269,EDATE(H269,-$D$13)))</f>
        <v/>
      </c>
      <c r="L269" s="13">
        <f>IF(H269="","",IFERROR(INDEX('Tipos BdE'!$B$7:$M$336,MATCH(DATE(YEAR(K269),MONTH(K269),1),'Tipos BdE'!$A$7:$A$336,1),MATCH($D$9,'Tipos BdE'!$B$6:$M$6,0)),0))</f>
        <v/>
      </c>
      <c r="M269" s="13">
        <f>IF(H269="","",IF($D$18="LEGAL",0,$D$10))</f>
        <v/>
      </c>
      <c r="N269" s="13">
        <f>IF(H269="","",IF(AND($D$14="Sí",(L269+M269)&lt;0),0,L269+M269))</f>
        <v/>
      </c>
      <c r="O269" s="199">
        <f>IF(H269="","",$D$5*N269*J269/36500)</f>
        <v/>
      </c>
      <c r="P269" s="199">
        <f>IF(H269="","",$D$5+SUM($O$5:O269))</f>
        <v/>
      </c>
    </row>
    <row r="270">
      <c r="G270" s="11">
        <f>IF(H270="","",ROW()-4)</f>
        <v/>
      </c>
      <c r="H270" s="12">
        <f>IF(OR(I269="",I269&gt;=$D$7),"",I269)</f>
        <v/>
      </c>
      <c r="I270" s="12">
        <f>IF(H270="","",MIN(IF($D$18="LEGAL",DATE(YEAR(H270)+1,1,1),EDATE($D$12,$D$11*(INT((((YEAR(H270)-YEAR($D$12))*12+(MONTH(H270)-MONTH($D$12))-IF(DAY(H270)&lt;DAY($D$12),1,0))/$D$11))+1))),$D$7))</f>
        <v/>
      </c>
      <c r="J270" s="11">
        <f>IF(H270="","",I270-H270)</f>
        <v/>
      </c>
      <c r="K270" s="12">
        <f>IF(H270="","",IF($D$18="LEGAL",H270,EDATE(H270,-$D$13)))</f>
        <v/>
      </c>
      <c r="L270" s="13">
        <f>IF(H270="","",IFERROR(INDEX('Tipos BdE'!$B$7:$M$336,MATCH(DATE(YEAR(K270),MONTH(K270),1),'Tipos BdE'!$A$7:$A$336,1),MATCH($D$9,'Tipos BdE'!$B$6:$M$6,0)),0))</f>
        <v/>
      </c>
      <c r="M270" s="13">
        <f>IF(H270="","",IF($D$18="LEGAL",0,$D$10))</f>
        <v/>
      </c>
      <c r="N270" s="13">
        <f>IF(H270="","",IF(AND($D$14="Sí",(L270+M270)&lt;0),0,L270+M270))</f>
        <v/>
      </c>
      <c r="O270" s="199">
        <f>IF(H270="","",$D$5*N270*J270/36500)</f>
        <v/>
      </c>
      <c r="P270" s="199">
        <f>IF(H270="","",$D$5+SUM($O$5:O270))</f>
        <v/>
      </c>
    </row>
    <row r="271">
      <c r="G271" s="11">
        <f>IF(H271="","",ROW()-4)</f>
        <v/>
      </c>
      <c r="H271" s="12">
        <f>IF(OR(I270="",I270&gt;=$D$7),"",I270)</f>
        <v/>
      </c>
      <c r="I271" s="12">
        <f>IF(H271="","",MIN(IF($D$18="LEGAL",DATE(YEAR(H271)+1,1,1),EDATE($D$12,$D$11*(INT((((YEAR(H271)-YEAR($D$12))*12+(MONTH(H271)-MONTH($D$12))-IF(DAY(H271)&lt;DAY($D$12),1,0))/$D$11))+1))),$D$7))</f>
        <v/>
      </c>
      <c r="J271" s="11">
        <f>IF(H271="","",I271-H271)</f>
        <v/>
      </c>
      <c r="K271" s="12">
        <f>IF(H271="","",IF($D$18="LEGAL",H271,EDATE(H271,-$D$13)))</f>
        <v/>
      </c>
      <c r="L271" s="13">
        <f>IF(H271="","",IFERROR(INDEX('Tipos BdE'!$B$7:$M$336,MATCH(DATE(YEAR(K271),MONTH(K271),1),'Tipos BdE'!$A$7:$A$336,1),MATCH($D$9,'Tipos BdE'!$B$6:$M$6,0)),0))</f>
        <v/>
      </c>
      <c r="M271" s="13">
        <f>IF(H271="","",IF($D$18="LEGAL",0,$D$10))</f>
        <v/>
      </c>
      <c r="N271" s="13">
        <f>IF(H271="","",IF(AND($D$14="Sí",(L271+M271)&lt;0),0,L271+M271))</f>
        <v/>
      </c>
      <c r="O271" s="199">
        <f>IF(H271="","",$D$5*N271*J271/36500)</f>
        <v/>
      </c>
      <c r="P271" s="199">
        <f>IF(H271="","",$D$5+SUM($O$5:O271))</f>
        <v/>
      </c>
    </row>
    <row r="272">
      <c r="G272" s="11">
        <f>IF(H272="","",ROW()-4)</f>
        <v/>
      </c>
      <c r="H272" s="12">
        <f>IF(OR(I271="",I271&gt;=$D$7),"",I271)</f>
        <v/>
      </c>
      <c r="I272" s="12">
        <f>IF(H272="","",MIN(IF($D$18="LEGAL",DATE(YEAR(H272)+1,1,1),EDATE($D$12,$D$11*(INT((((YEAR(H272)-YEAR($D$12))*12+(MONTH(H272)-MONTH($D$12))-IF(DAY(H272)&lt;DAY($D$12),1,0))/$D$11))+1))),$D$7))</f>
        <v/>
      </c>
      <c r="J272" s="11">
        <f>IF(H272="","",I272-H272)</f>
        <v/>
      </c>
      <c r="K272" s="12">
        <f>IF(H272="","",IF($D$18="LEGAL",H272,EDATE(H272,-$D$13)))</f>
        <v/>
      </c>
      <c r="L272" s="13">
        <f>IF(H272="","",IFERROR(INDEX('Tipos BdE'!$B$7:$M$336,MATCH(DATE(YEAR(K272),MONTH(K272),1),'Tipos BdE'!$A$7:$A$336,1),MATCH($D$9,'Tipos BdE'!$B$6:$M$6,0)),0))</f>
        <v/>
      </c>
      <c r="M272" s="13">
        <f>IF(H272="","",IF($D$18="LEGAL",0,$D$10))</f>
        <v/>
      </c>
      <c r="N272" s="13">
        <f>IF(H272="","",IF(AND($D$14="Sí",(L272+M272)&lt;0),0,L272+M272))</f>
        <v/>
      </c>
      <c r="O272" s="199">
        <f>IF(H272="","",$D$5*N272*J272/36500)</f>
        <v/>
      </c>
      <c r="P272" s="199">
        <f>IF(H272="","",$D$5+SUM($O$5:O272))</f>
        <v/>
      </c>
    </row>
    <row r="273">
      <c r="G273" s="11">
        <f>IF(H273="","",ROW()-4)</f>
        <v/>
      </c>
      <c r="H273" s="12">
        <f>IF(OR(I272="",I272&gt;=$D$7),"",I272)</f>
        <v/>
      </c>
      <c r="I273" s="12">
        <f>IF(H273="","",MIN(IF($D$18="LEGAL",DATE(YEAR(H273)+1,1,1),EDATE($D$12,$D$11*(INT((((YEAR(H273)-YEAR($D$12))*12+(MONTH(H273)-MONTH($D$12))-IF(DAY(H273)&lt;DAY($D$12),1,0))/$D$11))+1))),$D$7))</f>
        <v/>
      </c>
      <c r="J273" s="11">
        <f>IF(H273="","",I273-H273)</f>
        <v/>
      </c>
      <c r="K273" s="12">
        <f>IF(H273="","",IF($D$18="LEGAL",H273,EDATE(H273,-$D$13)))</f>
        <v/>
      </c>
      <c r="L273" s="13">
        <f>IF(H273="","",IFERROR(INDEX('Tipos BdE'!$B$7:$M$336,MATCH(DATE(YEAR(K273),MONTH(K273),1),'Tipos BdE'!$A$7:$A$336,1),MATCH($D$9,'Tipos BdE'!$B$6:$M$6,0)),0))</f>
        <v/>
      </c>
      <c r="M273" s="13">
        <f>IF(H273="","",IF($D$18="LEGAL",0,$D$10))</f>
        <v/>
      </c>
      <c r="N273" s="13">
        <f>IF(H273="","",IF(AND($D$14="Sí",(L273+M273)&lt;0),0,L273+M273))</f>
        <v/>
      </c>
      <c r="O273" s="199">
        <f>IF(H273="","",$D$5*N273*J273/36500)</f>
        <v/>
      </c>
      <c r="P273" s="199">
        <f>IF(H273="","",$D$5+SUM($O$5:O273))</f>
        <v/>
      </c>
    </row>
    <row r="274">
      <c r="G274" s="11">
        <f>IF(H274="","",ROW()-4)</f>
        <v/>
      </c>
      <c r="H274" s="12">
        <f>IF(OR(I273="",I273&gt;=$D$7),"",I273)</f>
        <v/>
      </c>
      <c r="I274" s="12">
        <f>IF(H274="","",MIN(IF($D$18="LEGAL",DATE(YEAR(H274)+1,1,1),EDATE($D$12,$D$11*(INT((((YEAR(H274)-YEAR($D$12))*12+(MONTH(H274)-MONTH($D$12))-IF(DAY(H274)&lt;DAY($D$12),1,0))/$D$11))+1))),$D$7))</f>
        <v/>
      </c>
      <c r="J274" s="11">
        <f>IF(H274="","",I274-H274)</f>
        <v/>
      </c>
      <c r="K274" s="12">
        <f>IF(H274="","",IF($D$18="LEGAL",H274,EDATE(H274,-$D$13)))</f>
        <v/>
      </c>
      <c r="L274" s="13">
        <f>IF(H274="","",IFERROR(INDEX('Tipos BdE'!$B$7:$M$336,MATCH(DATE(YEAR(K274),MONTH(K274),1),'Tipos BdE'!$A$7:$A$336,1),MATCH($D$9,'Tipos BdE'!$B$6:$M$6,0)),0))</f>
        <v/>
      </c>
      <c r="M274" s="13">
        <f>IF(H274="","",IF($D$18="LEGAL",0,$D$10))</f>
        <v/>
      </c>
      <c r="N274" s="13">
        <f>IF(H274="","",IF(AND($D$14="Sí",(L274+M274)&lt;0),0,L274+M274))</f>
        <v/>
      </c>
      <c r="O274" s="199">
        <f>IF(H274="","",$D$5*N274*J274/36500)</f>
        <v/>
      </c>
      <c r="P274" s="199">
        <f>IF(H274="","",$D$5+SUM($O$5:O274))</f>
        <v/>
      </c>
    </row>
    <row r="275">
      <c r="G275" s="11">
        <f>IF(H275="","",ROW()-4)</f>
        <v/>
      </c>
      <c r="H275" s="12">
        <f>IF(OR(I274="",I274&gt;=$D$7),"",I274)</f>
        <v/>
      </c>
      <c r="I275" s="12">
        <f>IF(H275="","",MIN(IF($D$18="LEGAL",DATE(YEAR(H275)+1,1,1),EDATE($D$12,$D$11*(INT((((YEAR(H275)-YEAR($D$12))*12+(MONTH(H275)-MONTH($D$12))-IF(DAY(H275)&lt;DAY($D$12),1,0))/$D$11))+1))),$D$7))</f>
        <v/>
      </c>
      <c r="J275" s="11">
        <f>IF(H275="","",I275-H275)</f>
        <v/>
      </c>
      <c r="K275" s="12">
        <f>IF(H275="","",IF($D$18="LEGAL",H275,EDATE(H275,-$D$13)))</f>
        <v/>
      </c>
      <c r="L275" s="13">
        <f>IF(H275="","",IFERROR(INDEX('Tipos BdE'!$B$7:$M$336,MATCH(DATE(YEAR(K275),MONTH(K275),1),'Tipos BdE'!$A$7:$A$336,1),MATCH($D$9,'Tipos BdE'!$B$6:$M$6,0)),0))</f>
        <v/>
      </c>
      <c r="M275" s="13">
        <f>IF(H275="","",IF($D$18="LEGAL",0,$D$10))</f>
        <v/>
      </c>
      <c r="N275" s="13">
        <f>IF(H275="","",IF(AND($D$14="Sí",(L275+M275)&lt;0),0,L275+M275))</f>
        <v/>
      </c>
      <c r="O275" s="199">
        <f>IF(H275="","",$D$5*N275*J275/36500)</f>
        <v/>
      </c>
      <c r="P275" s="199">
        <f>IF(H275="","",$D$5+SUM($O$5:O275))</f>
        <v/>
      </c>
    </row>
    <row r="276">
      <c r="G276" s="11">
        <f>IF(H276="","",ROW()-4)</f>
        <v/>
      </c>
      <c r="H276" s="12">
        <f>IF(OR(I275="",I275&gt;=$D$7),"",I275)</f>
        <v/>
      </c>
      <c r="I276" s="12">
        <f>IF(H276="","",MIN(IF($D$18="LEGAL",DATE(YEAR(H276)+1,1,1),EDATE($D$12,$D$11*(INT((((YEAR(H276)-YEAR($D$12))*12+(MONTH(H276)-MONTH($D$12))-IF(DAY(H276)&lt;DAY($D$12),1,0))/$D$11))+1))),$D$7))</f>
        <v/>
      </c>
      <c r="J276" s="11">
        <f>IF(H276="","",I276-H276)</f>
        <v/>
      </c>
      <c r="K276" s="12">
        <f>IF(H276="","",IF($D$18="LEGAL",H276,EDATE(H276,-$D$13)))</f>
        <v/>
      </c>
      <c r="L276" s="13">
        <f>IF(H276="","",IFERROR(INDEX('Tipos BdE'!$B$7:$M$336,MATCH(DATE(YEAR(K276),MONTH(K276),1),'Tipos BdE'!$A$7:$A$336,1),MATCH($D$9,'Tipos BdE'!$B$6:$M$6,0)),0))</f>
        <v/>
      </c>
      <c r="M276" s="13">
        <f>IF(H276="","",IF($D$18="LEGAL",0,$D$10))</f>
        <v/>
      </c>
      <c r="N276" s="13">
        <f>IF(H276="","",IF(AND($D$14="Sí",(L276+M276)&lt;0),0,L276+M276))</f>
        <v/>
      </c>
      <c r="O276" s="199">
        <f>IF(H276="","",$D$5*N276*J276/36500)</f>
        <v/>
      </c>
      <c r="P276" s="199">
        <f>IF(H276="","",$D$5+SUM($O$5:O276))</f>
        <v/>
      </c>
    </row>
    <row r="277">
      <c r="G277" s="11">
        <f>IF(H277="","",ROW()-4)</f>
        <v/>
      </c>
      <c r="H277" s="12">
        <f>IF(OR(I276="",I276&gt;=$D$7),"",I276)</f>
        <v/>
      </c>
      <c r="I277" s="12">
        <f>IF(H277="","",MIN(IF($D$18="LEGAL",DATE(YEAR(H277)+1,1,1),EDATE($D$12,$D$11*(INT((((YEAR(H277)-YEAR($D$12))*12+(MONTH(H277)-MONTH($D$12))-IF(DAY(H277)&lt;DAY($D$12),1,0))/$D$11))+1))),$D$7))</f>
        <v/>
      </c>
      <c r="J277" s="11">
        <f>IF(H277="","",I277-H277)</f>
        <v/>
      </c>
      <c r="K277" s="12">
        <f>IF(H277="","",IF($D$18="LEGAL",H277,EDATE(H277,-$D$13)))</f>
        <v/>
      </c>
      <c r="L277" s="13">
        <f>IF(H277="","",IFERROR(INDEX('Tipos BdE'!$B$7:$M$336,MATCH(DATE(YEAR(K277),MONTH(K277),1),'Tipos BdE'!$A$7:$A$336,1),MATCH($D$9,'Tipos BdE'!$B$6:$M$6,0)),0))</f>
        <v/>
      </c>
      <c r="M277" s="13">
        <f>IF(H277="","",IF($D$18="LEGAL",0,$D$10))</f>
        <v/>
      </c>
      <c r="N277" s="13">
        <f>IF(H277="","",IF(AND($D$14="Sí",(L277+M277)&lt;0),0,L277+M277))</f>
        <v/>
      </c>
      <c r="O277" s="199">
        <f>IF(H277="","",$D$5*N277*J277/36500)</f>
        <v/>
      </c>
      <c r="P277" s="199">
        <f>IF(H277="","",$D$5+SUM($O$5:O277))</f>
        <v/>
      </c>
    </row>
    <row r="278">
      <c r="G278" s="11">
        <f>IF(H278="","",ROW()-4)</f>
        <v/>
      </c>
      <c r="H278" s="12">
        <f>IF(OR(I277="",I277&gt;=$D$7),"",I277)</f>
        <v/>
      </c>
      <c r="I278" s="12">
        <f>IF(H278="","",MIN(IF($D$18="LEGAL",DATE(YEAR(H278)+1,1,1),EDATE($D$12,$D$11*(INT((((YEAR(H278)-YEAR($D$12))*12+(MONTH(H278)-MONTH($D$12))-IF(DAY(H278)&lt;DAY($D$12),1,0))/$D$11))+1))),$D$7))</f>
        <v/>
      </c>
      <c r="J278" s="11">
        <f>IF(H278="","",I278-H278)</f>
        <v/>
      </c>
      <c r="K278" s="12">
        <f>IF(H278="","",IF($D$18="LEGAL",H278,EDATE(H278,-$D$13)))</f>
        <v/>
      </c>
      <c r="L278" s="13">
        <f>IF(H278="","",IFERROR(INDEX('Tipos BdE'!$B$7:$M$336,MATCH(DATE(YEAR(K278),MONTH(K278),1),'Tipos BdE'!$A$7:$A$336,1),MATCH($D$9,'Tipos BdE'!$B$6:$M$6,0)),0))</f>
        <v/>
      </c>
      <c r="M278" s="13">
        <f>IF(H278="","",IF($D$18="LEGAL",0,$D$10))</f>
        <v/>
      </c>
      <c r="N278" s="13">
        <f>IF(H278="","",IF(AND($D$14="Sí",(L278+M278)&lt;0),0,L278+M278))</f>
        <v/>
      </c>
      <c r="O278" s="199">
        <f>IF(H278="","",$D$5*N278*J278/36500)</f>
        <v/>
      </c>
      <c r="P278" s="199">
        <f>IF(H278="","",$D$5+SUM($O$5:O278))</f>
        <v/>
      </c>
    </row>
    <row r="279">
      <c r="G279" s="11">
        <f>IF(H279="","",ROW()-4)</f>
        <v/>
      </c>
      <c r="H279" s="12">
        <f>IF(OR(I278="",I278&gt;=$D$7),"",I278)</f>
        <v/>
      </c>
      <c r="I279" s="12">
        <f>IF(H279="","",MIN(IF($D$18="LEGAL",DATE(YEAR(H279)+1,1,1),EDATE($D$12,$D$11*(INT((((YEAR(H279)-YEAR($D$12))*12+(MONTH(H279)-MONTH($D$12))-IF(DAY(H279)&lt;DAY($D$12),1,0))/$D$11))+1))),$D$7))</f>
        <v/>
      </c>
      <c r="J279" s="11">
        <f>IF(H279="","",I279-H279)</f>
        <v/>
      </c>
      <c r="K279" s="12">
        <f>IF(H279="","",IF($D$18="LEGAL",H279,EDATE(H279,-$D$13)))</f>
        <v/>
      </c>
      <c r="L279" s="13">
        <f>IF(H279="","",IFERROR(INDEX('Tipos BdE'!$B$7:$M$336,MATCH(DATE(YEAR(K279),MONTH(K279),1),'Tipos BdE'!$A$7:$A$336,1),MATCH($D$9,'Tipos BdE'!$B$6:$M$6,0)),0))</f>
        <v/>
      </c>
      <c r="M279" s="13">
        <f>IF(H279="","",IF($D$18="LEGAL",0,$D$10))</f>
        <v/>
      </c>
      <c r="N279" s="13">
        <f>IF(H279="","",IF(AND($D$14="Sí",(L279+M279)&lt;0),0,L279+M279))</f>
        <v/>
      </c>
      <c r="O279" s="199">
        <f>IF(H279="","",$D$5*N279*J279/36500)</f>
        <v/>
      </c>
      <c r="P279" s="199">
        <f>IF(H279="","",$D$5+SUM($O$5:O279))</f>
        <v/>
      </c>
    </row>
    <row r="280">
      <c r="G280" s="11">
        <f>IF(H280="","",ROW()-4)</f>
        <v/>
      </c>
      <c r="H280" s="12">
        <f>IF(OR(I279="",I279&gt;=$D$7),"",I279)</f>
        <v/>
      </c>
      <c r="I280" s="12">
        <f>IF(H280="","",MIN(IF($D$18="LEGAL",DATE(YEAR(H280)+1,1,1),EDATE($D$12,$D$11*(INT((((YEAR(H280)-YEAR($D$12))*12+(MONTH(H280)-MONTH($D$12))-IF(DAY(H280)&lt;DAY($D$12),1,0))/$D$11))+1))),$D$7))</f>
        <v/>
      </c>
      <c r="J280" s="11">
        <f>IF(H280="","",I280-H280)</f>
        <v/>
      </c>
      <c r="K280" s="12">
        <f>IF(H280="","",IF($D$18="LEGAL",H280,EDATE(H280,-$D$13)))</f>
        <v/>
      </c>
      <c r="L280" s="13">
        <f>IF(H280="","",IFERROR(INDEX('Tipos BdE'!$B$7:$M$336,MATCH(DATE(YEAR(K280),MONTH(K280),1),'Tipos BdE'!$A$7:$A$336,1),MATCH($D$9,'Tipos BdE'!$B$6:$M$6,0)),0))</f>
        <v/>
      </c>
      <c r="M280" s="13">
        <f>IF(H280="","",IF($D$18="LEGAL",0,$D$10))</f>
        <v/>
      </c>
      <c r="N280" s="13">
        <f>IF(H280="","",IF(AND($D$14="Sí",(L280+M280)&lt;0),0,L280+M280))</f>
        <v/>
      </c>
      <c r="O280" s="199">
        <f>IF(H280="","",$D$5*N280*J280/36500)</f>
        <v/>
      </c>
      <c r="P280" s="199">
        <f>IF(H280="","",$D$5+SUM($O$5:O280))</f>
        <v/>
      </c>
    </row>
    <row r="281">
      <c r="G281" s="11">
        <f>IF(H281="","",ROW()-4)</f>
        <v/>
      </c>
      <c r="H281" s="12">
        <f>IF(OR(I280="",I280&gt;=$D$7),"",I280)</f>
        <v/>
      </c>
      <c r="I281" s="12">
        <f>IF(H281="","",MIN(IF($D$18="LEGAL",DATE(YEAR(H281)+1,1,1),EDATE($D$12,$D$11*(INT((((YEAR(H281)-YEAR($D$12))*12+(MONTH(H281)-MONTH($D$12))-IF(DAY(H281)&lt;DAY($D$12),1,0))/$D$11))+1))),$D$7))</f>
        <v/>
      </c>
      <c r="J281" s="11">
        <f>IF(H281="","",I281-H281)</f>
        <v/>
      </c>
      <c r="K281" s="12">
        <f>IF(H281="","",IF($D$18="LEGAL",H281,EDATE(H281,-$D$13)))</f>
        <v/>
      </c>
      <c r="L281" s="13">
        <f>IF(H281="","",IFERROR(INDEX('Tipos BdE'!$B$7:$M$336,MATCH(DATE(YEAR(K281),MONTH(K281),1),'Tipos BdE'!$A$7:$A$336,1),MATCH($D$9,'Tipos BdE'!$B$6:$M$6,0)),0))</f>
        <v/>
      </c>
      <c r="M281" s="13">
        <f>IF(H281="","",IF($D$18="LEGAL",0,$D$10))</f>
        <v/>
      </c>
      <c r="N281" s="13">
        <f>IF(H281="","",IF(AND($D$14="Sí",(L281+M281)&lt;0),0,L281+M281))</f>
        <v/>
      </c>
      <c r="O281" s="199">
        <f>IF(H281="","",$D$5*N281*J281/36500)</f>
        <v/>
      </c>
      <c r="P281" s="199">
        <f>IF(H281="","",$D$5+SUM($O$5:O281))</f>
        <v/>
      </c>
    </row>
    <row r="282">
      <c r="G282" s="11">
        <f>IF(H282="","",ROW()-4)</f>
        <v/>
      </c>
      <c r="H282" s="12">
        <f>IF(OR(I281="",I281&gt;=$D$7),"",I281)</f>
        <v/>
      </c>
      <c r="I282" s="12">
        <f>IF(H282="","",MIN(IF($D$18="LEGAL",DATE(YEAR(H282)+1,1,1),EDATE($D$12,$D$11*(INT((((YEAR(H282)-YEAR($D$12))*12+(MONTH(H282)-MONTH($D$12))-IF(DAY(H282)&lt;DAY($D$12),1,0))/$D$11))+1))),$D$7))</f>
        <v/>
      </c>
      <c r="J282" s="11">
        <f>IF(H282="","",I282-H282)</f>
        <v/>
      </c>
      <c r="K282" s="12">
        <f>IF(H282="","",IF($D$18="LEGAL",H282,EDATE(H282,-$D$13)))</f>
        <v/>
      </c>
      <c r="L282" s="13">
        <f>IF(H282="","",IFERROR(INDEX('Tipos BdE'!$B$7:$M$336,MATCH(DATE(YEAR(K282),MONTH(K282),1),'Tipos BdE'!$A$7:$A$336,1),MATCH($D$9,'Tipos BdE'!$B$6:$M$6,0)),0))</f>
        <v/>
      </c>
      <c r="M282" s="13">
        <f>IF(H282="","",IF($D$18="LEGAL",0,$D$10))</f>
        <v/>
      </c>
      <c r="N282" s="13">
        <f>IF(H282="","",IF(AND($D$14="Sí",(L282+M282)&lt;0),0,L282+M282))</f>
        <v/>
      </c>
      <c r="O282" s="199">
        <f>IF(H282="","",$D$5*N282*J282/36500)</f>
        <v/>
      </c>
      <c r="P282" s="199">
        <f>IF(H282="","",$D$5+SUM($O$5:O282))</f>
        <v/>
      </c>
    </row>
    <row r="283">
      <c r="G283" s="11">
        <f>IF(H283="","",ROW()-4)</f>
        <v/>
      </c>
      <c r="H283" s="12">
        <f>IF(OR(I282="",I282&gt;=$D$7),"",I282)</f>
        <v/>
      </c>
      <c r="I283" s="12">
        <f>IF(H283="","",MIN(IF($D$18="LEGAL",DATE(YEAR(H283)+1,1,1),EDATE($D$12,$D$11*(INT((((YEAR(H283)-YEAR($D$12))*12+(MONTH(H283)-MONTH($D$12))-IF(DAY(H283)&lt;DAY($D$12),1,0))/$D$11))+1))),$D$7))</f>
        <v/>
      </c>
      <c r="J283" s="11">
        <f>IF(H283="","",I283-H283)</f>
        <v/>
      </c>
      <c r="K283" s="12">
        <f>IF(H283="","",IF($D$18="LEGAL",H283,EDATE(H283,-$D$13)))</f>
        <v/>
      </c>
      <c r="L283" s="13">
        <f>IF(H283="","",IFERROR(INDEX('Tipos BdE'!$B$7:$M$336,MATCH(DATE(YEAR(K283),MONTH(K283),1),'Tipos BdE'!$A$7:$A$336,1),MATCH($D$9,'Tipos BdE'!$B$6:$M$6,0)),0))</f>
        <v/>
      </c>
      <c r="M283" s="13">
        <f>IF(H283="","",IF($D$18="LEGAL",0,$D$10))</f>
        <v/>
      </c>
      <c r="N283" s="13">
        <f>IF(H283="","",IF(AND($D$14="Sí",(L283+M283)&lt;0),0,L283+M283))</f>
        <v/>
      </c>
      <c r="O283" s="199">
        <f>IF(H283="","",$D$5*N283*J283/36500)</f>
        <v/>
      </c>
      <c r="P283" s="199">
        <f>IF(H283="","",$D$5+SUM($O$5:O283))</f>
        <v/>
      </c>
    </row>
    <row r="284">
      <c r="G284" s="11">
        <f>IF(H284="","",ROW()-4)</f>
        <v/>
      </c>
      <c r="H284" s="12">
        <f>IF(OR(I283="",I283&gt;=$D$7),"",I283)</f>
        <v/>
      </c>
      <c r="I284" s="12">
        <f>IF(H284="","",MIN(IF($D$18="LEGAL",DATE(YEAR(H284)+1,1,1),EDATE($D$12,$D$11*(INT((((YEAR(H284)-YEAR($D$12))*12+(MONTH(H284)-MONTH($D$12))-IF(DAY(H284)&lt;DAY($D$12),1,0))/$D$11))+1))),$D$7))</f>
        <v/>
      </c>
      <c r="J284" s="11">
        <f>IF(H284="","",I284-H284)</f>
        <v/>
      </c>
      <c r="K284" s="12">
        <f>IF(H284="","",IF($D$18="LEGAL",H284,EDATE(H284,-$D$13)))</f>
        <v/>
      </c>
      <c r="L284" s="13">
        <f>IF(H284="","",IFERROR(INDEX('Tipos BdE'!$B$7:$M$336,MATCH(DATE(YEAR(K284),MONTH(K284),1),'Tipos BdE'!$A$7:$A$336,1),MATCH($D$9,'Tipos BdE'!$B$6:$M$6,0)),0))</f>
        <v/>
      </c>
      <c r="M284" s="13">
        <f>IF(H284="","",IF($D$18="LEGAL",0,$D$10))</f>
        <v/>
      </c>
      <c r="N284" s="13">
        <f>IF(H284="","",IF(AND($D$14="Sí",(L284+M284)&lt;0),0,L284+M284))</f>
        <v/>
      </c>
      <c r="O284" s="199">
        <f>IF(H284="","",$D$5*N284*J284/36500)</f>
        <v/>
      </c>
      <c r="P284" s="199">
        <f>IF(H284="","",$D$5+SUM($O$5:O284))</f>
        <v/>
      </c>
    </row>
    <row r="285">
      <c r="G285" s="11">
        <f>IF(H285="","",ROW()-4)</f>
        <v/>
      </c>
      <c r="H285" s="12">
        <f>IF(OR(I284="",I284&gt;=$D$7),"",I284)</f>
        <v/>
      </c>
      <c r="I285" s="12">
        <f>IF(H285="","",MIN(IF($D$18="LEGAL",DATE(YEAR(H285)+1,1,1),EDATE($D$12,$D$11*(INT((((YEAR(H285)-YEAR($D$12))*12+(MONTH(H285)-MONTH($D$12))-IF(DAY(H285)&lt;DAY($D$12),1,0))/$D$11))+1))),$D$7))</f>
        <v/>
      </c>
      <c r="J285" s="11">
        <f>IF(H285="","",I285-H285)</f>
        <v/>
      </c>
      <c r="K285" s="12">
        <f>IF(H285="","",IF($D$18="LEGAL",H285,EDATE(H285,-$D$13)))</f>
        <v/>
      </c>
      <c r="L285" s="13">
        <f>IF(H285="","",IFERROR(INDEX('Tipos BdE'!$B$7:$M$336,MATCH(DATE(YEAR(K285),MONTH(K285),1),'Tipos BdE'!$A$7:$A$336,1),MATCH($D$9,'Tipos BdE'!$B$6:$M$6,0)),0))</f>
        <v/>
      </c>
      <c r="M285" s="13">
        <f>IF(H285="","",IF($D$18="LEGAL",0,$D$10))</f>
        <v/>
      </c>
      <c r="N285" s="13">
        <f>IF(H285="","",IF(AND($D$14="Sí",(L285+M285)&lt;0),0,L285+M285))</f>
        <v/>
      </c>
      <c r="O285" s="199">
        <f>IF(H285="","",$D$5*N285*J285/36500)</f>
        <v/>
      </c>
      <c r="P285" s="199">
        <f>IF(H285="","",$D$5+SUM($O$5:O285))</f>
        <v/>
      </c>
    </row>
    <row r="286">
      <c r="G286" s="11">
        <f>IF(H286="","",ROW()-4)</f>
        <v/>
      </c>
      <c r="H286" s="12">
        <f>IF(OR(I285="",I285&gt;=$D$7),"",I285)</f>
        <v/>
      </c>
      <c r="I286" s="12">
        <f>IF(H286="","",MIN(IF($D$18="LEGAL",DATE(YEAR(H286)+1,1,1),EDATE($D$12,$D$11*(INT((((YEAR(H286)-YEAR($D$12))*12+(MONTH(H286)-MONTH($D$12))-IF(DAY(H286)&lt;DAY($D$12),1,0))/$D$11))+1))),$D$7))</f>
        <v/>
      </c>
      <c r="J286" s="11">
        <f>IF(H286="","",I286-H286)</f>
        <v/>
      </c>
      <c r="K286" s="12">
        <f>IF(H286="","",IF($D$18="LEGAL",H286,EDATE(H286,-$D$13)))</f>
        <v/>
      </c>
      <c r="L286" s="13">
        <f>IF(H286="","",IFERROR(INDEX('Tipos BdE'!$B$7:$M$336,MATCH(DATE(YEAR(K286),MONTH(K286),1),'Tipos BdE'!$A$7:$A$336,1),MATCH($D$9,'Tipos BdE'!$B$6:$M$6,0)),0))</f>
        <v/>
      </c>
      <c r="M286" s="13">
        <f>IF(H286="","",IF($D$18="LEGAL",0,$D$10))</f>
        <v/>
      </c>
      <c r="N286" s="13">
        <f>IF(H286="","",IF(AND($D$14="Sí",(L286+M286)&lt;0),0,L286+M286))</f>
        <v/>
      </c>
      <c r="O286" s="199">
        <f>IF(H286="","",$D$5*N286*J286/36500)</f>
        <v/>
      </c>
      <c r="P286" s="199">
        <f>IF(H286="","",$D$5+SUM($O$5:O286))</f>
        <v/>
      </c>
    </row>
    <row r="287">
      <c r="G287" s="11">
        <f>IF(H287="","",ROW()-4)</f>
        <v/>
      </c>
      <c r="H287" s="12">
        <f>IF(OR(I286="",I286&gt;=$D$7),"",I286)</f>
        <v/>
      </c>
      <c r="I287" s="12">
        <f>IF(H287="","",MIN(IF($D$18="LEGAL",DATE(YEAR(H287)+1,1,1),EDATE($D$12,$D$11*(INT((((YEAR(H287)-YEAR($D$12))*12+(MONTH(H287)-MONTH($D$12))-IF(DAY(H287)&lt;DAY($D$12),1,0))/$D$11))+1))),$D$7))</f>
        <v/>
      </c>
      <c r="J287" s="11">
        <f>IF(H287="","",I287-H287)</f>
        <v/>
      </c>
      <c r="K287" s="12">
        <f>IF(H287="","",IF($D$18="LEGAL",H287,EDATE(H287,-$D$13)))</f>
        <v/>
      </c>
      <c r="L287" s="13">
        <f>IF(H287="","",IFERROR(INDEX('Tipos BdE'!$B$7:$M$336,MATCH(DATE(YEAR(K287),MONTH(K287),1),'Tipos BdE'!$A$7:$A$336,1),MATCH($D$9,'Tipos BdE'!$B$6:$M$6,0)),0))</f>
        <v/>
      </c>
      <c r="M287" s="13">
        <f>IF(H287="","",IF($D$18="LEGAL",0,$D$10))</f>
        <v/>
      </c>
      <c r="N287" s="13">
        <f>IF(H287="","",IF(AND($D$14="Sí",(L287+M287)&lt;0),0,L287+M287))</f>
        <v/>
      </c>
      <c r="O287" s="199">
        <f>IF(H287="","",$D$5*N287*J287/36500)</f>
        <v/>
      </c>
      <c r="P287" s="199">
        <f>IF(H287="","",$D$5+SUM($O$5:O287))</f>
        <v/>
      </c>
    </row>
    <row r="288">
      <c r="G288" s="11">
        <f>IF(H288="","",ROW()-4)</f>
        <v/>
      </c>
      <c r="H288" s="12">
        <f>IF(OR(I287="",I287&gt;=$D$7),"",I287)</f>
        <v/>
      </c>
      <c r="I288" s="12">
        <f>IF(H288="","",MIN(IF($D$18="LEGAL",DATE(YEAR(H288)+1,1,1),EDATE($D$12,$D$11*(INT((((YEAR(H288)-YEAR($D$12))*12+(MONTH(H288)-MONTH($D$12))-IF(DAY(H288)&lt;DAY($D$12),1,0))/$D$11))+1))),$D$7))</f>
        <v/>
      </c>
      <c r="J288" s="11">
        <f>IF(H288="","",I288-H288)</f>
        <v/>
      </c>
      <c r="K288" s="12">
        <f>IF(H288="","",IF($D$18="LEGAL",H288,EDATE(H288,-$D$13)))</f>
        <v/>
      </c>
      <c r="L288" s="13">
        <f>IF(H288="","",IFERROR(INDEX('Tipos BdE'!$B$7:$M$336,MATCH(DATE(YEAR(K288),MONTH(K288),1),'Tipos BdE'!$A$7:$A$336,1),MATCH($D$9,'Tipos BdE'!$B$6:$M$6,0)),0))</f>
        <v/>
      </c>
      <c r="M288" s="13">
        <f>IF(H288="","",IF($D$18="LEGAL",0,$D$10))</f>
        <v/>
      </c>
      <c r="N288" s="13">
        <f>IF(H288="","",IF(AND($D$14="Sí",(L288+M288)&lt;0),0,L288+M288))</f>
        <v/>
      </c>
      <c r="O288" s="199">
        <f>IF(H288="","",$D$5*N288*J288/36500)</f>
        <v/>
      </c>
      <c r="P288" s="199">
        <f>IF(H288="","",$D$5+SUM($O$5:O288))</f>
        <v/>
      </c>
    </row>
    <row r="289">
      <c r="G289" s="11">
        <f>IF(H289="","",ROW()-4)</f>
        <v/>
      </c>
      <c r="H289" s="12">
        <f>IF(OR(I288="",I288&gt;=$D$7),"",I288)</f>
        <v/>
      </c>
      <c r="I289" s="12">
        <f>IF(H289="","",MIN(IF($D$18="LEGAL",DATE(YEAR(H289)+1,1,1),EDATE($D$12,$D$11*(INT((((YEAR(H289)-YEAR($D$12))*12+(MONTH(H289)-MONTH($D$12))-IF(DAY(H289)&lt;DAY($D$12),1,0))/$D$11))+1))),$D$7))</f>
        <v/>
      </c>
      <c r="J289" s="11">
        <f>IF(H289="","",I289-H289)</f>
        <v/>
      </c>
      <c r="K289" s="12">
        <f>IF(H289="","",IF($D$18="LEGAL",H289,EDATE(H289,-$D$13)))</f>
        <v/>
      </c>
      <c r="L289" s="13">
        <f>IF(H289="","",IFERROR(INDEX('Tipos BdE'!$B$7:$M$336,MATCH(DATE(YEAR(K289),MONTH(K289),1),'Tipos BdE'!$A$7:$A$336,1),MATCH($D$9,'Tipos BdE'!$B$6:$M$6,0)),0))</f>
        <v/>
      </c>
      <c r="M289" s="13">
        <f>IF(H289="","",IF($D$18="LEGAL",0,$D$10))</f>
        <v/>
      </c>
      <c r="N289" s="13">
        <f>IF(H289="","",IF(AND($D$14="Sí",(L289+M289)&lt;0),0,L289+M289))</f>
        <v/>
      </c>
      <c r="O289" s="199">
        <f>IF(H289="","",$D$5*N289*J289/36500)</f>
        <v/>
      </c>
      <c r="P289" s="199">
        <f>IF(H289="","",$D$5+SUM($O$5:O289))</f>
        <v/>
      </c>
    </row>
    <row r="290">
      <c r="G290" s="11">
        <f>IF(H290="","",ROW()-4)</f>
        <v/>
      </c>
      <c r="H290" s="12">
        <f>IF(OR(I289="",I289&gt;=$D$7),"",I289)</f>
        <v/>
      </c>
      <c r="I290" s="12">
        <f>IF(H290="","",MIN(IF($D$18="LEGAL",DATE(YEAR(H290)+1,1,1),EDATE($D$12,$D$11*(INT((((YEAR(H290)-YEAR($D$12))*12+(MONTH(H290)-MONTH($D$12))-IF(DAY(H290)&lt;DAY($D$12),1,0))/$D$11))+1))),$D$7))</f>
        <v/>
      </c>
      <c r="J290" s="11">
        <f>IF(H290="","",I290-H290)</f>
        <v/>
      </c>
      <c r="K290" s="12">
        <f>IF(H290="","",IF($D$18="LEGAL",H290,EDATE(H290,-$D$13)))</f>
        <v/>
      </c>
      <c r="L290" s="13">
        <f>IF(H290="","",IFERROR(INDEX('Tipos BdE'!$B$7:$M$336,MATCH(DATE(YEAR(K290),MONTH(K290),1),'Tipos BdE'!$A$7:$A$336,1),MATCH($D$9,'Tipos BdE'!$B$6:$M$6,0)),0))</f>
        <v/>
      </c>
      <c r="M290" s="13">
        <f>IF(H290="","",IF($D$18="LEGAL",0,$D$10))</f>
        <v/>
      </c>
      <c r="N290" s="13">
        <f>IF(H290="","",IF(AND($D$14="Sí",(L290+M290)&lt;0),0,L290+M290))</f>
        <v/>
      </c>
      <c r="O290" s="199">
        <f>IF(H290="","",$D$5*N290*J290/36500)</f>
        <v/>
      </c>
      <c r="P290" s="199">
        <f>IF(H290="","",$D$5+SUM($O$5:O290))</f>
        <v/>
      </c>
    </row>
    <row r="291">
      <c r="G291" s="11">
        <f>IF(H291="","",ROW()-4)</f>
        <v/>
      </c>
      <c r="H291" s="12">
        <f>IF(OR(I290="",I290&gt;=$D$7),"",I290)</f>
        <v/>
      </c>
      <c r="I291" s="12">
        <f>IF(H291="","",MIN(IF($D$18="LEGAL",DATE(YEAR(H291)+1,1,1),EDATE($D$12,$D$11*(INT((((YEAR(H291)-YEAR($D$12))*12+(MONTH(H291)-MONTH($D$12))-IF(DAY(H291)&lt;DAY($D$12),1,0))/$D$11))+1))),$D$7))</f>
        <v/>
      </c>
      <c r="J291" s="11">
        <f>IF(H291="","",I291-H291)</f>
        <v/>
      </c>
      <c r="K291" s="12">
        <f>IF(H291="","",IF($D$18="LEGAL",H291,EDATE(H291,-$D$13)))</f>
        <v/>
      </c>
      <c r="L291" s="13">
        <f>IF(H291="","",IFERROR(INDEX('Tipos BdE'!$B$7:$M$336,MATCH(DATE(YEAR(K291),MONTH(K291),1),'Tipos BdE'!$A$7:$A$336,1),MATCH($D$9,'Tipos BdE'!$B$6:$M$6,0)),0))</f>
        <v/>
      </c>
      <c r="M291" s="13">
        <f>IF(H291="","",IF($D$18="LEGAL",0,$D$10))</f>
        <v/>
      </c>
      <c r="N291" s="13">
        <f>IF(H291="","",IF(AND($D$14="Sí",(L291+M291)&lt;0),0,L291+M291))</f>
        <v/>
      </c>
      <c r="O291" s="199">
        <f>IF(H291="","",$D$5*N291*J291/36500)</f>
        <v/>
      </c>
      <c r="P291" s="199">
        <f>IF(H291="","",$D$5+SUM($O$5:O291))</f>
        <v/>
      </c>
    </row>
    <row r="292">
      <c r="G292" s="11">
        <f>IF(H292="","",ROW()-4)</f>
        <v/>
      </c>
      <c r="H292" s="12">
        <f>IF(OR(I291="",I291&gt;=$D$7),"",I291)</f>
        <v/>
      </c>
      <c r="I292" s="12">
        <f>IF(H292="","",MIN(IF($D$18="LEGAL",DATE(YEAR(H292)+1,1,1),EDATE($D$12,$D$11*(INT((((YEAR(H292)-YEAR($D$12))*12+(MONTH(H292)-MONTH($D$12))-IF(DAY(H292)&lt;DAY($D$12),1,0))/$D$11))+1))),$D$7))</f>
        <v/>
      </c>
      <c r="J292" s="11">
        <f>IF(H292="","",I292-H292)</f>
        <v/>
      </c>
      <c r="K292" s="12">
        <f>IF(H292="","",IF($D$18="LEGAL",H292,EDATE(H292,-$D$13)))</f>
        <v/>
      </c>
      <c r="L292" s="13">
        <f>IF(H292="","",IFERROR(INDEX('Tipos BdE'!$B$7:$M$336,MATCH(DATE(YEAR(K292),MONTH(K292),1),'Tipos BdE'!$A$7:$A$336,1),MATCH($D$9,'Tipos BdE'!$B$6:$M$6,0)),0))</f>
        <v/>
      </c>
      <c r="M292" s="13">
        <f>IF(H292="","",IF($D$18="LEGAL",0,$D$10))</f>
        <v/>
      </c>
      <c r="N292" s="13">
        <f>IF(H292="","",IF(AND($D$14="Sí",(L292+M292)&lt;0),0,L292+M292))</f>
        <v/>
      </c>
      <c r="O292" s="199">
        <f>IF(H292="","",$D$5*N292*J292/36500)</f>
        <v/>
      </c>
      <c r="P292" s="199">
        <f>IF(H292="","",$D$5+SUM($O$5:O292))</f>
        <v/>
      </c>
    </row>
    <row r="293">
      <c r="G293" s="11">
        <f>IF(H293="","",ROW()-4)</f>
        <v/>
      </c>
      <c r="H293" s="12">
        <f>IF(OR(I292="",I292&gt;=$D$7),"",I292)</f>
        <v/>
      </c>
      <c r="I293" s="12">
        <f>IF(H293="","",MIN(IF($D$18="LEGAL",DATE(YEAR(H293)+1,1,1),EDATE($D$12,$D$11*(INT((((YEAR(H293)-YEAR($D$12))*12+(MONTH(H293)-MONTH($D$12))-IF(DAY(H293)&lt;DAY($D$12),1,0))/$D$11))+1))),$D$7))</f>
        <v/>
      </c>
      <c r="J293" s="11">
        <f>IF(H293="","",I293-H293)</f>
        <v/>
      </c>
      <c r="K293" s="12">
        <f>IF(H293="","",IF($D$18="LEGAL",H293,EDATE(H293,-$D$13)))</f>
        <v/>
      </c>
      <c r="L293" s="13">
        <f>IF(H293="","",IFERROR(INDEX('Tipos BdE'!$B$7:$M$336,MATCH(DATE(YEAR(K293),MONTH(K293),1),'Tipos BdE'!$A$7:$A$336,1),MATCH($D$9,'Tipos BdE'!$B$6:$M$6,0)),0))</f>
        <v/>
      </c>
      <c r="M293" s="13">
        <f>IF(H293="","",IF($D$18="LEGAL",0,$D$10))</f>
        <v/>
      </c>
      <c r="N293" s="13">
        <f>IF(H293="","",IF(AND($D$14="Sí",(L293+M293)&lt;0),0,L293+M293))</f>
        <v/>
      </c>
      <c r="O293" s="199">
        <f>IF(H293="","",$D$5*N293*J293/36500)</f>
        <v/>
      </c>
      <c r="P293" s="199">
        <f>IF(H293="","",$D$5+SUM($O$5:O293))</f>
        <v/>
      </c>
    </row>
    <row r="294">
      <c r="G294" s="11">
        <f>IF(H294="","",ROW()-4)</f>
        <v/>
      </c>
      <c r="H294" s="12">
        <f>IF(OR(I293="",I293&gt;=$D$7),"",I293)</f>
        <v/>
      </c>
      <c r="I294" s="12">
        <f>IF(H294="","",MIN(IF($D$18="LEGAL",DATE(YEAR(H294)+1,1,1),EDATE($D$12,$D$11*(INT((((YEAR(H294)-YEAR($D$12))*12+(MONTH(H294)-MONTH($D$12))-IF(DAY(H294)&lt;DAY($D$12),1,0))/$D$11))+1))),$D$7))</f>
        <v/>
      </c>
      <c r="J294" s="11">
        <f>IF(H294="","",I294-H294)</f>
        <v/>
      </c>
      <c r="K294" s="12">
        <f>IF(H294="","",IF($D$18="LEGAL",H294,EDATE(H294,-$D$13)))</f>
        <v/>
      </c>
      <c r="L294" s="13">
        <f>IF(H294="","",IFERROR(INDEX('Tipos BdE'!$B$7:$M$336,MATCH(DATE(YEAR(K294),MONTH(K294),1),'Tipos BdE'!$A$7:$A$336,1),MATCH($D$9,'Tipos BdE'!$B$6:$M$6,0)),0))</f>
        <v/>
      </c>
      <c r="M294" s="13">
        <f>IF(H294="","",IF($D$18="LEGAL",0,$D$10))</f>
        <v/>
      </c>
      <c r="N294" s="13">
        <f>IF(H294="","",IF(AND($D$14="Sí",(L294+M294)&lt;0),0,L294+M294))</f>
        <v/>
      </c>
      <c r="O294" s="199">
        <f>IF(H294="","",$D$5*N294*J294/36500)</f>
        <v/>
      </c>
      <c r="P294" s="199">
        <f>IF(H294="","",$D$5+SUM($O$5:O294))</f>
        <v/>
      </c>
    </row>
    <row r="295">
      <c r="G295" s="11">
        <f>IF(H295="","",ROW()-4)</f>
        <v/>
      </c>
      <c r="H295" s="12">
        <f>IF(OR(I294="",I294&gt;=$D$7),"",I294)</f>
        <v/>
      </c>
      <c r="I295" s="12">
        <f>IF(H295="","",MIN(IF($D$18="LEGAL",DATE(YEAR(H295)+1,1,1),EDATE($D$12,$D$11*(INT((((YEAR(H295)-YEAR($D$12))*12+(MONTH(H295)-MONTH($D$12))-IF(DAY(H295)&lt;DAY($D$12),1,0))/$D$11))+1))),$D$7))</f>
        <v/>
      </c>
      <c r="J295" s="11">
        <f>IF(H295="","",I295-H295)</f>
        <v/>
      </c>
      <c r="K295" s="12">
        <f>IF(H295="","",IF($D$18="LEGAL",H295,EDATE(H295,-$D$13)))</f>
        <v/>
      </c>
      <c r="L295" s="13">
        <f>IF(H295="","",IFERROR(INDEX('Tipos BdE'!$B$7:$M$336,MATCH(DATE(YEAR(K295),MONTH(K295),1),'Tipos BdE'!$A$7:$A$336,1),MATCH($D$9,'Tipos BdE'!$B$6:$M$6,0)),0))</f>
        <v/>
      </c>
      <c r="M295" s="13">
        <f>IF(H295="","",IF($D$18="LEGAL",0,$D$10))</f>
        <v/>
      </c>
      <c r="N295" s="13">
        <f>IF(H295="","",IF(AND($D$14="Sí",(L295+M295)&lt;0),0,L295+M295))</f>
        <v/>
      </c>
      <c r="O295" s="199">
        <f>IF(H295="","",$D$5*N295*J295/36500)</f>
        <v/>
      </c>
      <c r="P295" s="199">
        <f>IF(H295="","",$D$5+SUM($O$5:O295))</f>
        <v/>
      </c>
    </row>
    <row r="296">
      <c r="G296" s="11">
        <f>IF(H296="","",ROW()-4)</f>
        <v/>
      </c>
      <c r="H296" s="12">
        <f>IF(OR(I295="",I295&gt;=$D$7),"",I295)</f>
        <v/>
      </c>
      <c r="I296" s="12">
        <f>IF(H296="","",MIN(IF($D$18="LEGAL",DATE(YEAR(H296)+1,1,1),EDATE($D$12,$D$11*(INT((((YEAR(H296)-YEAR($D$12))*12+(MONTH(H296)-MONTH($D$12))-IF(DAY(H296)&lt;DAY($D$12),1,0))/$D$11))+1))),$D$7))</f>
        <v/>
      </c>
      <c r="J296" s="11">
        <f>IF(H296="","",I296-H296)</f>
        <v/>
      </c>
      <c r="K296" s="12">
        <f>IF(H296="","",IF($D$18="LEGAL",H296,EDATE(H296,-$D$13)))</f>
        <v/>
      </c>
      <c r="L296" s="13">
        <f>IF(H296="","",IFERROR(INDEX('Tipos BdE'!$B$7:$M$336,MATCH(DATE(YEAR(K296),MONTH(K296),1),'Tipos BdE'!$A$7:$A$336,1),MATCH($D$9,'Tipos BdE'!$B$6:$M$6,0)),0))</f>
        <v/>
      </c>
      <c r="M296" s="13">
        <f>IF(H296="","",IF($D$18="LEGAL",0,$D$10))</f>
        <v/>
      </c>
      <c r="N296" s="13">
        <f>IF(H296="","",IF(AND($D$14="Sí",(L296+M296)&lt;0),0,L296+M296))</f>
        <v/>
      </c>
      <c r="O296" s="199">
        <f>IF(H296="","",$D$5*N296*J296/36500)</f>
        <v/>
      </c>
      <c r="P296" s="199">
        <f>IF(H296="","",$D$5+SUM($O$5:O296))</f>
        <v/>
      </c>
    </row>
    <row r="297">
      <c r="G297" s="11">
        <f>IF(H297="","",ROW()-4)</f>
        <v/>
      </c>
      <c r="H297" s="12">
        <f>IF(OR(I296="",I296&gt;=$D$7),"",I296)</f>
        <v/>
      </c>
      <c r="I297" s="12">
        <f>IF(H297="","",MIN(IF($D$18="LEGAL",DATE(YEAR(H297)+1,1,1),EDATE($D$12,$D$11*(INT((((YEAR(H297)-YEAR($D$12))*12+(MONTH(H297)-MONTH($D$12))-IF(DAY(H297)&lt;DAY($D$12),1,0))/$D$11))+1))),$D$7))</f>
        <v/>
      </c>
      <c r="J297" s="11">
        <f>IF(H297="","",I297-H297)</f>
        <v/>
      </c>
      <c r="K297" s="12">
        <f>IF(H297="","",IF($D$18="LEGAL",H297,EDATE(H297,-$D$13)))</f>
        <v/>
      </c>
      <c r="L297" s="13">
        <f>IF(H297="","",IFERROR(INDEX('Tipos BdE'!$B$7:$M$336,MATCH(DATE(YEAR(K297),MONTH(K297),1),'Tipos BdE'!$A$7:$A$336,1),MATCH($D$9,'Tipos BdE'!$B$6:$M$6,0)),0))</f>
        <v/>
      </c>
      <c r="M297" s="13">
        <f>IF(H297="","",IF($D$18="LEGAL",0,$D$10))</f>
        <v/>
      </c>
      <c r="N297" s="13">
        <f>IF(H297="","",IF(AND($D$14="Sí",(L297+M297)&lt;0),0,L297+M297))</f>
        <v/>
      </c>
      <c r="O297" s="199">
        <f>IF(H297="","",$D$5*N297*J297/36500)</f>
        <v/>
      </c>
      <c r="P297" s="199">
        <f>IF(H297="","",$D$5+SUM($O$5:O297))</f>
        <v/>
      </c>
    </row>
    <row r="298">
      <c r="G298" s="11">
        <f>IF(H298="","",ROW()-4)</f>
        <v/>
      </c>
      <c r="H298" s="12">
        <f>IF(OR(I297="",I297&gt;=$D$7),"",I297)</f>
        <v/>
      </c>
      <c r="I298" s="12">
        <f>IF(H298="","",MIN(IF($D$18="LEGAL",DATE(YEAR(H298)+1,1,1),EDATE($D$12,$D$11*(INT((((YEAR(H298)-YEAR($D$12))*12+(MONTH(H298)-MONTH($D$12))-IF(DAY(H298)&lt;DAY($D$12),1,0))/$D$11))+1))),$D$7))</f>
        <v/>
      </c>
      <c r="J298" s="11">
        <f>IF(H298="","",I298-H298)</f>
        <v/>
      </c>
      <c r="K298" s="12">
        <f>IF(H298="","",IF($D$18="LEGAL",H298,EDATE(H298,-$D$13)))</f>
        <v/>
      </c>
      <c r="L298" s="13">
        <f>IF(H298="","",IFERROR(INDEX('Tipos BdE'!$B$7:$M$336,MATCH(DATE(YEAR(K298),MONTH(K298),1),'Tipos BdE'!$A$7:$A$336,1),MATCH($D$9,'Tipos BdE'!$B$6:$M$6,0)),0))</f>
        <v/>
      </c>
      <c r="M298" s="13">
        <f>IF(H298="","",IF($D$18="LEGAL",0,$D$10))</f>
        <v/>
      </c>
      <c r="N298" s="13">
        <f>IF(H298="","",IF(AND($D$14="Sí",(L298+M298)&lt;0),0,L298+M298))</f>
        <v/>
      </c>
      <c r="O298" s="199">
        <f>IF(H298="","",$D$5*N298*J298/36500)</f>
        <v/>
      </c>
      <c r="P298" s="199">
        <f>IF(H298="","",$D$5+SUM($O$5:O298))</f>
        <v/>
      </c>
    </row>
    <row r="299">
      <c r="G299" s="11">
        <f>IF(H299="","",ROW()-4)</f>
        <v/>
      </c>
      <c r="H299" s="12">
        <f>IF(OR(I298="",I298&gt;=$D$7),"",I298)</f>
        <v/>
      </c>
      <c r="I299" s="12">
        <f>IF(H299="","",MIN(IF($D$18="LEGAL",DATE(YEAR(H299)+1,1,1),EDATE($D$12,$D$11*(INT((((YEAR(H299)-YEAR($D$12))*12+(MONTH(H299)-MONTH($D$12))-IF(DAY(H299)&lt;DAY($D$12),1,0))/$D$11))+1))),$D$7))</f>
        <v/>
      </c>
      <c r="J299" s="11">
        <f>IF(H299="","",I299-H299)</f>
        <v/>
      </c>
      <c r="K299" s="12">
        <f>IF(H299="","",IF($D$18="LEGAL",H299,EDATE(H299,-$D$13)))</f>
        <v/>
      </c>
      <c r="L299" s="13">
        <f>IF(H299="","",IFERROR(INDEX('Tipos BdE'!$B$7:$M$336,MATCH(DATE(YEAR(K299),MONTH(K299),1),'Tipos BdE'!$A$7:$A$336,1),MATCH($D$9,'Tipos BdE'!$B$6:$M$6,0)),0))</f>
        <v/>
      </c>
      <c r="M299" s="13">
        <f>IF(H299="","",IF($D$18="LEGAL",0,$D$10))</f>
        <v/>
      </c>
      <c r="N299" s="13">
        <f>IF(H299="","",IF(AND($D$14="Sí",(L299+M299)&lt;0),0,L299+M299))</f>
        <v/>
      </c>
      <c r="O299" s="199">
        <f>IF(H299="","",$D$5*N299*J299/36500)</f>
        <v/>
      </c>
      <c r="P299" s="199">
        <f>IF(H299="","",$D$5+SUM($O$5:O299))</f>
        <v/>
      </c>
    </row>
    <row r="300">
      <c r="G300" s="11">
        <f>IF(H300="","",ROW()-4)</f>
        <v/>
      </c>
      <c r="H300" s="12">
        <f>IF(OR(I299="",I299&gt;=$D$7),"",I299)</f>
        <v/>
      </c>
      <c r="I300" s="12">
        <f>IF(H300="","",MIN(IF($D$18="LEGAL",DATE(YEAR(H300)+1,1,1),EDATE($D$12,$D$11*(INT((((YEAR(H300)-YEAR($D$12))*12+(MONTH(H300)-MONTH($D$12))-IF(DAY(H300)&lt;DAY($D$12),1,0))/$D$11))+1))),$D$7))</f>
        <v/>
      </c>
      <c r="J300" s="11">
        <f>IF(H300="","",I300-H300)</f>
        <v/>
      </c>
      <c r="K300" s="12">
        <f>IF(H300="","",IF($D$18="LEGAL",H300,EDATE(H300,-$D$13)))</f>
        <v/>
      </c>
      <c r="L300" s="13">
        <f>IF(H300="","",IFERROR(INDEX('Tipos BdE'!$B$7:$M$336,MATCH(DATE(YEAR(K300),MONTH(K300),1),'Tipos BdE'!$A$7:$A$336,1),MATCH($D$9,'Tipos BdE'!$B$6:$M$6,0)),0))</f>
        <v/>
      </c>
      <c r="M300" s="13">
        <f>IF(H300="","",IF($D$18="LEGAL",0,$D$10))</f>
        <v/>
      </c>
      <c r="N300" s="13">
        <f>IF(H300="","",IF(AND($D$14="Sí",(L300+M300)&lt;0),0,L300+M300))</f>
        <v/>
      </c>
      <c r="O300" s="199">
        <f>IF(H300="","",$D$5*N300*J300/36500)</f>
        <v/>
      </c>
      <c r="P300" s="199">
        <f>IF(H300="","",$D$5+SUM($O$5:O300))</f>
        <v/>
      </c>
    </row>
    <row r="301">
      <c r="G301" s="11">
        <f>IF(H301="","",ROW()-4)</f>
        <v/>
      </c>
      <c r="H301" s="12">
        <f>IF(OR(I300="",I300&gt;=$D$7),"",I300)</f>
        <v/>
      </c>
      <c r="I301" s="12">
        <f>IF(H301="","",MIN(IF($D$18="LEGAL",DATE(YEAR(H301)+1,1,1),EDATE($D$12,$D$11*(INT((((YEAR(H301)-YEAR($D$12))*12+(MONTH(H301)-MONTH($D$12))-IF(DAY(H301)&lt;DAY($D$12),1,0))/$D$11))+1))),$D$7))</f>
        <v/>
      </c>
      <c r="J301" s="11">
        <f>IF(H301="","",I301-H301)</f>
        <v/>
      </c>
      <c r="K301" s="12">
        <f>IF(H301="","",IF($D$18="LEGAL",H301,EDATE(H301,-$D$13)))</f>
        <v/>
      </c>
      <c r="L301" s="13">
        <f>IF(H301="","",IFERROR(INDEX('Tipos BdE'!$B$7:$M$336,MATCH(DATE(YEAR(K301),MONTH(K301),1),'Tipos BdE'!$A$7:$A$336,1),MATCH($D$9,'Tipos BdE'!$B$6:$M$6,0)),0))</f>
        <v/>
      </c>
      <c r="M301" s="13">
        <f>IF(H301="","",IF($D$18="LEGAL",0,$D$10))</f>
        <v/>
      </c>
      <c r="N301" s="13">
        <f>IF(H301="","",IF(AND($D$14="Sí",(L301+M301)&lt;0),0,L301+M301))</f>
        <v/>
      </c>
      <c r="O301" s="199">
        <f>IF(H301="","",$D$5*N301*J301/36500)</f>
        <v/>
      </c>
      <c r="P301" s="199">
        <f>IF(H301="","",$D$5+SUM($O$5:O301))</f>
        <v/>
      </c>
    </row>
    <row r="302">
      <c r="G302" s="11">
        <f>IF(H302="","",ROW()-4)</f>
        <v/>
      </c>
      <c r="H302" s="12">
        <f>IF(OR(I301="",I301&gt;=$D$7),"",I301)</f>
        <v/>
      </c>
      <c r="I302" s="12">
        <f>IF(H302="","",MIN(IF($D$18="LEGAL",DATE(YEAR(H302)+1,1,1),EDATE($D$12,$D$11*(INT((((YEAR(H302)-YEAR($D$12))*12+(MONTH(H302)-MONTH($D$12))-IF(DAY(H302)&lt;DAY($D$12),1,0))/$D$11))+1))),$D$7))</f>
        <v/>
      </c>
      <c r="J302" s="11">
        <f>IF(H302="","",I302-H302)</f>
        <v/>
      </c>
      <c r="K302" s="12">
        <f>IF(H302="","",IF($D$18="LEGAL",H302,EDATE(H302,-$D$13)))</f>
        <v/>
      </c>
      <c r="L302" s="13">
        <f>IF(H302="","",IFERROR(INDEX('Tipos BdE'!$B$7:$M$336,MATCH(DATE(YEAR(K302),MONTH(K302),1),'Tipos BdE'!$A$7:$A$336,1),MATCH($D$9,'Tipos BdE'!$B$6:$M$6,0)),0))</f>
        <v/>
      </c>
      <c r="M302" s="13">
        <f>IF(H302="","",IF($D$18="LEGAL",0,$D$10))</f>
        <v/>
      </c>
      <c r="N302" s="13">
        <f>IF(H302="","",IF(AND($D$14="Sí",(L302+M302)&lt;0),0,L302+M302))</f>
        <v/>
      </c>
      <c r="O302" s="199">
        <f>IF(H302="","",$D$5*N302*J302/36500)</f>
        <v/>
      </c>
      <c r="P302" s="199">
        <f>IF(H302="","",$D$5+SUM($O$5:O302))</f>
        <v/>
      </c>
    </row>
    <row r="303">
      <c r="G303" s="11">
        <f>IF(H303="","",ROW()-4)</f>
        <v/>
      </c>
      <c r="H303" s="12">
        <f>IF(OR(I302="",I302&gt;=$D$7),"",I302)</f>
        <v/>
      </c>
      <c r="I303" s="12">
        <f>IF(H303="","",MIN(IF($D$18="LEGAL",DATE(YEAR(H303)+1,1,1),EDATE($D$12,$D$11*(INT((((YEAR(H303)-YEAR($D$12))*12+(MONTH(H303)-MONTH($D$12))-IF(DAY(H303)&lt;DAY($D$12),1,0))/$D$11))+1))),$D$7))</f>
        <v/>
      </c>
      <c r="J303" s="11">
        <f>IF(H303="","",I303-H303)</f>
        <v/>
      </c>
      <c r="K303" s="12">
        <f>IF(H303="","",IF($D$18="LEGAL",H303,EDATE(H303,-$D$13)))</f>
        <v/>
      </c>
      <c r="L303" s="13">
        <f>IF(H303="","",IFERROR(INDEX('Tipos BdE'!$B$7:$M$336,MATCH(DATE(YEAR(K303),MONTH(K303),1),'Tipos BdE'!$A$7:$A$336,1),MATCH($D$9,'Tipos BdE'!$B$6:$M$6,0)),0))</f>
        <v/>
      </c>
      <c r="M303" s="13">
        <f>IF(H303="","",IF($D$18="LEGAL",0,$D$10))</f>
        <v/>
      </c>
      <c r="N303" s="13">
        <f>IF(H303="","",IF(AND($D$14="Sí",(L303+M303)&lt;0),0,L303+M303))</f>
        <v/>
      </c>
      <c r="O303" s="199">
        <f>IF(H303="","",$D$5*N303*J303/36500)</f>
        <v/>
      </c>
      <c r="P303" s="199">
        <f>IF(H303="","",$D$5+SUM($O$5:O303))</f>
        <v/>
      </c>
    </row>
    <row r="304">
      <c r="G304" s="11">
        <f>IF(H304="","",ROW()-4)</f>
        <v/>
      </c>
      <c r="H304" s="12">
        <f>IF(OR(I303="",I303&gt;=$D$7),"",I303)</f>
        <v/>
      </c>
      <c r="I304" s="12">
        <f>IF(H304="","",MIN(IF($D$18="LEGAL",DATE(YEAR(H304)+1,1,1),EDATE($D$12,$D$11*(INT((((YEAR(H304)-YEAR($D$12))*12+(MONTH(H304)-MONTH($D$12))-IF(DAY(H304)&lt;DAY($D$12),1,0))/$D$11))+1))),$D$7))</f>
        <v/>
      </c>
      <c r="J304" s="11">
        <f>IF(H304="","",I304-H304)</f>
        <v/>
      </c>
      <c r="K304" s="12">
        <f>IF(H304="","",IF($D$18="LEGAL",H304,EDATE(H304,-$D$13)))</f>
        <v/>
      </c>
      <c r="L304" s="13">
        <f>IF(H304="","",IFERROR(INDEX('Tipos BdE'!$B$7:$M$336,MATCH(DATE(YEAR(K304),MONTH(K304),1),'Tipos BdE'!$A$7:$A$336,1),MATCH($D$9,'Tipos BdE'!$B$6:$M$6,0)),0))</f>
        <v/>
      </c>
      <c r="M304" s="13">
        <f>IF(H304="","",IF($D$18="LEGAL",0,$D$10))</f>
        <v/>
      </c>
      <c r="N304" s="13">
        <f>IF(H304="","",IF(AND($D$14="Sí",(L304+M304)&lt;0),0,L304+M304))</f>
        <v/>
      </c>
      <c r="O304" s="199">
        <f>IF(H304="","",$D$5*N304*J304/36500)</f>
        <v/>
      </c>
      <c r="P304" s="199">
        <f>IF(H304="","",$D$5+SUM($O$5:O304))</f>
        <v/>
      </c>
    </row>
  </sheetData>
  <mergeCells count="38">
    <mergeCell ref="D10:E10"/>
    <mergeCell ref="A18:C18"/>
    <mergeCell ref="A21:C21"/>
    <mergeCell ref="A12:C12"/>
    <mergeCell ref="D21:E21"/>
    <mergeCell ref="D6:E6"/>
    <mergeCell ref="A5:C5"/>
    <mergeCell ref="A23:C23"/>
    <mergeCell ref="D11:E11"/>
    <mergeCell ref="A8:C8"/>
    <mergeCell ref="D13:E13"/>
    <mergeCell ref="A14:C14"/>
    <mergeCell ref="A17:C17"/>
    <mergeCell ref="D17:E17"/>
    <mergeCell ref="A10:C10"/>
    <mergeCell ref="D16:E16"/>
    <mergeCell ref="A13:C13"/>
    <mergeCell ref="D7:E7"/>
    <mergeCell ref="A1:P1"/>
    <mergeCell ref="A9:C9"/>
    <mergeCell ref="D18:E18"/>
    <mergeCell ref="A15:C15"/>
    <mergeCell ref="D9:E9"/>
    <mergeCell ref="A24:C24"/>
    <mergeCell ref="D12:E12"/>
    <mergeCell ref="D8:E8"/>
    <mergeCell ref="A4:E4"/>
    <mergeCell ref="A11:C11"/>
    <mergeCell ref="A20:E20"/>
    <mergeCell ref="D24:E24"/>
    <mergeCell ref="D15:E15"/>
    <mergeCell ref="D5:E5"/>
    <mergeCell ref="A6:C6"/>
    <mergeCell ref="D23:E23"/>
    <mergeCell ref="D14:E14"/>
    <mergeCell ref="A7:C7"/>
    <mergeCell ref="A16:C16"/>
    <mergeCell ref="A2:P2"/>
  </mergeCells>
  <pageMargins left="0.25" right="0.25" top="0.75" bottom="0.75" header="0.3" footer="0.3"/>
  <pageSetup orientation="portrait" paperSize="9" scale="58" fitToHeight="0"/>
</worksheet>
</file>

<file path=xl/worksheets/sheet12.xml><?xml version="1.0" encoding="utf-8"?>
<worksheet xmlns="http://schemas.openxmlformats.org/spreadsheetml/2006/main">
  <sheetPr>
    <tabColor theme="6" tint="0.7999816888943144"/>
    <outlinePr summaryBelow="1" summaryRight="1"/>
    <pageSetUpPr fitToPage="1"/>
  </sheetPr>
  <dimension ref="A1:P304"/>
  <sheetViews>
    <sheetView workbookViewId="0">
      <selection activeCell="A1" sqref="A1"/>
    </sheetView>
  </sheetViews>
  <sheetFormatPr baseColWidth="8" defaultRowHeight="14.5"/>
  <cols>
    <col width="26" customWidth="1" style="123" min="1" max="1"/>
    <col width="3" customWidth="1" style="123" min="2" max="3"/>
    <col width="11" customWidth="1" style="123" min="4" max="4"/>
    <col width="7.26953125" customWidth="1" style="123" min="5" max="5"/>
    <col width="2" customWidth="1" style="123" min="6" max="6"/>
    <col width="6" customWidth="1" style="123" min="7" max="7"/>
    <col width="13" customWidth="1" style="123" min="8" max="9"/>
    <col width="7" customWidth="1" style="123" min="10" max="10"/>
    <col width="13" customWidth="1" style="123" min="11" max="11"/>
    <col width="12" customWidth="1" style="123" min="12" max="14"/>
    <col width="14" customWidth="1" style="123" min="15" max="15"/>
    <col width="16" customWidth="1" style="123" min="16" max="16"/>
  </cols>
  <sheetData>
    <row r="1" ht="15.75" customHeight="1" s="123">
      <c r="A1" s="160" t="inlineStr">
        <is>
          <t>CÁLCULO AUTOMÁTICO DE INTERESES (por tramos)</t>
        </is>
      </c>
    </row>
    <row r="2">
      <c r="A2" s="162" t="inlineStr">
        <is>
          <t>Interés simple, Actual/365 = capital × tipo% × días ÷ 36.500. Datos enlazados desde «Informe Subasta» (no editar aquí).</t>
        </is>
      </c>
    </row>
    <row r="4" ht="26.15" customHeight="1" s="123">
      <c r="A4" s="144" t="inlineStr">
        <is>
          <t>PARÁMETROS (enlazados)</t>
        </is>
      </c>
      <c r="B4" s="131" t="n"/>
      <c r="C4" s="131" t="n"/>
      <c r="D4" s="131" t="n"/>
      <c r="E4" s="132" t="n"/>
      <c r="G4" s="4" t="inlineStr">
        <is>
          <t>Nº</t>
        </is>
      </c>
      <c r="H4" s="4" t="inlineStr">
        <is>
          <t>Fecha inicio</t>
        </is>
      </c>
      <c r="I4" s="4" t="inlineStr">
        <is>
          <t>Fecha fin</t>
        </is>
      </c>
      <c r="J4" s="4" t="inlineStr">
        <is>
          <t>Días</t>
        </is>
      </c>
      <c r="K4" s="4" t="inlineStr">
        <is>
          <t>Fecha ref. tipo</t>
        </is>
      </c>
      <c r="L4" s="4" t="inlineStr">
        <is>
          <t>Tipo base (%)</t>
        </is>
      </c>
      <c r="M4" s="4" t="inlineStr">
        <is>
          <t>Diferencial (%)</t>
        </is>
      </c>
      <c r="N4" s="4" t="inlineStr">
        <is>
          <t>Tipo aplicado (%)</t>
        </is>
      </c>
      <c r="O4" s="4" t="inlineStr">
        <is>
          <t>Intereses (€)</t>
        </is>
      </c>
      <c r="P4" s="4" t="inlineStr">
        <is>
          <t>Deuda acumulada (€)</t>
        </is>
      </c>
    </row>
    <row r="5">
      <c r="A5" s="135" t="inlineStr">
        <is>
          <t>Principal (€)</t>
        </is>
      </c>
      <c r="B5" s="131" t="n"/>
      <c r="C5" s="132" t="n"/>
      <c r="D5" s="194">
        <f>'Informe Subasta'!$D$10</f>
        <v/>
      </c>
      <c r="E5" s="132" t="n"/>
      <c r="G5" s="11">
        <f>IF(H5="","",ROW()-4)</f>
        <v/>
      </c>
      <c r="H5" s="12">
        <f>$D$6</f>
        <v/>
      </c>
      <c r="I5" s="12">
        <f>IF(H5="","",MIN(IF($D$18="LEGAL",DATE(YEAR(H5)+1,1,1),EDATE($D$12,$D$11*(INT((((YEAR(H5)-YEAR($D$12))*12+(MONTH(H5)-MONTH($D$12))-IF(DAY(H5)&lt;DAY($D$12),1,0))/$D$11))+1))),$D$7))</f>
        <v/>
      </c>
      <c r="J5" s="11">
        <f>IF(H5="","",I5-H5)</f>
        <v/>
      </c>
      <c r="K5" s="12">
        <f>IF(H5="","",IF($D$18="LEGAL",H5,EDATE($D$12,-$D$13)))</f>
        <v/>
      </c>
      <c r="L5" s="13">
        <f>IF(H5="","",IFERROR(INDEX('Tipos BdE'!$B$7:$M$336,MATCH(DATE(YEAR(K5),MONTH(K5),1),'Tipos BdE'!$A$7:$A$336,1),MATCH($D$9,'Tipos BdE'!$B$6:$M$6,0)),0))</f>
        <v/>
      </c>
      <c r="M5" s="13">
        <f>IF(H5="","",IF($D$18="LEGAL",0,$D$10))</f>
        <v/>
      </c>
      <c r="N5" s="13">
        <f>IF(H5="","",IF(AND($D$14="Sí",(L5+M5)&lt;0),0,L5+M5))</f>
        <v/>
      </c>
      <c r="O5" s="199">
        <f>IF(H5="","",$D$5*N5*J5/36500)</f>
        <v/>
      </c>
      <c r="P5" s="199">
        <f>IF(H5="","",$D$5+SUM($O$5:O5))</f>
        <v/>
      </c>
    </row>
    <row r="6">
      <c r="A6" s="135" t="inlineStr">
        <is>
          <t>AccountClosureDate (cierre)</t>
        </is>
      </c>
      <c r="B6" s="131" t="n"/>
      <c r="C6" s="132" t="n"/>
      <c r="D6" s="158">
        <f>'Informe Subasta'!$D$15</f>
        <v/>
      </c>
      <c r="E6" s="132" t="n"/>
      <c r="G6" s="11">
        <f>IF(H6="","",ROW()-4)</f>
        <v/>
      </c>
      <c r="H6" s="12">
        <f>IF(OR(I5="",I5&gt;=$D$7),"",I5)</f>
        <v/>
      </c>
      <c r="I6" s="12">
        <f>IF(H6="","",MIN(IF($D$18="LEGAL",DATE(YEAR(H6)+1,1,1),EDATE($D$12,$D$11*(INT((((YEAR(H6)-YEAR($D$12))*12+(MONTH(H6)-MONTH($D$12))-IF(DAY(H6)&lt;DAY($D$12),1,0))/$D$11))+1))),$D$7))</f>
        <v/>
      </c>
      <c r="J6" s="11">
        <f>IF(H6="","",I6-H6)</f>
        <v/>
      </c>
      <c r="K6" s="12">
        <f>IF(H6="","",IF($D$18="LEGAL",H6,EDATE(H6,-$D$13)))</f>
        <v/>
      </c>
      <c r="L6" s="13">
        <f>IF(H6="","",IFERROR(INDEX('Tipos BdE'!$B$7:$M$336,MATCH(DATE(YEAR(K6),MONTH(K6),1),'Tipos BdE'!$A$7:$A$336,1),MATCH($D$9,'Tipos BdE'!$B$6:$M$6,0)),0))</f>
        <v/>
      </c>
      <c r="M6" s="13">
        <f>IF(H6="","",IF($D$18="LEGAL",0,$D$10))</f>
        <v/>
      </c>
      <c r="N6" s="13">
        <f>IF(H6="","",IF(AND($D$14="Sí",(L6+M6)&lt;0),0,L6+M6))</f>
        <v/>
      </c>
      <c r="O6" s="199">
        <f>IF(H6="","",$D$5*N6*J6/36500)</f>
        <v/>
      </c>
      <c r="P6" s="199">
        <f>IF(H6="","",$D$5+SUM($O$5:O6))</f>
        <v/>
      </c>
    </row>
    <row r="7">
      <c r="A7" s="135" t="inlineStr">
        <is>
          <t>CalculationDate</t>
        </is>
      </c>
      <c r="B7" s="131" t="n"/>
      <c r="C7" s="132" t="n"/>
      <c r="D7" s="158">
        <f>'Informe Subasta'!$D$16</f>
        <v/>
      </c>
      <c r="E7" s="132" t="n"/>
      <c r="G7" s="11">
        <f>IF(H7="","",ROW()-4)</f>
        <v/>
      </c>
      <c r="H7" s="12">
        <f>IF(OR(I6="",I6&gt;=$D$7),"",I6)</f>
        <v/>
      </c>
      <c r="I7" s="12">
        <f>IF(H7="","",MIN(IF($D$18="LEGAL",DATE(YEAR(H7)+1,1,1),EDATE($D$12,$D$11*(INT((((YEAR(H7)-YEAR($D$12))*12+(MONTH(H7)-MONTH($D$12))-IF(DAY(H7)&lt;DAY($D$12),1,0))/$D$11))+1))),$D$7))</f>
        <v/>
      </c>
      <c r="J7" s="11">
        <f>IF(H7="","",I7-H7)</f>
        <v/>
      </c>
      <c r="K7" s="12">
        <f>IF(H7="","",IF($D$18="LEGAL",H7,EDATE(H7,-$D$13)))</f>
        <v/>
      </c>
      <c r="L7" s="13">
        <f>IF(H7="","",IFERROR(INDEX('Tipos BdE'!$B$7:$M$336,MATCH(DATE(YEAR(K7),MONTH(K7),1),'Tipos BdE'!$A$7:$A$336,1),MATCH($D$9,'Tipos BdE'!$B$6:$M$6,0)),0))</f>
        <v/>
      </c>
      <c r="M7" s="13">
        <f>IF(H7="","",IF($D$18="LEGAL",0,$D$10))</f>
        <v/>
      </c>
      <c r="N7" s="13">
        <f>IF(H7="","",IF(AND($D$14="Sí",(L7+M7)&lt;0),0,L7+M7))</f>
        <v/>
      </c>
      <c r="O7" s="199">
        <f>IF(H7="","",$D$5*N7*J7/36500)</f>
        <v/>
      </c>
      <c r="P7" s="199">
        <f>IF(H7="","",$D$5+SUM($O$5:O7))</f>
        <v/>
      </c>
    </row>
    <row r="8">
      <c r="A8" s="135" t="inlineStr">
        <is>
          <t>Mode</t>
        </is>
      </c>
      <c r="B8" s="131" t="n"/>
      <c r="C8" s="132" t="n"/>
      <c r="D8" s="140">
        <f>'Informe Subasta'!$D$20</f>
        <v/>
      </c>
      <c r="E8" s="132" t="n"/>
      <c r="G8" s="11">
        <f>IF(H8="","",ROW()-4)</f>
        <v/>
      </c>
      <c r="H8" s="12">
        <f>IF(OR(I7="",I7&gt;=$D$7),"",I7)</f>
        <v/>
      </c>
      <c r="I8" s="12">
        <f>IF(H8="","",MIN(IF($D$18="LEGAL",DATE(YEAR(H8)+1,1,1),EDATE($D$12,$D$11*(INT((((YEAR(H8)-YEAR($D$12))*12+(MONTH(H8)-MONTH($D$12))-IF(DAY(H8)&lt;DAY($D$12),1,0))/$D$11))+1))),$D$7))</f>
        <v/>
      </c>
      <c r="J8" s="11">
        <f>IF(H8="","",I8-H8)</f>
        <v/>
      </c>
      <c r="K8" s="12">
        <f>IF(H8="","",IF($D$18="LEGAL",H8,EDATE(H8,-$D$13)))</f>
        <v/>
      </c>
      <c r="L8" s="13">
        <f>IF(H8="","",IFERROR(INDEX('Tipos BdE'!$B$7:$M$336,MATCH(DATE(YEAR(K8),MONTH(K8),1),'Tipos BdE'!$A$7:$A$336,1),MATCH($D$9,'Tipos BdE'!$B$6:$M$6,0)),0))</f>
        <v/>
      </c>
      <c r="M8" s="13">
        <f>IF(H8="","",IF($D$18="LEGAL",0,$D$10))</f>
        <v/>
      </c>
      <c r="N8" s="13">
        <f>IF(H8="","",IF(AND($D$14="Sí",(L8+M8)&lt;0),0,L8+M8))</f>
        <v/>
      </c>
      <c r="O8" s="199">
        <f>IF(H8="","",$D$5*N8*J8/36500)</f>
        <v/>
      </c>
      <c r="P8" s="199">
        <f>IF(H8="","",$D$5+SUM($O$5:O8))</f>
        <v/>
      </c>
    </row>
    <row r="9">
      <c r="A9" s="135" t="inlineStr">
        <is>
          <t>ReferenceRate (BdE)</t>
        </is>
      </c>
      <c r="B9" s="131" t="n"/>
      <c r="C9" s="132" t="n"/>
      <c r="D9" s="140">
        <f>'Informe Subasta'!$K$20</f>
        <v/>
      </c>
      <c r="E9" s="132" t="n"/>
      <c r="G9" s="11">
        <f>IF(H9="","",ROW()-4)</f>
        <v/>
      </c>
      <c r="H9" s="12">
        <f>IF(OR(I8="",I8&gt;=$D$7),"",I8)</f>
        <v/>
      </c>
      <c r="I9" s="12">
        <f>IF(H9="","",MIN(IF($D$18="LEGAL",DATE(YEAR(H9)+1,1,1),EDATE($D$12,$D$11*(INT((((YEAR(H9)-YEAR($D$12))*12+(MONTH(H9)-MONTH($D$12))-IF(DAY(H9)&lt;DAY($D$12),1,0))/$D$11))+1))),$D$7))</f>
        <v/>
      </c>
      <c r="J9" s="11">
        <f>IF(H9="","",I9-H9)</f>
        <v/>
      </c>
      <c r="K9" s="12">
        <f>IF(H9="","",IF($D$18="LEGAL",H9,EDATE(H9,-$D$13)))</f>
        <v/>
      </c>
      <c r="L9" s="13">
        <f>IF(H9="","",IFERROR(INDEX('Tipos BdE'!$B$7:$M$336,MATCH(DATE(YEAR(K9),MONTH(K9),1),'Tipos BdE'!$A$7:$A$336,1),MATCH($D$9,'Tipos BdE'!$B$6:$M$6,0)),0))</f>
        <v/>
      </c>
      <c r="M9" s="13">
        <f>IF(H9="","",IF($D$18="LEGAL",0,$D$10))</f>
        <v/>
      </c>
      <c r="N9" s="13">
        <f>IF(H9="","",IF(AND($D$14="Sí",(L9+M9)&lt;0),0,L9+M9))</f>
        <v/>
      </c>
      <c r="O9" s="199">
        <f>IF(H9="","",$D$5*N9*J9/36500)</f>
        <v/>
      </c>
      <c r="P9" s="199">
        <f>IF(H9="","",$D$5+SUM($O$5:O9))</f>
        <v/>
      </c>
    </row>
    <row r="10">
      <c r="A10" s="135" t="inlineStr">
        <is>
          <t>DifferentialRate (puntos)</t>
        </is>
      </c>
      <c r="B10" s="131" t="n"/>
      <c r="C10" s="132" t="n"/>
      <c r="D10" s="145">
        <f>'Informe Subasta'!$K$21+3</f>
        <v/>
      </c>
      <c r="E10" s="132" t="n"/>
      <c r="G10" s="11">
        <f>IF(H10="","",ROW()-4)</f>
        <v/>
      </c>
      <c r="H10" s="12">
        <f>IF(OR(I9="",I9&gt;=$D$7),"",I9)</f>
        <v/>
      </c>
      <c r="I10" s="12">
        <f>IF(H10="","",MIN(IF($D$18="LEGAL",DATE(YEAR(H10)+1,1,1),EDATE($D$12,$D$11*(INT((((YEAR(H10)-YEAR($D$12))*12+(MONTH(H10)-MONTH($D$12))-IF(DAY(H10)&lt;DAY($D$12),1,0))/$D$11))+1))),$D$7))</f>
        <v/>
      </c>
      <c r="J10" s="11">
        <f>IF(H10="","",I10-H10)</f>
        <v/>
      </c>
      <c r="K10" s="12">
        <f>IF(H10="","",IF($D$18="LEGAL",H10,EDATE(H10,-$D$13)))</f>
        <v/>
      </c>
      <c r="L10" s="13">
        <f>IF(H10="","",IFERROR(INDEX('Tipos BdE'!$B$7:$M$336,MATCH(DATE(YEAR(K10),MONTH(K10),1),'Tipos BdE'!$A$7:$A$336,1),MATCH($D$9,'Tipos BdE'!$B$6:$M$6,0)),0))</f>
        <v/>
      </c>
      <c r="M10" s="13">
        <f>IF(H10="","",IF($D$18="LEGAL",0,$D$10))</f>
        <v/>
      </c>
      <c r="N10" s="13">
        <f>IF(H10="","",IF(AND($D$14="Sí",(L10+M10)&lt;0),0,L10+M10))</f>
        <v/>
      </c>
      <c r="O10" s="199">
        <f>IF(H10="","",$D$5*N10*J10/36500)</f>
        <v/>
      </c>
      <c r="P10" s="199">
        <f>IF(H10="","",$D$5+SUM($O$5:O10))</f>
        <v/>
      </c>
    </row>
    <row r="11">
      <c r="A11" s="135" t="inlineStr">
        <is>
          <t>UpdateRateFrequency (meses)</t>
        </is>
      </c>
      <c r="B11" s="131" t="n"/>
      <c r="C11" s="132" t="n"/>
      <c r="D11" s="140">
        <f>'Informe Subasta'!$K$22</f>
        <v/>
      </c>
      <c r="E11" s="132" t="n"/>
      <c r="G11" s="11">
        <f>IF(H11="","",ROW()-4)</f>
        <v/>
      </c>
      <c r="H11" s="12">
        <f>IF(OR(I10="",I10&gt;=$D$7),"",I10)</f>
        <v/>
      </c>
      <c r="I11" s="12">
        <f>IF(H11="","",MIN(IF($D$18="LEGAL",DATE(YEAR(H11)+1,1,1),EDATE($D$12,$D$11*(INT((((YEAR(H11)-YEAR($D$12))*12+(MONTH(H11)-MONTH($D$12))-IF(DAY(H11)&lt;DAY($D$12),1,0))/$D$11))+1))),$D$7))</f>
        <v/>
      </c>
      <c r="J11" s="11">
        <f>IF(H11="","",I11-H11)</f>
        <v/>
      </c>
      <c r="K11" s="12">
        <f>IF(H11="","",IF($D$18="LEGAL",H11,EDATE(H11,-$D$13)))</f>
        <v/>
      </c>
      <c r="L11" s="13">
        <f>IF(H11="","",IFERROR(INDEX('Tipos BdE'!$B$7:$M$336,MATCH(DATE(YEAR(K11),MONTH(K11),1),'Tipos BdE'!$A$7:$A$336,1),MATCH($D$9,'Tipos BdE'!$B$6:$M$6,0)),0))</f>
        <v/>
      </c>
      <c r="M11" s="13">
        <f>IF(H11="","",IF($D$18="LEGAL",0,$D$10))</f>
        <v/>
      </c>
      <c r="N11" s="13">
        <f>IF(H11="","",IF(AND($D$14="Sí",(L11+M11)&lt;0),0,L11+M11))</f>
        <v/>
      </c>
      <c r="O11" s="199">
        <f>IF(H11="","",$D$5*N11*J11/36500)</f>
        <v/>
      </c>
      <c r="P11" s="199">
        <f>IF(H11="","",$D$5+SUM($O$5:O11))</f>
        <v/>
      </c>
    </row>
    <row r="12">
      <c r="A12" s="135" t="inlineStr">
        <is>
          <t>LastRateUpdateDate</t>
        </is>
      </c>
      <c r="B12" s="131" t="n"/>
      <c r="C12" s="132" t="n"/>
      <c r="D12" s="158">
        <f>'Informe Subasta'!$K$23</f>
        <v/>
      </c>
      <c r="E12" s="132" t="n"/>
      <c r="G12" s="11">
        <f>IF(H12="","",ROW()-4)</f>
        <v/>
      </c>
      <c r="H12" s="12">
        <f>IF(OR(I11="",I11&gt;=$D$7),"",I11)</f>
        <v/>
      </c>
      <c r="I12" s="12">
        <f>IF(H12="","",MIN(IF($D$18="LEGAL",DATE(YEAR(H12)+1,1,1),EDATE($D$12,$D$11*(INT((((YEAR(H12)-YEAR($D$12))*12+(MONTH(H12)-MONTH($D$12))-IF(DAY(H12)&lt;DAY($D$12),1,0))/$D$11))+1))),$D$7))</f>
        <v/>
      </c>
      <c r="J12" s="11">
        <f>IF(H12="","",I12-H12)</f>
        <v/>
      </c>
      <c r="K12" s="12">
        <f>IF(H12="","",IF($D$18="LEGAL",H12,EDATE(H12,-$D$13)))</f>
        <v/>
      </c>
      <c r="L12" s="13">
        <f>IF(H12="","",IFERROR(INDEX('Tipos BdE'!$B$7:$M$336,MATCH(DATE(YEAR(K12),MONTH(K12),1),'Tipos BdE'!$A$7:$A$336,1),MATCH($D$9,'Tipos BdE'!$B$6:$M$6,0)),0))</f>
        <v/>
      </c>
      <c r="M12" s="13">
        <f>IF(H12="","",IF($D$18="LEGAL",0,$D$10))</f>
        <v/>
      </c>
      <c r="N12" s="13">
        <f>IF(H12="","",IF(AND($D$14="Sí",(L12+M12)&lt;0),0,L12+M12))</f>
        <v/>
      </c>
      <c r="O12" s="199">
        <f>IF(H12="","",$D$5*N12*J12/36500)</f>
        <v/>
      </c>
      <c r="P12" s="199">
        <f>IF(H12="","",$D$5+SUM($O$5:O12))</f>
        <v/>
      </c>
    </row>
    <row r="13">
      <c r="A13" s="135" t="inlineStr">
        <is>
          <t>RateDelay (meses)</t>
        </is>
      </c>
      <c r="B13" s="131" t="n"/>
      <c r="C13" s="132" t="n"/>
      <c r="D13" s="140">
        <f>'Informe Subasta'!$K$24</f>
        <v/>
      </c>
      <c r="E13" s="132" t="n"/>
      <c r="G13" s="11">
        <f>IF(H13="","",ROW()-4)</f>
        <v/>
      </c>
      <c r="H13" s="12">
        <f>IF(OR(I12="",I12&gt;=$D$7),"",I12)</f>
        <v/>
      </c>
      <c r="I13" s="12">
        <f>IF(H13="","",MIN(IF($D$18="LEGAL",DATE(YEAR(H13)+1,1,1),EDATE($D$12,$D$11*(INT((((YEAR(H13)-YEAR($D$12))*12+(MONTH(H13)-MONTH($D$12))-IF(DAY(H13)&lt;DAY($D$12),1,0))/$D$11))+1))),$D$7))</f>
        <v/>
      </c>
      <c r="J13" s="11">
        <f>IF(H13="","",I13-H13)</f>
        <v/>
      </c>
      <c r="K13" s="12">
        <f>IF(H13="","",IF($D$18="LEGAL",H13,EDATE(H13,-$D$13)))</f>
        <v/>
      </c>
      <c r="L13" s="13">
        <f>IF(H13="","",IFERROR(INDEX('Tipos BdE'!$B$7:$M$336,MATCH(DATE(YEAR(K13),MONTH(K13),1),'Tipos BdE'!$A$7:$A$336,1),MATCH($D$9,'Tipos BdE'!$B$6:$M$6,0)),0))</f>
        <v/>
      </c>
      <c r="M13" s="13">
        <f>IF(H13="","",IF($D$18="LEGAL",0,$D$10))</f>
        <v/>
      </c>
      <c r="N13" s="13">
        <f>IF(H13="","",IF(AND($D$14="Sí",(L13+M13)&lt;0),0,L13+M13))</f>
        <v/>
      </c>
      <c r="O13" s="199">
        <f>IF(H13="","",$D$5*N13*J13/36500)</f>
        <v/>
      </c>
      <c r="P13" s="199">
        <f>IF(H13="","",$D$5+SUM($O$5:O13))</f>
        <v/>
      </c>
    </row>
    <row r="14">
      <c r="A14" s="135" t="inlineStr">
        <is>
          <t>NegativeRatesToZero</t>
        </is>
      </c>
      <c r="B14" s="131" t="n"/>
      <c r="C14" s="132" t="n"/>
      <c r="D14" s="140">
        <f>'Informe Subasta'!$D$24</f>
        <v/>
      </c>
      <c r="E14" s="132" t="n"/>
      <c r="G14" s="11">
        <f>IF(H14="","",ROW()-4)</f>
        <v/>
      </c>
      <c r="H14" s="12">
        <f>IF(OR(I13="",I13&gt;=$D$7),"",I13)</f>
        <v/>
      </c>
      <c r="I14" s="12">
        <f>IF(H14="","",MIN(IF($D$18="LEGAL",DATE(YEAR(H14)+1,1,1),EDATE($D$12,$D$11*(INT((((YEAR(H14)-YEAR($D$12))*12+(MONTH(H14)-MONTH($D$12))-IF(DAY(H14)&lt;DAY($D$12),1,0))/$D$11))+1))),$D$7))</f>
        <v/>
      </c>
      <c r="J14" s="11">
        <f>IF(H14="","",I14-H14)</f>
        <v/>
      </c>
      <c r="K14" s="12">
        <f>IF(H14="","",IF($D$18="LEGAL",H14,EDATE(H14,-$D$13)))</f>
        <v/>
      </c>
      <c r="L14" s="13">
        <f>IF(H14="","",IFERROR(INDEX('Tipos BdE'!$B$7:$M$336,MATCH(DATE(YEAR(K14),MONTH(K14),1),'Tipos BdE'!$A$7:$A$336,1),MATCH($D$9,'Tipos BdE'!$B$6:$M$6,0)),0))</f>
        <v/>
      </c>
      <c r="M14" s="13">
        <f>IF(H14="","",IF($D$18="LEGAL",0,$D$10))</f>
        <v/>
      </c>
      <c r="N14" s="13">
        <f>IF(H14="","",IF(AND($D$14="Sí",(L14+M14)&lt;0),0,L14+M14))</f>
        <v/>
      </c>
      <c r="O14" s="199">
        <f>IF(H14="","",$D$5*N14*J14/36500)</f>
        <v/>
      </c>
      <c r="P14" s="199">
        <f>IF(H14="","",$D$5+SUM($O$5:O14))</f>
        <v/>
      </c>
    </row>
    <row r="15">
      <c r="A15" s="135" t="inlineStr">
        <is>
          <t>IsConsumer</t>
        </is>
      </c>
      <c r="B15" s="131" t="n"/>
      <c r="C15" s="132" t="n"/>
      <c r="D15" s="140">
        <f>'Informe Subasta'!$D$21</f>
        <v/>
      </c>
      <c r="E15" s="132" t="n"/>
      <c r="G15" s="11">
        <f>IF(H15="","",ROW()-4)</f>
        <v/>
      </c>
      <c r="H15" s="12">
        <f>IF(OR(I14="",I14&gt;=$D$7),"",I14)</f>
        <v/>
      </c>
      <c r="I15" s="12">
        <f>IF(H15="","",MIN(IF($D$18="LEGAL",DATE(YEAR(H15)+1,1,1),EDATE($D$12,$D$11*(INT((((YEAR(H15)-YEAR($D$12))*12+(MONTH(H15)-MONTH($D$12))-IF(DAY(H15)&lt;DAY($D$12),1,0))/$D$11))+1))),$D$7))</f>
        <v/>
      </c>
      <c r="J15" s="11">
        <f>IF(H15="","",I15-H15)</f>
        <v/>
      </c>
      <c r="K15" s="12">
        <f>IF(H15="","",IF($D$18="LEGAL",H15,EDATE(H15,-$D$13)))</f>
        <v/>
      </c>
      <c r="L15" s="13">
        <f>IF(H15="","",IFERROR(INDEX('Tipos BdE'!$B$7:$M$336,MATCH(DATE(YEAR(K15),MONTH(K15),1),'Tipos BdE'!$A$7:$A$336,1),MATCH($D$9,'Tipos BdE'!$B$6:$M$6,0)),0))</f>
        <v/>
      </c>
      <c r="M15" s="13">
        <f>IF(H15="","",IF($D$18="LEGAL",0,$D$10))</f>
        <v/>
      </c>
      <c r="N15" s="13">
        <f>IF(H15="","",IF(AND($D$14="Sí",(L15+M15)&lt;0),0,L15+M15))</f>
        <v/>
      </c>
      <c r="O15" s="199">
        <f>IF(H15="","",$D$5*N15*J15/36500)</f>
        <v/>
      </c>
      <c r="P15" s="199">
        <f>IF(H15="","",$D$5+SUM($O$5:O15))</f>
        <v/>
      </c>
    </row>
    <row r="16">
      <c r="A16" s="135" t="inlineStr">
        <is>
          <t>InterestApplicableRate</t>
        </is>
      </c>
      <c r="B16" s="131" t="n"/>
      <c r="C16" s="132" t="n"/>
      <c r="D16" s="200">
        <f>'Informe Subasta'!$D$22</f>
        <v/>
      </c>
      <c r="E16" s="132" t="n"/>
      <c r="G16" s="11">
        <f>IF(H16="","",ROW()-4)</f>
        <v/>
      </c>
      <c r="H16" s="12">
        <f>IF(OR(I15="",I15&gt;=$D$7),"",I15)</f>
        <v/>
      </c>
      <c r="I16" s="12">
        <f>IF(H16="","",MIN(IF($D$18="LEGAL",DATE(YEAR(H16)+1,1,1),EDATE($D$12,$D$11*(INT((((YEAR(H16)-YEAR($D$12))*12+(MONTH(H16)-MONTH($D$12))-IF(DAY(H16)&lt;DAY($D$12),1,0))/$D$11))+1))),$D$7))</f>
        <v/>
      </c>
      <c r="J16" s="11">
        <f>IF(H16="","",I16-H16)</f>
        <v/>
      </c>
      <c r="K16" s="12">
        <f>IF(H16="","",IF($D$18="LEGAL",H16,EDATE(H16,-$D$13)))</f>
        <v/>
      </c>
      <c r="L16" s="13">
        <f>IF(H16="","",IFERROR(INDEX('Tipos BdE'!$B$7:$M$336,MATCH(DATE(YEAR(K16),MONTH(K16),1),'Tipos BdE'!$A$7:$A$336,1),MATCH($D$9,'Tipos BdE'!$B$6:$M$6,0)),0))</f>
        <v/>
      </c>
      <c r="M16" s="13">
        <f>IF(H16="","",IF($D$18="LEGAL",0,$D$10))</f>
        <v/>
      </c>
      <c r="N16" s="13">
        <f>IF(H16="","",IF(AND($D$14="Sí",(L16+M16)&lt;0),0,L16+M16))</f>
        <v/>
      </c>
      <c r="O16" s="199">
        <f>IF(H16="","",$D$5*N16*J16/36500)</f>
        <v/>
      </c>
      <c r="P16" s="199">
        <f>IF(H16="","",$D$5+SUM($O$5:O16))</f>
        <v/>
      </c>
    </row>
    <row r="17">
      <c r="A17" s="135" t="inlineStr">
        <is>
          <t>PenaltyInterestApplicableRate</t>
        </is>
      </c>
      <c r="B17" s="131" t="n"/>
      <c r="C17" s="132" t="n"/>
      <c r="D17" s="200">
        <f>'Informe Subasta'!$D$23</f>
        <v/>
      </c>
      <c r="E17" s="132" t="n"/>
      <c r="G17" s="11">
        <f>IF(H17="","",ROW()-4)</f>
        <v/>
      </c>
      <c r="H17" s="12">
        <f>IF(OR(I16="",I16&gt;=$D$7),"",I16)</f>
        <v/>
      </c>
      <c r="I17" s="12">
        <f>IF(H17="","",MIN(IF($D$18="LEGAL",DATE(YEAR(H17)+1,1,1),EDATE($D$12,$D$11*(INT((((YEAR(H17)-YEAR($D$12))*12+(MONTH(H17)-MONTH($D$12))-IF(DAY(H17)&lt;DAY($D$12),1,0))/$D$11))+1))),$D$7))</f>
        <v/>
      </c>
      <c r="J17" s="11">
        <f>IF(H17="","",I17-H17)</f>
        <v/>
      </c>
      <c r="K17" s="12">
        <f>IF(H17="","",IF($D$18="LEGAL",H17,EDATE(H17,-$D$13)))</f>
        <v/>
      </c>
      <c r="L17" s="13">
        <f>IF(H17="","",IFERROR(INDEX('Tipos BdE'!$B$7:$M$336,MATCH(DATE(YEAR(K17),MONTH(K17),1),'Tipos BdE'!$A$7:$A$336,1),MATCH($D$9,'Tipos BdE'!$B$6:$M$6,0)),0))</f>
        <v/>
      </c>
      <c r="M17" s="13">
        <f>IF(H17="","",IF($D$18="LEGAL",0,$D$10))</f>
        <v/>
      </c>
      <c r="N17" s="13">
        <f>IF(H17="","",IF(AND($D$14="Sí",(L17+M17)&lt;0),0,L17+M17))</f>
        <v/>
      </c>
      <c r="O17" s="199">
        <f>IF(H17="","",$D$5*N17*J17/36500)</f>
        <v/>
      </c>
      <c r="P17" s="199">
        <f>IF(H17="","",$D$5+SUM($O$5:O17))</f>
        <v/>
      </c>
    </row>
    <row r="18">
      <c r="A18" s="135" t="inlineStr">
        <is>
          <t>Régimen (automático)</t>
        </is>
      </c>
      <c r="B18" s="131" t="n"/>
      <c r="C18" s="132" t="n"/>
      <c r="D18" s="161">
        <f>IF(OR(ISNUMBER(SEARCH("legal",$D$9)),ISNUMBER(SEARCH("demora",$D$9)),ISNUMBER(SEARCH("mora procesal",$D$9)),ISNUMBER(SEARCH("576",$D$9))),"LEGAL","VARIABLE")</f>
        <v/>
      </c>
      <c r="E18" s="132" t="n"/>
      <c r="G18" s="11">
        <f>IF(H18="","",ROW()-4)</f>
        <v/>
      </c>
      <c r="H18" s="12">
        <f>IF(OR(I17="",I17&gt;=$D$7),"",I17)</f>
        <v/>
      </c>
      <c r="I18" s="12">
        <f>IF(H18="","",MIN(IF($D$18="LEGAL",DATE(YEAR(H18)+1,1,1),EDATE($D$12,$D$11*(INT((((YEAR(H18)-YEAR($D$12))*12+(MONTH(H18)-MONTH($D$12))-IF(DAY(H18)&lt;DAY($D$12),1,0))/$D$11))+1))),$D$7))</f>
        <v/>
      </c>
      <c r="J18" s="11">
        <f>IF(H18="","",I18-H18)</f>
        <v/>
      </c>
      <c r="K18" s="12">
        <f>IF(H18="","",IF($D$18="LEGAL",H18,EDATE(H18,-$D$13)))</f>
        <v/>
      </c>
      <c r="L18" s="13">
        <f>IF(H18="","",IFERROR(INDEX('Tipos BdE'!$B$7:$M$336,MATCH(DATE(YEAR(K18),MONTH(K18),1),'Tipos BdE'!$A$7:$A$336,1),MATCH($D$9,'Tipos BdE'!$B$6:$M$6,0)),0))</f>
        <v/>
      </c>
      <c r="M18" s="13">
        <f>IF(H18="","",IF($D$18="LEGAL",0,$D$10))</f>
        <v/>
      </c>
      <c r="N18" s="13">
        <f>IF(H18="","",IF(AND($D$14="Sí",(L18+M18)&lt;0),0,L18+M18))</f>
        <v/>
      </c>
      <c r="O18" s="199">
        <f>IF(H18="","",$D$5*N18*J18/36500)</f>
        <v/>
      </c>
      <c r="P18" s="199">
        <f>IF(H18="","",$D$5+SUM($O$5:O18))</f>
        <v/>
      </c>
    </row>
    <row r="19">
      <c r="G19" s="11">
        <f>IF(H19="","",ROW()-4)</f>
        <v/>
      </c>
      <c r="H19" s="12">
        <f>IF(OR(I18="",I18&gt;=$D$7),"",I18)</f>
        <v/>
      </c>
      <c r="I19" s="12">
        <f>IF(H19="","",MIN(IF($D$18="LEGAL",DATE(YEAR(H19)+1,1,1),EDATE($D$12,$D$11*(INT((((YEAR(H19)-YEAR($D$12))*12+(MONTH(H19)-MONTH($D$12))-IF(DAY(H19)&lt;DAY($D$12),1,0))/$D$11))+1))),$D$7))</f>
        <v/>
      </c>
      <c r="J19" s="11">
        <f>IF(H19="","",I19-H19)</f>
        <v/>
      </c>
      <c r="K19" s="12">
        <f>IF(H19="","",IF($D$18="LEGAL",H19,EDATE(H19,-$D$13)))</f>
        <v/>
      </c>
      <c r="L19" s="13">
        <f>IF(H19="","",IFERROR(INDEX('Tipos BdE'!$B$7:$M$336,MATCH(DATE(YEAR(K19),MONTH(K19),1),'Tipos BdE'!$A$7:$A$336,1),MATCH($D$9,'Tipos BdE'!$B$6:$M$6,0)),0))</f>
        <v/>
      </c>
      <c r="M19" s="13">
        <f>IF(H19="","",IF($D$18="LEGAL",0,$D$10))</f>
        <v/>
      </c>
      <c r="N19" s="13">
        <f>IF(H19="","",IF(AND($D$14="Sí",(L19+M19)&lt;0),0,L19+M19))</f>
        <v/>
      </c>
      <c r="O19" s="199">
        <f>IF(H19="","",$D$5*N19*J19/36500)</f>
        <v/>
      </c>
      <c r="P19" s="199">
        <f>IF(H19="","",$D$5+SUM($O$5:O19))</f>
        <v/>
      </c>
    </row>
    <row r="20">
      <c r="A20" s="144" t="inlineStr">
        <is>
          <t>RESULTADO</t>
        </is>
      </c>
      <c r="B20" s="131" t="n"/>
      <c r="C20" s="131" t="n"/>
      <c r="D20" s="131" t="n"/>
      <c r="E20" s="132" t="n"/>
      <c r="G20" s="11">
        <f>IF(H20="","",ROW()-4)</f>
        <v/>
      </c>
      <c r="H20" s="12">
        <f>IF(OR(I19="",I19&gt;=$D$7),"",I19)</f>
        <v/>
      </c>
      <c r="I20" s="12">
        <f>IF(H20="","",MIN(IF($D$18="LEGAL",DATE(YEAR(H20)+1,1,1),EDATE($D$12,$D$11*(INT((((YEAR(H20)-YEAR($D$12))*12+(MONTH(H20)-MONTH($D$12))-IF(DAY(H20)&lt;DAY($D$12),1,0))/$D$11))+1))),$D$7))</f>
        <v/>
      </c>
      <c r="J20" s="11">
        <f>IF(H20="","",I20-H20)</f>
        <v/>
      </c>
      <c r="K20" s="12">
        <f>IF(H20="","",IF($D$18="LEGAL",H20,EDATE(H20,-$D$13)))</f>
        <v/>
      </c>
      <c r="L20" s="13">
        <f>IF(H20="","",IFERROR(INDEX('Tipos BdE'!$B$7:$M$336,MATCH(DATE(YEAR(K20),MONTH(K20),1),'Tipos BdE'!$A$7:$A$336,1),MATCH($D$9,'Tipos BdE'!$B$6:$M$6,0)),0))</f>
        <v/>
      </c>
      <c r="M20" s="13">
        <f>IF(H20="","",IF($D$18="LEGAL",0,$D$10))</f>
        <v/>
      </c>
      <c r="N20" s="13">
        <f>IF(H20="","",IF(AND($D$14="Sí",(L20+M20)&lt;0),0,L20+M20))</f>
        <v/>
      </c>
      <c r="O20" s="199">
        <f>IF(H20="","",$D$5*N20*J20/36500)</f>
        <v/>
      </c>
      <c r="P20" s="199">
        <f>IF(H20="","",$D$5+SUM($O$5:O20))</f>
        <v/>
      </c>
    </row>
    <row r="21">
      <c r="A21" s="135" t="inlineStr">
        <is>
          <t>TOTAL INTERÉS ACTUALIZADO (€)</t>
        </is>
      </c>
      <c r="B21" s="131" t="n"/>
      <c r="C21" s="132" t="n"/>
      <c r="D21" s="201">
        <f>IF($D$8="FIJO",($D$7-$D$6)*IF($D$15="Y",$D$16,$D$17)*$D$5/365,SUM($O$5:$O$304))</f>
        <v/>
      </c>
      <c r="E21" s="148" t="n"/>
      <c r="G21" s="11">
        <f>IF(H21="","",ROW()-4)</f>
        <v/>
      </c>
      <c r="H21" s="12">
        <f>IF(OR(I20="",I20&gt;=$D$7),"",I20)</f>
        <v/>
      </c>
      <c r="I21" s="12">
        <f>IF(H21="","",MIN(IF($D$18="LEGAL",DATE(YEAR(H21)+1,1,1),EDATE($D$12,$D$11*(INT((((YEAR(H21)-YEAR($D$12))*12+(MONTH(H21)-MONTH($D$12))-IF(DAY(H21)&lt;DAY($D$12),1,0))/$D$11))+1))),$D$7))</f>
        <v/>
      </c>
      <c r="J21" s="11">
        <f>IF(H21="","",I21-H21)</f>
        <v/>
      </c>
      <c r="K21" s="12">
        <f>IF(H21="","",IF($D$18="LEGAL",H21,EDATE(H21,-$D$13)))</f>
        <v/>
      </c>
      <c r="L21" s="13">
        <f>IF(H21="","",IFERROR(INDEX('Tipos BdE'!$B$7:$M$336,MATCH(DATE(YEAR(K21),MONTH(K21),1),'Tipos BdE'!$A$7:$A$336,1),MATCH($D$9,'Tipos BdE'!$B$6:$M$6,0)),0))</f>
        <v/>
      </c>
      <c r="M21" s="13">
        <f>IF(H21="","",IF($D$18="LEGAL",0,$D$10))</f>
        <v/>
      </c>
      <c r="N21" s="13">
        <f>IF(H21="","",IF(AND($D$14="Sí",(L21+M21)&lt;0),0,L21+M21))</f>
        <v/>
      </c>
      <c r="O21" s="199">
        <f>IF(H21="","",$D$5*N21*J21/36500)</f>
        <v/>
      </c>
      <c r="P21" s="199">
        <f>IF(H21="","",$D$5+SUM($O$5:O21))</f>
        <v/>
      </c>
    </row>
    <row r="22">
      <c r="A22" s="72" t="n"/>
      <c r="D22" s="202" t="n"/>
      <c r="G22" s="11">
        <f>IF(H22="","",ROW()-4)</f>
        <v/>
      </c>
      <c r="H22" s="12">
        <f>IF(OR(I21="",I21&gt;=$D$7),"",I21)</f>
        <v/>
      </c>
      <c r="I22" s="12">
        <f>IF(H22="","",MIN(IF($D$18="LEGAL",DATE(YEAR(H22)+1,1,1),EDATE($D$12,$D$11*(INT((((YEAR(H22)-YEAR($D$12))*12+(MONTH(H22)-MONTH($D$12))-IF(DAY(H22)&lt;DAY($D$12),1,0))/$D$11))+1))),$D$7))</f>
        <v/>
      </c>
      <c r="J22" s="11">
        <f>IF(H22="","",I22-H22)</f>
        <v/>
      </c>
      <c r="K22" s="12">
        <f>IF(H22="","",IF($D$18="LEGAL",H22,EDATE(H22,-$D$13)))</f>
        <v/>
      </c>
      <c r="L22" s="13">
        <f>IF(H22="","",IFERROR(INDEX('Tipos BdE'!$B$7:$M$336,MATCH(DATE(YEAR(K22),MONTH(K22),1),'Tipos BdE'!$A$7:$A$336,1),MATCH($D$9,'Tipos BdE'!$B$6:$M$6,0)),0))</f>
        <v/>
      </c>
      <c r="M22" s="13">
        <f>IF(H22="","",IF($D$18="LEGAL",0,$D$10))</f>
        <v/>
      </c>
      <c r="N22" s="13">
        <f>IF(H22="","",IF(AND($D$14="Sí",(L22+M22)&lt;0),0,L22+M22))</f>
        <v/>
      </c>
      <c r="O22" s="199">
        <f>IF(H22="","",$D$5*N22*J22/36500)</f>
        <v/>
      </c>
      <c r="P22" s="199">
        <f>IF(H22="","",$D$5+SUM($O$5:O22))</f>
        <v/>
      </c>
    </row>
    <row r="23">
      <c r="A23" s="135" t="inlineStr">
        <is>
          <t>Nº de tramos</t>
        </is>
      </c>
      <c r="B23" s="131" t="n"/>
      <c r="C23" s="132" t="n"/>
      <c r="D23" s="149">
        <f>COUNT($J$5:$J$304)</f>
        <v/>
      </c>
      <c r="E23" s="132" t="n"/>
      <c r="G23" s="11">
        <f>IF(H23="","",ROW()-4)</f>
        <v/>
      </c>
      <c r="H23" s="12">
        <f>IF(OR(I22="",I22&gt;=$D$7),"",I22)</f>
        <v/>
      </c>
      <c r="I23" s="12">
        <f>IF(H23="","",MIN(IF($D$18="LEGAL",DATE(YEAR(H23)+1,1,1),EDATE($D$12,$D$11*(INT((((YEAR(H23)-YEAR($D$12))*12+(MONTH(H23)-MONTH($D$12))-IF(DAY(H23)&lt;DAY($D$12),1,0))/$D$11))+1))),$D$7))</f>
        <v/>
      </c>
      <c r="J23" s="11">
        <f>IF(H23="","",I23-H23)</f>
        <v/>
      </c>
      <c r="K23" s="12">
        <f>IF(H23="","",IF($D$18="LEGAL",H23,EDATE(H23,-$D$13)))</f>
        <v/>
      </c>
      <c r="L23" s="13">
        <f>IF(H23="","",IFERROR(INDEX('Tipos BdE'!$B$7:$M$336,MATCH(DATE(YEAR(K23),MONTH(K23),1),'Tipos BdE'!$A$7:$A$336,1),MATCH($D$9,'Tipos BdE'!$B$6:$M$6,0)),0))</f>
        <v/>
      </c>
      <c r="M23" s="13">
        <f>IF(H23="","",IF($D$18="LEGAL",0,$D$10))</f>
        <v/>
      </c>
      <c r="N23" s="13">
        <f>IF(H23="","",IF(AND($D$14="Sí",(L23+M23)&lt;0),0,L23+M23))</f>
        <v/>
      </c>
      <c r="O23" s="199">
        <f>IF(H23="","",$D$5*N23*J23/36500)</f>
        <v/>
      </c>
      <c r="P23" s="199">
        <f>IF(H23="","",$D$5+SUM($O$5:O23))</f>
        <v/>
      </c>
    </row>
    <row r="24">
      <c r="A24" s="135" t="inlineStr">
        <is>
          <t>Tipo medio aplicado (ponderado)</t>
        </is>
      </c>
      <c r="B24" s="131" t="n"/>
      <c r="C24" s="132" t="n"/>
      <c r="D24" s="159">
        <f>IFERROR($D$21*36500/($D$5*IF($D$8="FIJO",$D$7-$D$6,SUM($J$5:$J$304))),0)</f>
        <v/>
      </c>
      <c r="E24" s="132" t="n"/>
      <c r="G24" s="11">
        <f>IF(H24="","",ROW()-4)</f>
        <v/>
      </c>
      <c r="H24" s="12">
        <f>IF(OR(I23="",I23&gt;=$D$7),"",I23)</f>
        <v/>
      </c>
      <c r="I24" s="12">
        <f>IF(H24="","",MIN(IF($D$18="LEGAL",DATE(YEAR(H24)+1,1,1),EDATE($D$12,$D$11*(INT((((YEAR(H24)-YEAR($D$12))*12+(MONTH(H24)-MONTH($D$12))-IF(DAY(H24)&lt;DAY($D$12),1,0))/$D$11))+1))),$D$7))</f>
        <v/>
      </c>
      <c r="J24" s="11">
        <f>IF(H24="","",I24-H24)</f>
        <v/>
      </c>
      <c r="K24" s="12">
        <f>IF(H24="","",IF($D$18="LEGAL",H24,EDATE(H24,-$D$13)))</f>
        <v/>
      </c>
      <c r="L24" s="13">
        <f>IF(H24="","",IFERROR(INDEX('Tipos BdE'!$B$7:$M$336,MATCH(DATE(YEAR(K24),MONTH(K24),1),'Tipos BdE'!$A$7:$A$336,1),MATCH($D$9,'Tipos BdE'!$B$6:$M$6,0)),0))</f>
        <v/>
      </c>
      <c r="M24" s="13">
        <f>IF(H24="","",IF($D$18="LEGAL",0,$D$10))</f>
        <v/>
      </c>
      <c r="N24" s="13">
        <f>IF(H24="","",IF(AND($D$14="Sí",(L24+M24)&lt;0),0,L24+M24))</f>
        <v/>
      </c>
      <c r="O24" s="199">
        <f>IF(H24="","",$D$5*N24*J24/36500)</f>
        <v/>
      </c>
      <c r="P24" s="199">
        <f>IF(H24="","",$D$5+SUM($O$5:O24))</f>
        <v/>
      </c>
    </row>
    <row r="25">
      <c r="G25" s="11">
        <f>IF(H25="","",ROW()-4)</f>
        <v/>
      </c>
      <c r="H25" s="12">
        <f>IF(OR(I24="",I24&gt;=$D$7),"",I24)</f>
        <v/>
      </c>
      <c r="I25" s="12">
        <f>IF(H25="","",MIN(IF($D$18="LEGAL",DATE(YEAR(H25)+1,1,1),EDATE($D$12,$D$11*(INT((((YEAR(H25)-YEAR($D$12))*12+(MONTH(H25)-MONTH($D$12))-IF(DAY(H25)&lt;DAY($D$12),1,0))/$D$11))+1))),$D$7))</f>
        <v/>
      </c>
      <c r="J25" s="11">
        <f>IF(H25="","",I25-H25)</f>
        <v/>
      </c>
      <c r="K25" s="12">
        <f>IF(H25="","",IF($D$18="LEGAL",H25,EDATE(H25,-$D$13)))</f>
        <v/>
      </c>
      <c r="L25" s="13">
        <f>IF(H25="","",IFERROR(INDEX('Tipos BdE'!$B$7:$M$336,MATCH(DATE(YEAR(K25),MONTH(K25),1),'Tipos BdE'!$A$7:$A$336,1),MATCH($D$9,'Tipos BdE'!$B$6:$M$6,0)),0))</f>
        <v/>
      </c>
      <c r="M25" s="13">
        <f>IF(H25="","",IF($D$18="LEGAL",0,$D$10))</f>
        <v/>
      </c>
      <c r="N25" s="13">
        <f>IF(H25="","",IF(AND($D$14="Sí",(L25+M25)&lt;0),0,L25+M25))</f>
        <v/>
      </c>
      <c r="O25" s="199">
        <f>IF(H25="","",$D$5*N25*J25/36500)</f>
        <v/>
      </c>
      <c r="P25" s="199">
        <f>IF(H25="","",$D$5+SUM($O$5:O25))</f>
        <v/>
      </c>
    </row>
    <row r="26">
      <c r="G26" s="11">
        <f>IF(H26="","",ROW()-4)</f>
        <v/>
      </c>
      <c r="H26" s="12">
        <f>IF(OR(I25="",I25&gt;=$D$7),"",I25)</f>
        <v/>
      </c>
      <c r="I26" s="12">
        <f>IF(H26="","",MIN(IF($D$18="LEGAL",DATE(YEAR(H26)+1,1,1),EDATE($D$12,$D$11*(INT((((YEAR(H26)-YEAR($D$12))*12+(MONTH(H26)-MONTH($D$12))-IF(DAY(H26)&lt;DAY($D$12),1,0))/$D$11))+1))),$D$7))</f>
        <v/>
      </c>
      <c r="J26" s="11">
        <f>IF(H26="","",I26-H26)</f>
        <v/>
      </c>
      <c r="K26" s="12">
        <f>IF(H26="","",IF($D$18="LEGAL",H26,EDATE(H26,-$D$13)))</f>
        <v/>
      </c>
      <c r="L26" s="13">
        <f>IF(H26="","",IFERROR(INDEX('Tipos BdE'!$B$7:$M$336,MATCH(DATE(YEAR(K26),MONTH(K26),1),'Tipos BdE'!$A$7:$A$336,1),MATCH($D$9,'Tipos BdE'!$B$6:$M$6,0)),0))</f>
        <v/>
      </c>
      <c r="M26" s="13">
        <f>IF(H26="","",IF($D$18="LEGAL",0,$D$10))</f>
        <v/>
      </c>
      <c r="N26" s="13">
        <f>IF(H26="","",IF(AND($D$14="Sí",(L26+M26)&lt;0),0,L26+M26))</f>
        <v/>
      </c>
      <c r="O26" s="199">
        <f>IF(H26="","",$D$5*N26*J26/36500)</f>
        <v/>
      </c>
      <c r="P26" s="199">
        <f>IF(H26="","",$D$5+SUM($O$5:O26))</f>
        <v/>
      </c>
    </row>
    <row r="27">
      <c r="G27" s="11">
        <f>IF(H27="","",ROW()-4)</f>
        <v/>
      </c>
      <c r="H27" s="12">
        <f>IF(OR(I26="",I26&gt;=$D$7),"",I26)</f>
        <v/>
      </c>
      <c r="I27" s="12">
        <f>IF(H27="","",MIN(IF($D$18="LEGAL",DATE(YEAR(H27)+1,1,1),EDATE($D$12,$D$11*(INT((((YEAR(H27)-YEAR($D$12))*12+(MONTH(H27)-MONTH($D$12))-IF(DAY(H27)&lt;DAY($D$12),1,0))/$D$11))+1))),$D$7))</f>
        <v/>
      </c>
      <c r="J27" s="11">
        <f>IF(H27="","",I27-H27)</f>
        <v/>
      </c>
      <c r="K27" s="12">
        <f>IF(H27="","",IF($D$18="LEGAL",H27,EDATE(H27,-$D$13)))</f>
        <v/>
      </c>
      <c r="L27" s="13">
        <f>IF(H27="","",IFERROR(INDEX('Tipos BdE'!$B$7:$M$336,MATCH(DATE(YEAR(K27),MONTH(K27),1),'Tipos BdE'!$A$7:$A$336,1),MATCH($D$9,'Tipos BdE'!$B$6:$M$6,0)),0))</f>
        <v/>
      </c>
      <c r="M27" s="13">
        <f>IF(H27="","",IF($D$18="LEGAL",0,$D$10))</f>
        <v/>
      </c>
      <c r="N27" s="13">
        <f>IF(H27="","",IF(AND($D$14="Sí",(L27+M27)&lt;0),0,L27+M27))</f>
        <v/>
      </c>
      <c r="O27" s="199">
        <f>IF(H27="","",$D$5*N27*J27/36500)</f>
        <v/>
      </c>
      <c r="P27" s="199">
        <f>IF(H27="","",$D$5+SUM($O$5:O27))</f>
        <v/>
      </c>
    </row>
    <row r="28">
      <c r="G28" s="11">
        <f>IF(H28="","",ROW()-4)</f>
        <v/>
      </c>
      <c r="H28" s="12">
        <f>IF(OR(I27="",I27&gt;=$D$7),"",I27)</f>
        <v/>
      </c>
      <c r="I28" s="12">
        <f>IF(H28="","",MIN(IF($D$18="LEGAL",DATE(YEAR(H28)+1,1,1),EDATE($D$12,$D$11*(INT((((YEAR(H28)-YEAR($D$12))*12+(MONTH(H28)-MONTH($D$12))-IF(DAY(H28)&lt;DAY($D$12),1,0))/$D$11))+1))),$D$7))</f>
        <v/>
      </c>
      <c r="J28" s="11">
        <f>IF(H28="","",I28-H28)</f>
        <v/>
      </c>
      <c r="K28" s="12">
        <f>IF(H28="","",IF($D$18="LEGAL",H28,EDATE(H28,-$D$13)))</f>
        <v/>
      </c>
      <c r="L28" s="13">
        <f>IF(H28="","",IFERROR(INDEX('Tipos BdE'!$B$7:$M$336,MATCH(DATE(YEAR(K28),MONTH(K28),1),'Tipos BdE'!$A$7:$A$336,1),MATCH($D$9,'Tipos BdE'!$B$6:$M$6,0)),0))</f>
        <v/>
      </c>
      <c r="M28" s="13">
        <f>IF(H28="","",IF($D$18="LEGAL",0,$D$10))</f>
        <v/>
      </c>
      <c r="N28" s="13">
        <f>IF(H28="","",IF(AND($D$14="Sí",(L28+M28)&lt;0),0,L28+M28))</f>
        <v/>
      </c>
      <c r="O28" s="199">
        <f>IF(H28="","",$D$5*N28*J28/36500)</f>
        <v/>
      </c>
      <c r="P28" s="199">
        <f>IF(H28="","",$D$5+SUM($O$5:O28))</f>
        <v/>
      </c>
    </row>
    <row r="29">
      <c r="G29" s="11">
        <f>IF(H29="","",ROW()-4)</f>
        <v/>
      </c>
      <c r="H29" s="12">
        <f>IF(OR(I28="",I28&gt;=$D$7),"",I28)</f>
        <v/>
      </c>
      <c r="I29" s="12">
        <f>IF(H29="","",MIN(IF($D$18="LEGAL",DATE(YEAR(H29)+1,1,1),EDATE($D$12,$D$11*(INT((((YEAR(H29)-YEAR($D$12))*12+(MONTH(H29)-MONTH($D$12))-IF(DAY(H29)&lt;DAY($D$12),1,0))/$D$11))+1))),$D$7))</f>
        <v/>
      </c>
      <c r="J29" s="11">
        <f>IF(H29="","",I29-H29)</f>
        <v/>
      </c>
      <c r="K29" s="12">
        <f>IF(H29="","",IF($D$18="LEGAL",H29,EDATE(H29,-$D$13)))</f>
        <v/>
      </c>
      <c r="L29" s="13">
        <f>IF(H29="","",IFERROR(INDEX('Tipos BdE'!$B$7:$M$336,MATCH(DATE(YEAR(K29),MONTH(K29),1),'Tipos BdE'!$A$7:$A$336,1),MATCH($D$9,'Tipos BdE'!$B$6:$M$6,0)),0))</f>
        <v/>
      </c>
      <c r="M29" s="13">
        <f>IF(H29="","",IF($D$18="LEGAL",0,$D$10))</f>
        <v/>
      </c>
      <c r="N29" s="13">
        <f>IF(H29="","",IF(AND($D$14="Sí",(L29+M29)&lt;0),0,L29+M29))</f>
        <v/>
      </c>
      <c r="O29" s="199">
        <f>IF(H29="","",$D$5*N29*J29/36500)</f>
        <v/>
      </c>
      <c r="P29" s="199">
        <f>IF(H29="","",$D$5+SUM($O$5:O29))</f>
        <v/>
      </c>
    </row>
    <row r="30">
      <c r="G30" s="11">
        <f>IF(H30="","",ROW()-4)</f>
        <v/>
      </c>
      <c r="H30" s="12">
        <f>IF(OR(I29="",I29&gt;=$D$7),"",I29)</f>
        <v/>
      </c>
      <c r="I30" s="12">
        <f>IF(H30="","",MIN(IF($D$18="LEGAL",DATE(YEAR(H30)+1,1,1),EDATE($D$12,$D$11*(INT((((YEAR(H30)-YEAR($D$12))*12+(MONTH(H30)-MONTH($D$12))-IF(DAY(H30)&lt;DAY($D$12),1,0))/$D$11))+1))),$D$7))</f>
        <v/>
      </c>
      <c r="J30" s="11">
        <f>IF(H30="","",I30-H30)</f>
        <v/>
      </c>
      <c r="K30" s="12">
        <f>IF(H30="","",IF($D$18="LEGAL",H30,EDATE(H30,-$D$13)))</f>
        <v/>
      </c>
      <c r="L30" s="13">
        <f>IF(H30="","",IFERROR(INDEX('Tipos BdE'!$B$7:$M$336,MATCH(DATE(YEAR(K30),MONTH(K30),1),'Tipos BdE'!$A$7:$A$336,1),MATCH($D$9,'Tipos BdE'!$B$6:$M$6,0)),0))</f>
        <v/>
      </c>
      <c r="M30" s="13">
        <f>IF(H30="","",IF($D$18="LEGAL",0,$D$10))</f>
        <v/>
      </c>
      <c r="N30" s="13">
        <f>IF(H30="","",IF(AND($D$14="Sí",(L30+M30)&lt;0),0,L30+M30))</f>
        <v/>
      </c>
      <c r="O30" s="199">
        <f>IF(H30="","",$D$5*N30*J30/36500)</f>
        <v/>
      </c>
      <c r="P30" s="199">
        <f>IF(H30="","",$D$5+SUM($O$5:O30))</f>
        <v/>
      </c>
    </row>
    <row r="31">
      <c r="G31" s="11">
        <f>IF(H31="","",ROW()-4)</f>
        <v/>
      </c>
      <c r="H31" s="12">
        <f>IF(OR(I30="",I30&gt;=$D$7),"",I30)</f>
        <v/>
      </c>
      <c r="I31" s="12">
        <f>IF(H31="","",MIN(IF($D$18="LEGAL",DATE(YEAR(H31)+1,1,1),EDATE($D$12,$D$11*(INT((((YEAR(H31)-YEAR($D$12))*12+(MONTH(H31)-MONTH($D$12))-IF(DAY(H31)&lt;DAY($D$12),1,0))/$D$11))+1))),$D$7))</f>
        <v/>
      </c>
      <c r="J31" s="11">
        <f>IF(H31="","",I31-H31)</f>
        <v/>
      </c>
      <c r="K31" s="12">
        <f>IF(H31="","",IF($D$18="LEGAL",H31,EDATE(H31,-$D$13)))</f>
        <v/>
      </c>
      <c r="L31" s="13">
        <f>IF(H31="","",IFERROR(INDEX('Tipos BdE'!$B$7:$M$336,MATCH(DATE(YEAR(K31),MONTH(K31),1),'Tipos BdE'!$A$7:$A$336,1),MATCH($D$9,'Tipos BdE'!$B$6:$M$6,0)),0))</f>
        <v/>
      </c>
      <c r="M31" s="13">
        <f>IF(H31="","",IF($D$18="LEGAL",0,$D$10))</f>
        <v/>
      </c>
      <c r="N31" s="13">
        <f>IF(H31="","",IF(AND($D$14="Sí",(L31+M31)&lt;0),0,L31+M31))</f>
        <v/>
      </c>
      <c r="O31" s="199">
        <f>IF(H31="","",$D$5*N31*J31/36500)</f>
        <v/>
      </c>
      <c r="P31" s="199">
        <f>IF(H31="","",$D$5+SUM($O$5:O31))</f>
        <v/>
      </c>
    </row>
    <row r="32">
      <c r="G32" s="11">
        <f>IF(H32="","",ROW()-4)</f>
        <v/>
      </c>
      <c r="H32" s="12">
        <f>IF(OR(I31="",I31&gt;=$D$7),"",I31)</f>
        <v/>
      </c>
      <c r="I32" s="12">
        <f>IF(H32="","",MIN(IF($D$18="LEGAL",DATE(YEAR(H32)+1,1,1),EDATE($D$12,$D$11*(INT((((YEAR(H32)-YEAR($D$12))*12+(MONTH(H32)-MONTH($D$12))-IF(DAY(H32)&lt;DAY($D$12),1,0))/$D$11))+1))),$D$7))</f>
        <v/>
      </c>
      <c r="J32" s="11">
        <f>IF(H32="","",I32-H32)</f>
        <v/>
      </c>
      <c r="K32" s="12">
        <f>IF(H32="","",IF($D$18="LEGAL",H32,EDATE(H32,-$D$13)))</f>
        <v/>
      </c>
      <c r="L32" s="13">
        <f>IF(H32="","",IFERROR(INDEX('Tipos BdE'!$B$7:$M$336,MATCH(DATE(YEAR(K32),MONTH(K32),1),'Tipos BdE'!$A$7:$A$336,1),MATCH($D$9,'Tipos BdE'!$B$6:$M$6,0)),0))</f>
        <v/>
      </c>
      <c r="M32" s="13">
        <f>IF(H32="","",IF($D$18="LEGAL",0,$D$10))</f>
        <v/>
      </c>
      <c r="N32" s="13">
        <f>IF(H32="","",IF(AND($D$14="Sí",(L32+M32)&lt;0),0,L32+M32))</f>
        <v/>
      </c>
      <c r="O32" s="199">
        <f>IF(H32="","",$D$5*N32*J32/36500)</f>
        <v/>
      </c>
      <c r="P32" s="199">
        <f>IF(H32="","",$D$5+SUM($O$5:O32))</f>
        <v/>
      </c>
    </row>
    <row r="33">
      <c r="G33" s="11">
        <f>IF(H33="","",ROW()-4)</f>
        <v/>
      </c>
      <c r="H33" s="12">
        <f>IF(OR(I32="",I32&gt;=$D$7),"",I32)</f>
        <v/>
      </c>
      <c r="I33" s="12">
        <f>IF(H33="","",MIN(IF($D$18="LEGAL",DATE(YEAR(H33)+1,1,1),EDATE($D$12,$D$11*(INT((((YEAR(H33)-YEAR($D$12))*12+(MONTH(H33)-MONTH($D$12))-IF(DAY(H33)&lt;DAY($D$12),1,0))/$D$11))+1))),$D$7))</f>
        <v/>
      </c>
      <c r="J33" s="11">
        <f>IF(H33="","",I33-H33)</f>
        <v/>
      </c>
      <c r="K33" s="12">
        <f>IF(H33="","",IF($D$18="LEGAL",H33,EDATE(H33,-$D$13)))</f>
        <v/>
      </c>
      <c r="L33" s="13">
        <f>IF(H33="","",IFERROR(INDEX('Tipos BdE'!$B$7:$M$336,MATCH(DATE(YEAR(K33),MONTH(K33),1),'Tipos BdE'!$A$7:$A$336,1),MATCH($D$9,'Tipos BdE'!$B$6:$M$6,0)),0))</f>
        <v/>
      </c>
      <c r="M33" s="13">
        <f>IF(H33="","",IF($D$18="LEGAL",0,$D$10))</f>
        <v/>
      </c>
      <c r="N33" s="13">
        <f>IF(H33="","",IF(AND($D$14="Sí",(L33+M33)&lt;0),0,L33+M33))</f>
        <v/>
      </c>
      <c r="O33" s="199">
        <f>IF(H33="","",$D$5*N33*J33/36500)</f>
        <v/>
      </c>
      <c r="P33" s="199">
        <f>IF(H33="","",$D$5+SUM($O$5:O33))</f>
        <v/>
      </c>
    </row>
    <row r="34">
      <c r="G34" s="11">
        <f>IF(H34="","",ROW()-4)</f>
        <v/>
      </c>
      <c r="H34" s="12">
        <f>IF(OR(I33="",I33&gt;=$D$7),"",I33)</f>
        <v/>
      </c>
      <c r="I34" s="12">
        <f>IF(H34="","",MIN(IF($D$18="LEGAL",DATE(YEAR(H34)+1,1,1),EDATE($D$12,$D$11*(INT((((YEAR(H34)-YEAR($D$12))*12+(MONTH(H34)-MONTH($D$12))-IF(DAY(H34)&lt;DAY($D$12),1,0))/$D$11))+1))),$D$7))</f>
        <v/>
      </c>
      <c r="J34" s="11">
        <f>IF(H34="","",I34-H34)</f>
        <v/>
      </c>
      <c r="K34" s="12">
        <f>IF(H34="","",IF($D$18="LEGAL",H34,EDATE(H34,-$D$13)))</f>
        <v/>
      </c>
      <c r="L34" s="13">
        <f>IF(H34="","",IFERROR(INDEX('Tipos BdE'!$B$7:$M$336,MATCH(DATE(YEAR(K34),MONTH(K34),1),'Tipos BdE'!$A$7:$A$336,1),MATCH($D$9,'Tipos BdE'!$B$6:$M$6,0)),0))</f>
        <v/>
      </c>
      <c r="M34" s="13">
        <f>IF(H34="","",IF($D$18="LEGAL",0,$D$10))</f>
        <v/>
      </c>
      <c r="N34" s="13">
        <f>IF(H34="","",IF(AND($D$14="Sí",(L34+M34)&lt;0),0,L34+M34))</f>
        <v/>
      </c>
      <c r="O34" s="199">
        <f>IF(H34="","",$D$5*N34*J34/36500)</f>
        <v/>
      </c>
      <c r="P34" s="199">
        <f>IF(H34="","",$D$5+SUM($O$5:O34))</f>
        <v/>
      </c>
    </row>
    <row r="35">
      <c r="G35" s="11">
        <f>IF(H35="","",ROW()-4)</f>
        <v/>
      </c>
      <c r="H35" s="12">
        <f>IF(OR(I34="",I34&gt;=$D$7),"",I34)</f>
        <v/>
      </c>
      <c r="I35" s="12">
        <f>IF(H35="","",MIN(IF($D$18="LEGAL",DATE(YEAR(H35)+1,1,1),EDATE($D$12,$D$11*(INT((((YEAR(H35)-YEAR($D$12))*12+(MONTH(H35)-MONTH($D$12))-IF(DAY(H35)&lt;DAY($D$12),1,0))/$D$11))+1))),$D$7))</f>
        <v/>
      </c>
      <c r="J35" s="11">
        <f>IF(H35="","",I35-H35)</f>
        <v/>
      </c>
      <c r="K35" s="12">
        <f>IF(H35="","",IF($D$18="LEGAL",H35,EDATE(H35,-$D$13)))</f>
        <v/>
      </c>
      <c r="L35" s="13">
        <f>IF(H35="","",IFERROR(INDEX('Tipos BdE'!$B$7:$M$336,MATCH(DATE(YEAR(K35),MONTH(K35),1),'Tipos BdE'!$A$7:$A$336,1),MATCH($D$9,'Tipos BdE'!$B$6:$M$6,0)),0))</f>
        <v/>
      </c>
      <c r="M35" s="13">
        <f>IF(H35="","",IF($D$18="LEGAL",0,$D$10))</f>
        <v/>
      </c>
      <c r="N35" s="13">
        <f>IF(H35="","",IF(AND($D$14="Sí",(L35+M35)&lt;0),0,L35+M35))</f>
        <v/>
      </c>
      <c r="O35" s="199">
        <f>IF(H35="","",$D$5*N35*J35/36500)</f>
        <v/>
      </c>
      <c r="P35" s="199">
        <f>IF(H35="","",$D$5+SUM($O$5:O35))</f>
        <v/>
      </c>
    </row>
    <row r="36">
      <c r="G36" s="11">
        <f>IF(H36="","",ROW()-4)</f>
        <v/>
      </c>
      <c r="H36" s="12">
        <f>IF(OR(I35="",I35&gt;=$D$7),"",I35)</f>
        <v/>
      </c>
      <c r="I36" s="12">
        <f>IF(H36="","",MIN(IF($D$18="LEGAL",DATE(YEAR(H36)+1,1,1),EDATE($D$12,$D$11*(INT((((YEAR(H36)-YEAR($D$12))*12+(MONTH(H36)-MONTH($D$12))-IF(DAY(H36)&lt;DAY($D$12),1,0))/$D$11))+1))),$D$7))</f>
        <v/>
      </c>
      <c r="J36" s="11">
        <f>IF(H36="","",I36-H36)</f>
        <v/>
      </c>
      <c r="K36" s="12">
        <f>IF(H36="","",IF($D$18="LEGAL",H36,EDATE(H36,-$D$13)))</f>
        <v/>
      </c>
      <c r="L36" s="13">
        <f>IF(H36="","",IFERROR(INDEX('Tipos BdE'!$B$7:$M$336,MATCH(DATE(YEAR(K36),MONTH(K36),1),'Tipos BdE'!$A$7:$A$336,1),MATCH($D$9,'Tipos BdE'!$B$6:$M$6,0)),0))</f>
        <v/>
      </c>
      <c r="M36" s="13">
        <f>IF(H36="","",IF($D$18="LEGAL",0,$D$10))</f>
        <v/>
      </c>
      <c r="N36" s="13">
        <f>IF(H36="","",IF(AND($D$14="Sí",(L36+M36)&lt;0),0,L36+M36))</f>
        <v/>
      </c>
      <c r="O36" s="199">
        <f>IF(H36="","",$D$5*N36*J36/36500)</f>
        <v/>
      </c>
      <c r="P36" s="199">
        <f>IF(H36="","",$D$5+SUM($O$5:O36))</f>
        <v/>
      </c>
    </row>
    <row r="37">
      <c r="G37" s="11">
        <f>IF(H37="","",ROW()-4)</f>
        <v/>
      </c>
      <c r="H37" s="12">
        <f>IF(OR(I36="",I36&gt;=$D$7),"",I36)</f>
        <v/>
      </c>
      <c r="I37" s="12">
        <f>IF(H37="","",MIN(IF($D$18="LEGAL",DATE(YEAR(H37)+1,1,1),EDATE($D$12,$D$11*(INT((((YEAR(H37)-YEAR($D$12))*12+(MONTH(H37)-MONTH($D$12))-IF(DAY(H37)&lt;DAY($D$12),1,0))/$D$11))+1))),$D$7))</f>
        <v/>
      </c>
      <c r="J37" s="11">
        <f>IF(H37="","",I37-H37)</f>
        <v/>
      </c>
      <c r="K37" s="12">
        <f>IF(H37="","",IF($D$18="LEGAL",H37,EDATE(H37,-$D$13)))</f>
        <v/>
      </c>
      <c r="L37" s="13">
        <f>IF(H37="","",IFERROR(INDEX('Tipos BdE'!$B$7:$M$336,MATCH(DATE(YEAR(K37),MONTH(K37),1),'Tipos BdE'!$A$7:$A$336,1),MATCH($D$9,'Tipos BdE'!$B$6:$M$6,0)),0))</f>
        <v/>
      </c>
      <c r="M37" s="13">
        <f>IF(H37="","",IF($D$18="LEGAL",0,$D$10))</f>
        <v/>
      </c>
      <c r="N37" s="13">
        <f>IF(H37="","",IF(AND($D$14="Sí",(L37+M37)&lt;0),0,L37+M37))</f>
        <v/>
      </c>
      <c r="O37" s="199">
        <f>IF(H37="","",$D$5*N37*J37/36500)</f>
        <v/>
      </c>
      <c r="P37" s="199">
        <f>IF(H37="","",$D$5+SUM($O$5:O37))</f>
        <v/>
      </c>
    </row>
    <row r="38">
      <c r="G38" s="11">
        <f>IF(H38="","",ROW()-4)</f>
        <v/>
      </c>
      <c r="H38" s="12">
        <f>IF(OR(I37="",I37&gt;=$D$7),"",I37)</f>
        <v/>
      </c>
      <c r="I38" s="12">
        <f>IF(H38="","",MIN(IF($D$18="LEGAL",DATE(YEAR(H38)+1,1,1),EDATE($D$12,$D$11*(INT((((YEAR(H38)-YEAR($D$12))*12+(MONTH(H38)-MONTH($D$12))-IF(DAY(H38)&lt;DAY($D$12),1,0))/$D$11))+1))),$D$7))</f>
        <v/>
      </c>
      <c r="J38" s="11">
        <f>IF(H38="","",I38-H38)</f>
        <v/>
      </c>
      <c r="K38" s="12">
        <f>IF(H38="","",IF($D$18="LEGAL",H38,EDATE(H38,-$D$13)))</f>
        <v/>
      </c>
      <c r="L38" s="13">
        <f>IF(H38="","",IFERROR(INDEX('Tipos BdE'!$B$7:$M$336,MATCH(DATE(YEAR(K38),MONTH(K38),1),'Tipos BdE'!$A$7:$A$336,1),MATCH($D$9,'Tipos BdE'!$B$6:$M$6,0)),0))</f>
        <v/>
      </c>
      <c r="M38" s="13">
        <f>IF(H38="","",IF($D$18="LEGAL",0,$D$10))</f>
        <v/>
      </c>
      <c r="N38" s="13">
        <f>IF(H38="","",IF(AND($D$14="Sí",(L38+M38)&lt;0),0,L38+M38))</f>
        <v/>
      </c>
      <c r="O38" s="199">
        <f>IF(H38="","",$D$5*N38*J38/36500)</f>
        <v/>
      </c>
      <c r="P38" s="199">
        <f>IF(H38="","",$D$5+SUM($O$5:O38))</f>
        <v/>
      </c>
    </row>
    <row r="39">
      <c r="G39" s="11">
        <f>IF(H39="","",ROW()-4)</f>
        <v/>
      </c>
      <c r="H39" s="12">
        <f>IF(OR(I38="",I38&gt;=$D$7),"",I38)</f>
        <v/>
      </c>
      <c r="I39" s="12">
        <f>IF(H39="","",MIN(IF($D$18="LEGAL",DATE(YEAR(H39)+1,1,1),EDATE($D$12,$D$11*(INT((((YEAR(H39)-YEAR($D$12))*12+(MONTH(H39)-MONTH($D$12))-IF(DAY(H39)&lt;DAY($D$12),1,0))/$D$11))+1))),$D$7))</f>
        <v/>
      </c>
      <c r="J39" s="11">
        <f>IF(H39="","",I39-H39)</f>
        <v/>
      </c>
      <c r="K39" s="12">
        <f>IF(H39="","",IF($D$18="LEGAL",H39,EDATE(H39,-$D$13)))</f>
        <v/>
      </c>
      <c r="L39" s="13">
        <f>IF(H39="","",IFERROR(INDEX('Tipos BdE'!$B$7:$M$336,MATCH(DATE(YEAR(K39),MONTH(K39),1),'Tipos BdE'!$A$7:$A$336,1),MATCH($D$9,'Tipos BdE'!$B$6:$M$6,0)),0))</f>
        <v/>
      </c>
      <c r="M39" s="13">
        <f>IF(H39="","",IF($D$18="LEGAL",0,$D$10))</f>
        <v/>
      </c>
      <c r="N39" s="13">
        <f>IF(H39="","",IF(AND($D$14="Sí",(L39+M39)&lt;0),0,L39+M39))</f>
        <v/>
      </c>
      <c r="O39" s="199">
        <f>IF(H39="","",$D$5*N39*J39/36500)</f>
        <v/>
      </c>
      <c r="P39" s="199">
        <f>IF(H39="","",$D$5+SUM($O$5:O39))</f>
        <v/>
      </c>
    </row>
    <row r="40">
      <c r="G40" s="11">
        <f>IF(H40="","",ROW()-4)</f>
        <v/>
      </c>
      <c r="H40" s="12">
        <f>IF(OR(I39="",I39&gt;=$D$7),"",I39)</f>
        <v/>
      </c>
      <c r="I40" s="12">
        <f>IF(H40="","",MIN(IF($D$18="LEGAL",DATE(YEAR(H40)+1,1,1),EDATE($D$12,$D$11*(INT((((YEAR(H40)-YEAR($D$12))*12+(MONTH(H40)-MONTH($D$12))-IF(DAY(H40)&lt;DAY($D$12),1,0))/$D$11))+1))),$D$7))</f>
        <v/>
      </c>
      <c r="J40" s="11">
        <f>IF(H40="","",I40-H40)</f>
        <v/>
      </c>
      <c r="K40" s="12">
        <f>IF(H40="","",IF($D$18="LEGAL",H40,EDATE(H40,-$D$13)))</f>
        <v/>
      </c>
      <c r="L40" s="13">
        <f>IF(H40="","",IFERROR(INDEX('Tipos BdE'!$B$7:$M$336,MATCH(DATE(YEAR(K40),MONTH(K40),1),'Tipos BdE'!$A$7:$A$336,1),MATCH($D$9,'Tipos BdE'!$B$6:$M$6,0)),0))</f>
        <v/>
      </c>
      <c r="M40" s="13">
        <f>IF(H40="","",IF($D$18="LEGAL",0,$D$10))</f>
        <v/>
      </c>
      <c r="N40" s="13">
        <f>IF(H40="","",IF(AND($D$14="Sí",(L40+M40)&lt;0),0,L40+M40))</f>
        <v/>
      </c>
      <c r="O40" s="199">
        <f>IF(H40="","",$D$5*N40*J40/36500)</f>
        <v/>
      </c>
      <c r="P40" s="199">
        <f>IF(H40="","",$D$5+SUM($O$5:O40))</f>
        <v/>
      </c>
    </row>
    <row r="41">
      <c r="G41" s="11">
        <f>IF(H41="","",ROW()-4)</f>
        <v/>
      </c>
      <c r="H41" s="12">
        <f>IF(OR(I40="",I40&gt;=$D$7),"",I40)</f>
        <v/>
      </c>
      <c r="I41" s="12">
        <f>IF(H41="","",MIN(IF($D$18="LEGAL",DATE(YEAR(H41)+1,1,1),EDATE($D$12,$D$11*(INT((((YEAR(H41)-YEAR($D$12))*12+(MONTH(H41)-MONTH($D$12))-IF(DAY(H41)&lt;DAY($D$12),1,0))/$D$11))+1))),$D$7))</f>
        <v/>
      </c>
      <c r="J41" s="11">
        <f>IF(H41="","",I41-H41)</f>
        <v/>
      </c>
      <c r="K41" s="12">
        <f>IF(H41="","",IF($D$18="LEGAL",H41,EDATE(H41,-$D$13)))</f>
        <v/>
      </c>
      <c r="L41" s="13">
        <f>IF(H41="","",IFERROR(INDEX('Tipos BdE'!$B$7:$M$336,MATCH(DATE(YEAR(K41),MONTH(K41),1),'Tipos BdE'!$A$7:$A$336,1),MATCH($D$9,'Tipos BdE'!$B$6:$M$6,0)),0))</f>
        <v/>
      </c>
      <c r="M41" s="13">
        <f>IF(H41="","",IF($D$18="LEGAL",0,$D$10))</f>
        <v/>
      </c>
      <c r="N41" s="13">
        <f>IF(H41="","",IF(AND($D$14="Sí",(L41+M41)&lt;0),0,L41+M41))</f>
        <v/>
      </c>
      <c r="O41" s="199">
        <f>IF(H41="","",$D$5*N41*J41/36500)</f>
        <v/>
      </c>
      <c r="P41" s="199">
        <f>IF(H41="","",$D$5+SUM($O$5:O41))</f>
        <v/>
      </c>
    </row>
    <row r="42">
      <c r="G42" s="11">
        <f>IF(H42="","",ROW()-4)</f>
        <v/>
      </c>
      <c r="H42" s="12">
        <f>IF(OR(I41="",I41&gt;=$D$7),"",I41)</f>
        <v/>
      </c>
      <c r="I42" s="12">
        <f>IF(H42="","",MIN(IF($D$18="LEGAL",DATE(YEAR(H42)+1,1,1),EDATE($D$12,$D$11*(INT((((YEAR(H42)-YEAR($D$12))*12+(MONTH(H42)-MONTH($D$12))-IF(DAY(H42)&lt;DAY($D$12),1,0))/$D$11))+1))),$D$7))</f>
        <v/>
      </c>
      <c r="J42" s="11">
        <f>IF(H42="","",I42-H42)</f>
        <v/>
      </c>
      <c r="K42" s="12">
        <f>IF(H42="","",IF($D$18="LEGAL",H42,EDATE(H42,-$D$13)))</f>
        <v/>
      </c>
      <c r="L42" s="13">
        <f>IF(H42="","",IFERROR(INDEX('Tipos BdE'!$B$7:$M$336,MATCH(DATE(YEAR(K42),MONTH(K42),1),'Tipos BdE'!$A$7:$A$336,1),MATCH($D$9,'Tipos BdE'!$B$6:$M$6,0)),0))</f>
        <v/>
      </c>
      <c r="M42" s="13">
        <f>IF(H42="","",IF($D$18="LEGAL",0,$D$10))</f>
        <v/>
      </c>
      <c r="N42" s="13">
        <f>IF(H42="","",IF(AND($D$14="Sí",(L42+M42)&lt;0),0,L42+M42))</f>
        <v/>
      </c>
      <c r="O42" s="199">
        <f>IF(H42="","",$D$5*N42*J42/36500)</f>
        <v/>
      </c>
      <c r="P42" s="199">
        <f>IF(H42="","",$D$5+SUM($O$5:O42))</f>
        <v/>
      </c>
    </row>
    <row r="43">
      <c r="G43" s="11">
        <f>IF(H43="","",ROW()-4)</f>
        <v/>
      </c>
      <c r="H43" s="12">
        <f>IF(OR(I42="",I42&gt;=$D$7),"",I42)</f>
        <v/>
      </c>
      <c r="I43" s="12">
        <f>IF(H43="","",MIN(IF($D$18="LEGAL",DATE(YEAR(H43)+1,1,1),EDATE($D$12,$D$11*(INT((((YEAR(H43)-YEAR($D$12))*12+(MONTH(H43)-MONTH($D$12))-IF(DAY(H43)&lt;DAY($D$12),1,0))/$D$11))+1))),$D$7))</f>
        <v/>
      </c>
      <c r="J43" s="11">
        <f>IF(H43="","",I43-H43)</f>
        <v/>
      </c>
      <c r="K43" s="12">
        <f>IF(H43="","",IF($D$18="LEGAL",H43,EDATE(H43,-$D$13)))</f>
        <v/>
      </c>
      <c r="L43" s="13">
        <f>IF(H43="","",IFERROR(INDEX('Tipos BdE'!$B$7:$M$336,MATCH(DATE(YEAR(K43),MONTH(K43),1),'Tipos BdE'!$A$7:$A$336,1),MATCH($D$9,'Tipos BdE'!$B$6:$M$6,0)),0))</f>
        <v/>
      </c>
      <c r="M43" s="13">
        <f>IF(H43="","",IF($D$18="LEGAL",0,$D$10))</f>
        <v/>
      </c>
      <c r="N43" s="13">
        <f>IF(H43="","",IF(AND($D$14="Sí",(L43+M43)&lt;0),0,L43+M43))</f>
        <v/>
      </c>
      <c r="O43" s="199">
        <f>IF(H43="","",$D$5*N43*J43/36500)</f>
        <v/>
      </c>
      <c r="P43" s="199">
        <f>IF(H43="","",$D$5+SUM($O$5:O43))</f>
        <v/>
      </c>
    </row>
    <row r="44">
      <c r="G44" s="11">
        <f>IF(H44="","",ROW()-4)</f>
        <v/>
      </c>
      <c r="H44" s="12">
        <f>IF(OR(I43="",I43&gt;=$D$7),"",I43)</f>
        <v/>
      </c>
      <c r="I44" s="12">
        <f>IF(H44="","",MIN(IF($D$18="LEGAL",DATE(YEAR(H44)+1,1,1),EDATE($D$12,$D$11*(INT((((YEAR(H44)-YEAR($D$12))*12+(MONTH(H44)-MONTH($D$12))-IF(DAY(H44)&lt;DAY($D$12),1,0))/$D$11))+1))),$D$7))</f>
        <v/>
      </c>
      <c r="J44" s="11">
        <f>IF(H44="","",I44-H44)</f>
        <v/>
      </c>
      <c r="K44" s="12">
        <f>IF(H44="","",IF($D$18="LEGAL",H44,EDATE(H44,-$D$13)))</f>
        <v/>
      </c>
      <c r="L44" s="13">
        <f>IF(H44="","",IFERROR(INDEX('Tipos BdE'!$B$7:$M$336,MATCH(DATE(YEAR(K44),MONTH(K44),1),'Tipos BdE'!$A$7:$A$336,1),MATCH($D$9,'Tipos BdE'!$B$6:$M$6,0)),0))</f>
        <v/>
      </c>
      <c r="M44" s="13">
        <f>IF(H44="","",IF($D$18="LEGAL",0,$D$10))</f>
        <v/>
      </c>
      <c r="N44" s="13">
        <f>IF(H44="","",IF(AND($D$14="Sí",(L44+M44)&lt;0),0,L44+M44))</f>
        <v/>
      </c>
      <c r="O44" s="199">
        <f>IF(H44="","",$D$5*N44*J44/36500)</f>
        <v/>
      </c>
      <c r="P44" s="199">
        <f>IF(H44="","",$D$5+SUM($O$5:O44))</f>
        <v/>
      </c>
    </row>
    <row r="45">
      <c r="G45" s="11">
        <f>IF(H45="","",ROW()-4)</f>
        <v/>
      </c>
      <c r="H45" s="12">
        <f>IF(OR(I44="",I44&gt;=$D$7),"",I44)</f>
        <v/>
      </c>
      <c r="I45" s="12">
        <f>IF(H45="","",MIN(IF($D$18="LEGAL",DATE(YEAR(H45)+1,1,1),EDATE($D$12,$D$11*(INT((((YEAR(H45)-YEAR($D$12))*12+(MONTH(H45)-MONTH($D$12))-IF(DAY(H45)&lt;DAY($D$12),1,0))/$D$11))+1))),$D$7))</f>
        <v/>
      </c>
      <c r="J45" s="11">
        <f>IF(H45="","",I45-H45)</f>
        <v/>
      </c>
      <c r="K45" s="12">
        <f>IF(H45="","",IF($D$18="LEGAL",H45,EDATE(H45,-$D$13)))</f>
        <v/>
      </c>
      <c r="L45" s="13">
        <f>IF(H45="","",IFERROR(INDEX('Tipos BdE'!$B$7:$M$336,MATCH(DATE(YEAR(K45),MONTH(K45),1),'Tipos BdE'!$A$7:$A$336,1),MATCH($D$9,'Tipos BdE'!$B$6:$M$6,0)),0))</f>
        <v/>
      </c>
      <c r="M45" s="13">
        <f>IF(H45="","",IF($D$18="LEGAL",0,$D$10))</f>
        <v/>
      </c>
      <c r="N45" s="13">
        <f>IF(H45="","",IF(AND($D$14="Sí",(L45+M45)&lt;0),0,L45+M45))</f>
        <v/>
      </c>
      <c r="O45" s="199">
        <f>IF(H45="","",$D$5*N45*J45/36500)</f>
        <v/>
      </c>
      <c r="P45" s="199">
        <f>IF(H45="","",$D$5+SUM($O$5:O45))</f>
        <v/>
      </c>
    </row>
    <row r="46">
      <c r="G46" s="11">
        <f>IF(H46="","",ROW()-4)</f>
        <v/>
      </c>
      <c r="H46" s="12">
        <f>IF(OR(I45="",I45&gt;=$D$7),"",I45)</f>
        <v/>
      </c>
      <c r="I46" s="12">
        <f>IF(H46="","",MIN(IF($D$18="LEGAL",DATE(YEAR(H46)+1,1,1),EDATE($D$12,$D$11*(INT((((YEAR(H46)-YEAR($D$12))*12+(MONTH(H46)-MONTH($D$12))-IF(DAY(H46)&lt;DAY($D$12),1,0))/$D$11))+1))),$D$7))</f>
        <v/>
      </c>
      <c r="J46" s="11">
        <f>IF(H46="","",I46-H46)</f>
        <v/>
      </c>
      <c r="K46" s="12">
        <f>IF(H46="","",IF($D$18="LEGAL",H46,EDATE(H46,-$D$13)))</f>
        <v/>
      </c>
      <c r="L46" s="13">
        <f>IF(H46="","",IFERROR(INDEX('Tipos BdE'!$B$7:$M$336,MATCH(DATE(YEAR(K46),MONTH(K46),1),'Tipos BdE'!$A$7:$A$336,1),MATCH($D$9,'Tipos BdE'!$B$6:$M$6,0)),0))</f>
        <v/>
      </c>
      <c r="M46" s="13">
        <f>IF(H46="","",IF($D$18="LEGAL",0,$D$10))</f>
        <v/>
      </c>
      <c r="N46" s="13">
        <f>IF(H46="","",IF(AND($D$14="Sí",(L46+M46)&lt;0),0,L46+M46))</f>
        <v/>
      </c>
      <c r="O46" s="199">
        <f>IF(H46="","",$D$5*N46*J46/36500)</f>
        <v/>
      </c>
      <c r="P46" s="199">
        <f>IF(H46="","",$D$5+SUM($O$5:O46))</f>
        <v/>
      </c>
    </row>
    <row r="47">
      <c r="G47" s="11">
        <f>IF(H47="","",ROW()-4)</f>
        <v/>
      </c>
      <c r="H47" s="12">
        <f>IF(OR(I46="",I46&gt;=$D$7),"",I46)</f>
        <v/>
      </c>
      <c r="I47" s="12">
        <f>IF(H47="","",MIN(IF($D$18="LEGAL",DATE(YEAR(H47)+1,1,1),EDATE($D$12,$D$11*(INT((((YEAR(H47)-YEAR($D$12))*12+(MONTH(H47)-MONTH($D$12))-IF(DAY(H47)&lt;DAY($D$12),1,0))/$D$11))+1))),$D$7))</f>
        <v/>
      </c>
      <c r="J47" s="11">
        <f>IF(H47="","",I47-H47)</f>
        <v/>
      </c>
      <c r="K47" s="12">
        <f>IF(H47="","",IF($D$18="LEGAL",H47,EDATE(H47,-$D$13)))</f>
        <v/>
      </c>
      <c r="L47" s="13">
        <f>IF(H47="","",IFERROR(INDEX('Tipos BdE'!$B$7:$M$336,MATCH(DATE(YEAR(K47),MONTH(K47),1),'Tipos BdE'!$A$7:$A$336,1),MATCH($D$9,'Tipos BdE'!$B$6:$M$6,0)),0))</f>
        <v/>
      </c>
      <c r="M47" s="13">
        <f>IF(H47="","",IF($D$18="LEGAL",0,$D$10))</f>
        <v/>
      </c>
      <c r="N47" s="13">
        <f>IF(H47="","",IF(AND($D$14="Sí",(L47+M47)&lt;0),0,L47+M47))</f>
        <v/>
      </c>
      <c r="O47" s="199">
        <f>IF(H47="","",$D$5*N47*J47/36500)</f>
        <v/>
      </c>
      <c r="P47" s="199">
        <f>IF(H47="","",$D$5+SUM($O$5:O47))</f>
        <v/>
      </c>
    </row>
    <row r="48">
      <c r="G48" s="11">
        <f>IF(H48="","",ROW()-4)</f>
        <v/>
      </c>
      <c r="H48" s="12">
        <f>IF(OR(I47="",I47&gt;=$D$7),"",I47)</f>
        <v/>
      </c>
      <c r="I48" s="12">
        <f>IF(H48="","",MIN(IF($D$18="LEGAL",DATE(YEAR(H48)+1,1,1),EDATE($D$12,$D$11*(INT((((YEAR(H48)-YEAR($D$12))*12+(MONTH(H48)-MONTH($D$12))-IF(DAY(H48)&lt;DAY($D$12),1,0))/$D$11))+1))),$D$7))</f>
        <v/>
      </c>
      <c r="J48" s="11">
        <f>IF(H48="","",I48-H48)</f>
        <v/>
      </c>
      <c r="K48" s="12">
        <f>IF(H48="","",IF($D$18="LEGAL",H48,EDATE(H48,-$D$13)))</f>
        <v/>
      </c>
      <c r="L48" s="13">
        <f>IF(H48="","",IFERROR(INDEX('Tipos BdE'!$B$7:$M$336,MATCH(DATE(YEAR(K48),MONTH(K48),1),'Tipos BdE'!$A$7:$A$336,1),MATCH($D$9,'Tipos BdE'!$B$6:$M$6,0)),0))</f>
        <v/>
      </c>
      <c r="M48" s="13">
        <f>IF(H48="","",IF($D$18="LEGAL",0,$D$10))</f>
        <v/>
      </c>
      <c r="N48" s="13">
        <f>IF(H48="","",IF(AND($D$14="Sí",(L48+M48)&lt;0),0,L48+M48))</f>
        <v/>
      </c>
      <c r="O48" s="199">
        <f>IF(H48="","",$D$5*N48*J48/36500)</f>
        <v/>
      </c>
      <c r="P48" s="199">
        <f>IF(H48="","",$D$5+SUM($O$5:O48))</f>
        <v/>
      </c>
    </row>
    <row r="49">
      <c r="G49" s="11">
        <f>IF(H49="","",ROW()-4)</f>
        <v/>
      </c>
      <c r="H49" s="12">
        <f>IF(OR(I48="",I48&gt;=$D$7),"",I48)</f>
        <v/>
      </c>
      <c r="I49" s="12">
        <f>IF(H49="","",MIN(IF($D$18="LEGAL",DATE(YEAR(H49)+1,1,1),EDATE($D$12,$D$11*(INT((((YEAR(H49)-YEAR($D$12))*12+(MONTH(H49)-MONTH($D$12))-IF(DAY(H49)&lt;DAY($D$12),1,0))/$D$11))+1))),$D$7))</f>
        <v/>
      </c>
      <c r="J49" s="11">
        <f>IF(H49="","",I49-H49)</f>
        <v/>
      </c>
      <c r="K49" s="12">
        <f>IF(H49="","",IF($D$18="LEGAL",H49,EDATE(H49,-$D$13)))</f>
        <v/>
      </c>
      <c r="L49" s="13">
        <f>IF(H49="","",IFERROR(INDEX('Tipos BdE'!$B$7:$M$336,MATCH(DATE(YEAR(K49),MONTH(K49),1),'Tipos BdE'!$A$7:$A$336,1),MATCH($D$9,'Tipos BdE'!$B$6:$M$6,0)),0))</f>
        <v/>
      </c>
      <c r="M49" s="13">
        <f>IF(H49="","",IF($D$18="LEGAL",0,$D$10))</f>
        <v/>
      </c>
      <c r="N49" s="13">
        <f>IF(H49="","",IF(AND($D$14="Sí",(L49+M49)&lt;0),0,L49+M49))</f>
        <v/>
      </c>
      <c r="O49" s="199">
        <f>IF(H49="","",$D$5*N49*J49/36500)</f>
        <v/>
      </c>
      <c r="P49" s="199">
        <f>IF(H49="","",$D$5+SUM($O$5:O49))</f>
        <v/>
      </c>
    </row>
    <row r="50">
      <c r="G50" s="11">
        <f>IF(H50="","",ROW()-4)</f>
        <v/>
      </c>
      <c r="H50" s="12">
        <f>IF(OR(I49="",I49&gt;=$D$7),"",I49)</f>
        <v/>
      </c>
      <c r="I50" s="12">
        <f>IF(H50="","",MIN(IF($D$18="LEGAL",DATE(YEAR(H50)+1,1,1),EDATE($D$12,$D$11*(INT((((YEAR(H50)-YEAR($D$12))*12+(MONTH(H50)-MONTH($D$12))-IF(DAY(H50)&lt;DAY($D$12),1,0))/$D$11))+1))),$D$7))</f>
        <v/>
      </c>
      <c r="J50" s="11">
        <f>IF(H50="","",I50-H50)</f>
        <v/>
      </c>
      <c r="K50" s="12">
        <f>IF(H50="","",IF($D$18="LEGAL",H50,EDATE(H50,-$D$13)))</f>
        <v/>
      </c>
      <c r="L50" s="13">
        <f>IF(H50="","",IFERROR(INDEX('Tipos BdE'!$B$7:$M$336,MATCH(DATE(YEAR(K50),MONTH(K50),1),'Tipos BdE'!$A$7:$A$336,1),MATCH($D$9,'Tipos BdE'!$B$6:$M$6,0)),0))</f>
        <v/>
      </c>
      <c r="M50" s="13">
        <f>IF(H50="","",IF($D$18="LEGAL",0,$D$10))</f>
        <v/>
      </c>
      <c r="N50" s="13">
        <f>IF(H50="","",IF(AND($D$14="Sí",(L50+M50)&lt;0),0,L50+M50))</f>
        <v/>
      </c>
      <c r="O50" s="199">
        <f>IF(H50="","",$D$5*N50*J50/36500)</f>
        <v/>
      </c>
      <c r="P50" s="199">
        <f>IF(H50="","",$D$5+SUM($O$5:O50))</f>
        <v/>
      </c>
    </row>
    <row r="51">
      <c r="G51" s="11">
        <f>IF(H51="","",ROW()-4)</f>
        <v/>
      </c>
      <c r="H51" s="12">
        <f>IF(OR(I50="",I50&gt;=$D$7),"",I50)</f>
        <v/>
      </c>
      <c r="I51" s="12">
        <f>IF(H51="","",MIN(IF($D$18="LEGAL",DATE(YEAR(H51)+1,1,1),EDATE($D$12,$D$11*(INT((((YEAR(H51)-YEAR($D$12))*12+(MONTH(H51)-MONTH($D$12))-IF(DAY(H51)&lt;DAY($D$12),1,0))/$D$11))+1))),$D$7))</f>
        <v/>
      </c>
      <c r="J51" s="11">
        <f>IF(H51="","",I51-H51)</f>
        <v/>
      </c>
      <c r="K51" s="12">
        <f>IF(H51="","",IF($D$18="LEGAL",H51,EDATE(H51,-$D$13)))</f>
        <v/>
      </c>
      <c r="L51" s="13">
        <f>IF(H51="","",IFERROR(INDEX('Tipos BdE'!$B$7:$M$336,MATCH(DATE(YEAR(K51),MONTH(K51),1),'Tipos BdE'!$A$7:$A$336,1),MATCH($D$9,'Tipos BdE'!$B$6:$M$6,0)),0))</f>
        <v/>
      </c>
      <c r="M51" s="13">
        <f>IF(H51="","",IF($D$18="LEGAL",0,$D$10))</f>
        <v/>
      </c>
      <c r="N51" s="13">
        <f>IF(H51="","",IF(AND($D$14="Sí",(L51+M51)&lt;0),0,L51+M51))</f>
        <v/>
      </c>
      <c r="O51" s="199">
        <f>IF(H51="","",$D$5*N51*J51/36500)</f>
        <v/>
      </c>
      <c r="P51" s="199">
        <f>IF(H51="","",$D$5+SUM($O$5:O51))</f>
        <v/>
      </c>
    </row>
    <row r="52">
      <c r="G52" s="11">
        <f>IF(H52="","",ROW()-4)</f>
        <v/>
      </c>
      <c r="H52" s="12">
        <f>IF(OR(I51="",I51&gt;=$D$7),"",I51)</f>
        <v/>
      </c>
      <c r="I52" s="12">
        <f>IF(H52="","",MIN(IF($D$18="LEGAL",DATE(YEAR(H52)+1,1,1),EDATE($D$12,$D$11*(INT((((YEAR(H52)-YEAR($D$12))*12+(MONTH(H52)-MONTH($D$12))-IF(DAY(H52)&lt;DAY($D$12),1,0))/$D$11))+1))),$D$7))</f>
        <v/>
      </c>
      <c r="J52" s="11">
        <f>IF(H52="","",I52-H52)</f>
        <v/>
      </c>
      <c r="K52" s="12">
        <f>IF(H52="","",IF($D$18="LEGAL",H52,EDATE(H52,-$D$13)))</f>
        <v/>
      </c>
      <c r="L52" s="13">
        <f>IF(H52="","",IFERROR(INDEX('Tipos BdE'!$B$7:$M$336,MATCH(DATE(YEAR(K52),MONTH(K52),1),'Tipos BdE'!$A$7:$A$336,1),MATCH($D$9,'Tipos BdE'!$B$6:$M$6,0)),0))</f>
        <v/>
      </c>
      <c r="M52" s="13">
        <f>IF(H52="","",IF($D$18="LEGAL",0,$D$10))</f>
        <v/>
      </c>
      <c r="N52" s="13">
        <f>IF(H52="","",IF(AND($D$14="Sí",(L52+M52)&lt;0),0,L52+M52))</f>
        <v/>
      </c>
      <c r="O52" s="199">
        <f>IF(H52="","",$D$5*N52*J52/36500)</f>
        <v/>
      </c>
      <c r="P52" s="199">
        <f>IF(H52="","",$D$5+SUM($O$5:O52))</f>
        <v/>
      </c>
    </row>
    <row r="53">
      <c r="G53" s="11">
        <f>IF(H53="","",ROW()-4)</f>
        <v/>
      </c>
      <c r="H53" s="12">
        <f>IF(OR(I52="",I52&gt;=$D$7),"",I52)</f>
        <v/>
      </c>
      <c r="I53" s="12">
        <f>IF(H53="","",MIN(IF($D$18="LEGAL",DATE(YEAR(H53)+1,1,1),EDATE($D$12,$D$11*(INT((((YEAR(H53)-YEAR($D$12))*12+(MONTH(H53)-MONTH($D$12))-IF(DAY(H53)&lt;DAY($D$12),1,0))/$D$11))+1))),$D$7))</f>
        <v/>
      </c>
      <c r="J53" s="11">
        <f>IF(H53="","",I53-H53)</f>
        <v/>
      </c>
      <c r="K53" s="12">
        <f>IF(H53="","",IF($D$18="LEGAL",H53,EDATE(H53,-$D$13)))</f>
        <v/>
      </c>
      <c r="L53" s="13">
        <f>IF(H53="","",IFERROR(INDEX('Tipos BdE'!$B$7:$M$336,MATCH(DATE(YEAR(K53),MONTH(K53),1),'Tipos BdE'!$A$7:$A$336,1),MATCH($D$9,'Tipos BdE'!$B$6:$M$6,0)),0))</f>
        <v/>
      </c>
      <c r="M53" s="13">
        <f>IF(H53="","",IF($D$18="LEGAL",0,$D$10))</f>
        <v/>
      </c>
      <c r="N53" s="13">
        <f>IF(H53="","",IF(AND($D$14="Sí",(L53+M53)&lt;0),0,L53+M53))</f>
        <v/>
      </c>
      <c r="O53" s="199">
        <f>IF(H53="","",$D$5*N53*J53/36500)</f>
        <v/>
      </c>
      <c r="P53" s="199">
        <f>IF(H53="","",$D$5+SUM($O$5:O53))</f>
        <v/>
      </c>
    </row>
    <row r="54">
      <c r="G54" s="11">
        <f>IF(H54="","",ROW()-4)</f>
        <v/>
      </c>
      <c r="H54" s="12">
        <f>IF(OR(I53="",I53&gt;=$D$7),"",I53)</f>
        <v/>
      </c>
      <c r="I54" s="12">
        <f>IF(H54="","",MIN(IF($D$18="LEGAL",DATE(YEAR(H54)+1,1,1),EDATE($D$12,$D$11*(INT((((YEAR(H54)-YEAR($D$12))*12+(MONTH(H54)-MONTH($D$12))-IF(DAY(H54)&lt;DAY($D$12),1,0))/$D$11))+1))),$D$7))</f>
        <v/>
      </c>
      <c r="J54" s="11">
        <f>IF(H54="","",I54-H54)</f>
        <v/>
      </c>
      <c r="K54" s="12">
        <f>IF(H54="","",IF($D$18="LEGAL",H54,EDATE(H54,-$D$13)))</f>
        <v/>
      </c>
      <c r="L54" s="13">
        <f>IF(H54="","",IFERROR(INDEX('Tipos BdE'!$B$7:$M$336,MATCH(DATE(YEAR(K54),MONTH(K54),1),'Tipos BdE'!$A$7:$A$336,1),MATCH($D$9,'Tipos BdE'!$B$6:$M$6,0)),0))</f>
        <v/>
      </c>
      <c r="M54" s="13">
        <f>IF(H54="","",IF($D$18="LEGAL",0,$D$10))</f>
        <v/>
      </c>
      <c r="N54" s="13">
        <f>IF(H54="","",IF(AND($D$14="Sí",(L54+M54)&lt;0),0,L54+M54))</f>
        <v/>
      </c>
      <c r="O54" s="199">
        <f>IF(H54="","",$D$5*N54*J54/36500)</f>
        <v/>
      </c>
      <c r="P54" s="199">
        <f>IF(H54="","",$D$5+SUM($O$5:O54))</f>
        <v/>
      </c>
    </row>
    <row r="55">
      <c r="G55" s="11">
        <f>IF(H55="","",ROW()-4)</f>
        <v/>
      </c>
      <c r="H55" s="12">
        <f>IF(OR(I54="",I54&gt;=$D$7),"",I54)</f>
        <v/>
      </c>
      <c r="I55" s="12">
        <f>IF(H55="","",MIN(IF($D$18="LEGAL",DATE(YEAR(H55)+1,1,1),EDATE($D$12,$D$11*(INT((((YEAR(H55)-YEAR($D$12))*12+(MONTH(H55)-MONTH($D$12))-IF(DAY(H55)&lt;DAY($D$12),1,0))/$D$11))+1))),$D$7))</f>
        <v/>
      </c>
      <c r="J55" s="11">
        <f>IF(H55="","",I55-H55)</f>
        <v/>
      </c>
      <c r="K55" s="12">
        <f>IF(H55="","",IF($D$18="LEGAL",H55,EDATE(H55,-$D$13)))</f>
        <v/>
      </c>
      <c r="L55" s="13">
        <f>IF(H55="","",IFERROR(INDEX('Tipos BdE'!$B$7:$M$336,MATCH(DATE(YEAR(K55),MONTH(K55),1),'Tipos BdE'!$A$7:$A$336,1),MATCH($D$9,'Tipos BdE'!$B$6:$M$6,0)),0))</f>
        <v/>
      </c>
      <c r="M55" s="13">
        <f>IF(H55="","",IF($D$18="LEGAL",0,$D$10))</f>
        <v/>
      </c>
      <c r="N55" s="13">
        <f>IF(H55="","",IF(AND($D$14="Sí",(L55+M55)&lt;0),0,L55+M55))</f>
        <v/>
      </c>
      <c r="O55" s="199">
        <f>IF(H55="","",$D$5*N55*J55/36500)</f>
        <v/>
      </c>
      <c r="P55" s="199">
        <f>IF(H55="","",$D$5+SUM($O$5:O55))</f>
        <v/>
      </c>
    </row>
    <row r="56">
      <c r="G56" s="11">
        <f>IF(H56="","",ROW()-4)</f>
        <v/>
      </c>
      <c r="H56" s="12">
        <f>IF(OR(I55="",I55&gt;=$D$7),"",I55)</f>
        <v/>
      </c>
      <c r="I56" s="12">
        <f>IF(H56="","",MIN(IF($D$18="LEGAL",DATE(YEAR(H56)+1,1,1),EDATE($D$12,$D$11*(INT((((YEAR(H56)-YEAR($D$12))*12+(MONTH(H56)-MONTH($D$12))-IF(DAY(H56)&lt;DAY($D$12),1,0))/$D$11))+1))),$D$7))</f>
        <v/>
      </c>
      <c r="J56" s="11">
        <f>IF(H56="","",I56-H56)</f>
        <v/>
      </c>
      <c r="K56" s="12">
        <f>IF(H56="","",IF($D$18="LEGAL",H56,EDATE(H56,-$D$13)))</f>
        <v/>
      </c>
      <c r="L56" s="13">
        <f>IF(H56="","",IFERROR(INDEX('Tipos BdE'!$B$7:$M$336,MATCH(DATE(YEAR(K56),MONTH(K56),1),'Tipos BdE'!$A$7:$A$336,1),MATCH($D$9,'Tipos BdE'!$B$6:$M$6,0)),0))</f>
        <v/>
      </c>
      <c r="M56" s="13">
        <f>IF(H56="","",IF($D$18="LEGAL",0,$D$10))</f>
        <v/>
      </c>
      <c r="N56" s="13">
        <f>IF(H56="","",IF(AND($D$14="Sí",(L56+M56)&lt;0),0,L56+M56))</f>
        <v/>
      </c>
      <c r="O56" s="199">
        <f>IF(H56="","",$D$5*N56*J56/36500)</f>
        <v/>
      </c>
      <c r="P56" s="199">
        <f>IF(H56="","",$D$5+SUM($O$5:O56))</f>
        <v/>
      </c>
    </row>
    <row r="57">
      <c r="G57" s="11">
        <f>IF(H57="","",ROW()-4)</f>
        <v/>
      </c>
      <c r="H57" s="12">
        <f>IF(OR(I56="",I56&gt;=$D$7),"",I56)</f>
        <v/>
      </c>
      <c r="I57" s="12">
        <f>IF(H57="","",MIN(IF($D$18="LEGAL",DATE(YEAR(H57)+1,1,1),EDATE($D$12,$D$11*(INT((((YEAR(H57)-YEAR($D$12))*12+(MONTH(H57)-MONTH($D$12))-IF(DAY(H57)&lt;DAY($D$12),1,0))/$D$11))+1))),$D$7))</f>
        <v/>
      </c>
      <c r="J57" s="11">
        <f>IF(H57="","",I57-H57)</f>
        <v/>
      </c>
      <c r="K57" s="12">
        <f>IF(H57="","",IF($D$18="LEGAL",H57,EDATE(H57,-$D$13)))</f>
        <v/>
      </c>
      <c r="L57" s="13">
        <f>IF(H57="","",IFERROR(INDEX('Tipos BdE'!$B$7:$M$336,MATCH(DATE(YEAR(K57),MONTH(K57),1),'Tipos BdE'!$A$7:$A$336,1),MATCH($D$9,'Tipos BdE'!$B$6:$M$6,0)),0))</f>
        <v/>
      </c>
      <c r="M57" s="13">
        <f>IF(H57="","",IF($D$18="LEGAL",0,$D$10))</f>
        <v/>
      </c>
      <c r="N57" s="13">
        <f>IF(H57="","",IF(AND($D$14="Sí",(L57+M57)&lt;0),0,L57+M57))</f>
        <v/>
      </c>
      <c r="O57" s="199">
        <f>IF(H57="","",$D$5*N57*J57/36500)</f>
        <v/>
      </c>
      <c r="P57" s="199">
        <f>IF(H57="","",$D$5+SUM($O$5:O57))</f>
        <v/>
      </c>
    </row>
    <row r="58">
      <c r="G58" s="11">
        <f>IF(H58="","",ROW()-4)</f>
        <v/>
      </c>
      <c r="H58" s="12">
        <f>IF(OR(I57="",I57&gt;=$D$7),"",I57)</f>
        <v/>
      </c>
      <c r="I58" s="12">
        <f>IF(H58="","",MIN(IF($D$18="LEGAL",DATE(YEAR(H58)+1,1,1),EDATE($D$12,$D$11*(INT((((YEAR(H58)-YEAR($D$12))*12+(MONTH(H58)-MONTH($D$12))-IF(DAY(H58)&lt;DAY($D$12),1,0))/$D$11))+1))),$D$7))</f>
        <v/>
      </c>
      <c r="J58" s="11">
        <f>IF(H58="","",I58-H58)</f>
        <v/>
      </c>
      <c r="K58" s="12">
        <f>IF(H58="","",IF($D$18="LEGAL",H58,EDATE(H58,-$D$13)))</f>
        <v/>
      </c>
      <c r="L58" s="13">
        <f>IF(H58="","",IFERROR(INDEX('Tipos BdE'!$B$7:$M$336,MATCH(DATE(YEAR(K58),MONTH(K58),1),'Tipos BdE'!$A$7:$A$336,1),MATCH($D$9,'Tipos BdE'!$B$6:$M$6,0)),0))</f>
        <v/>
      </c>
      <c r="M58" s="13">
        <f>IF(H58="","",IF($D$18="LEGAL",0,$D$10))</f>
        <v/>
      </c>
      <c r="N58" s="13">
        <f>IF(H58="","",IF(AND($D$14="Sí",(L58+M58)&lt;0),0,L58+M58))</f>
        <v/>
      </c>
      <c r="O58" s="199">
        <f>IF(H58="","",$D$5*N58*J58/36500)</f>
        <v/>
      </c>
      <c r="P58" s="199">
        <f>IF(H58="","",$D$5+SUM($O$5:O58))</f>
        <v/>
      </c>
    </row>
    <row r="59">
      <c r="G59" s="11">
        <f>IF(H59="","",ROW()-4)</f>
        <v/>
      </c>
      <c r="H59" s="12">
        <f>IF(OR(I58="",I58&gt;=$D$7),"",I58)</f>
        <v/>
      </c>
      <c r="I59" s="12">
        <f>IF(H59="","",MIN(IF($D$18="LEGAL",DATE(YEAR(H59)+1,1,1),EDATE($D$12,$D$11*(INT((((YEAR(H59)-YEAR($D$12))*12+(MONTH(H59)-MONTH($D$12))-IF(DAY(H59)&lt;DAY($D$12),1,0))/$D$11))+1))),$D$7))</f>
        <v/>
      </c>
      <c r="J59" s="11">
        <f>IF(H59="","",I59-H59)</f>
        <v/>
      </c>
      <c r="K59" s="12">
        <f>IF(H59="","",IF($D$18="LEGAL",H59,EDATE(H59,-$D$13)))</f>
        <v/>
      </c>
      <c r="L59" s="13">
        <f>IF(H59="","",IFERROR(INDEX('Tipos BdE'!$B$7:$M$336,MATCH(DATE(YEAR(K59),MONTH(K59),1),'Tipos BdE'!$A$7:$A$336,1),MATCH($D$9,'Tipos BdE'!$B$6:$M$6,0)),0))</f>
        <v/>
      </c>
      <c r="M59" s="13">
        <f>IF(H59="","",IF($D$18="LEGAL",0,$D$10))</f>
        <v/>
      </c>
      <c r="N59" s="13">
        <f>IF(H59="","",IF(AND($D$14="Sí",(L59+M59)&lt;0),0,L59+M59))</f>
        <v/>
      </c>
      <c r="O59" s="199">
        <f>IF(H59="","",$D$5*N59*J59/36500)</f>
        <v/>
      </c>
      <c r="P59" s="199">
        <f>IF(H59="","",$D$5+SUM($O$5:O59))</f>
        <v/>
      </c>
    </row>
    <row r="60">
      <c r="G60" s="11">
        <f>IF(H60="","",ROW()-4)</f>
        <v/>
      </c>
      <c r="H60" s="12">
        <f>IF(OR(I59="",I59&gt;=$D$7),"",I59)</f>
        <v/>
      </c>
      <c r="I60" s="12">
        <f>IF(H60="","",MIN(IF($D$18="LEGAL",DATE(YEAR(H60)+1,1,1),EDATE($D$12,$D$11*(INT((((YEAR(H60)-YEAR($D$12))*12+(MONTH(H60)-MONTH($D$12))-IF(DAY(H60)&lt;DAY($D$12),1,0))/$D$11))+1))),$D$7))</f>
        <v/>
      </c>
      <c r="J60" s="11">
        <f>IF(H60="","",I60-H60)</f>
        <v/>
      </c>
      <c r="K60" s="12">
        <f>IF(H60="","",IF($D$18="LEGAL",H60,EDATE(H60,-$D$13)))</f>
        <v/>
      </c>
      <c r="L60" s="13">
        <f>IF(H60="","",IFERROR(INDEX('Tipos BdE'!$B$7:$M$336,MATCH(DATE(YEAR(K60),MONTH(K60),1),'Tipos BdE'!$A$7:$A$336,1),MATCH($D$9,'Tipos BdE'!$B$6:$M$6,0)),0))</f>
        <v/>
      </c>
      <c r="M60" s="13">
        <f>IF(H60="","",IF($D$18="LEGAL",0,$D$10))</f>
        <v/>
      </c>
      <c r="N60" s="13">
        <f>IF(H60="","",IF(AND($D$14="Sí",(L60+M60)&lt;0),0,L60+M60))</f>
        <v/>
      </c>
      <c r="O60" s="199">
        <f>IF(H60="","",$D$5*N60*J60/36500)</f>
        <v/>
      </c>
      <c r="P60" s="199">
        <f>IF(H60="","",$D$5+SUM($O$5:O60))</f>
        <v/>
      </c>
    </row>
    <row r="61">
      <c r="G61" s="11">
        <f>IF(H61="","",ROW()-4)</f>
        <v/>
      </c>
      <c r="H61" s="12">
        <f>IF(OR(I60="",I60&gt;=$D$7),"",I60)</f>
        <v/>
      </c>
      <c r="I61" s="12">
        <f>IF(H61="","",MIN(IF($D$18="LEGAL",DATE(YEAR(H61)+1,1,1),EDATE($D$12,$D$11*(INT((((YEAR(H61)-YEAR($D$12))*12+(MONTH(H61)-MONTH($D$12))-IF(DAY(H61)&lt;DAY($D$12),1,0))/$D$11))+1))),$D$7))</f>
        <v/>
      </c>
      <c r="J61" s="11">
        <f>IF(H61="","",I61-H61)</f>
        <v/>
      </c>
      <c r="K61" s="12">
        <f>IF(H61="","",IF($D$18="LEGAL",H61,EDATE(H61,-$D$13)))</f>
        <v/>
      </c>
      <c r="L61" s="13">
        <f>IF(H61="","",IFERROR(INDEX('Tipos BdE'!$B$7:$M$336,MATCH(DATE(YEAR(K61),MONTH(K61),1),'Tipos BdE'!$A$7:$A$336,1),MATCH($D$9,'Tipos BdE'!$B$6:$M$6,0)),0))</f>
        <v/>
      </c>
      <c r="M61" s="13">
        <f>IF(H61="","",IF($D$18="LEGAL",0,$D$10))</f>
        <v/>
      </c>
      <c r="N61" s="13">
        <f>IF(H61="","",IF(AND($D$14="Sí",(L61+M61)&lt;0),0,L61+M61))</f>
        <v/>
      </c>
      <c r="O61" s="199">
        <f>IF(H61="","",$D$5*N61*J61/36500)</f>
        <v/>
      </c>
      <c r="P61" s="199">
        <f>IF(H61="","",$D$5+SUM($O$5:O61))</f>
        <v/>
      </c>
    </row>
    <row r="62">
      <c r="G62" s="11">
        <f>IF(H62="","",ROW()-4)</f>
        <v/>
      </c>
      <c r="H62" s="12">
        <f>IF(OR(I61="",I61&gt;=$D$7),"",I61)</f>
        <v/>
      </c>
      <c r="I62" s="12">
        <f>IF(H62="","",MIN(IF($D$18="LEGAL",DATE(YEAR(H62)+1,1,1),EDATE($D$12,$D$11*(INT((((YEAR(H62)-YEAR($D$12))*12+(MONTH(H62)-MONTH($D$12))-IF(DAY(H62)&lt;DAY($D$12),1,0))/$D$11))+1))),$D$7))</f>
        <v/>
      </c>
      <c r="J62" s="11">
        <f>IF(H62="","",I62-H62)</f>
        <v/>
      </c>
      <c r="K62" s="12">
        <f>IF(H62="","",IF($D$18="LEGAL",H62,EDATE(H62,-$D$13)))</f>
        <v/>
      </c>
      <c r="L62" s="13">
        <f>IF(H62="","",IFERROR(INDEX('Tipos BdE'!$B$7:$M$336,MATCH(DATE(YEAR(K62),MONTH(K62),1),'Tipos BdE'!$A$7:$A$336,1),MATCH($D$9,'Tipos BdE'!$B$6:$M$6,0)),0))</f>
        <v/>
      </c>
      <c r="M62" s="13">
        <f>IF(H62="","",IF($D$18="LEGAL",0,$D$10))</f>
        <v/>
      </c>
      <c r="N62" s="13">
        <f>IF(H62="","",IF(AND($D$14="Sí",(L62+M62)&lt;0),0,L62+M62))</f>
        <v/>
      </c>
      <c r="O62" s="199">
        <f>IF(H62="","",$D$5*N62*J62/36500)</f>
        <v/>
      </c>
      <c r="P62" s="199">
        <f>IF(H62="","",$D$5+SUM($O$5:O62))</f>
        <v/>
      </c>
    </row>
    <row r="63">
      <c r="G63" s="11">
        <f>IF(H63="","",ROW()-4)</f>
        <v/>
      </c>
      <c r="H63" s="12">
        <f>IF(OR(I62="",I62&gt;=$D$7),"",I62)</f>
        <v/>
      </c>
      <c r="I63" s="12">
        <f>IF(H63="","",MIN(IF($D$18="LEGAL",DATE(YEAR(H63)+1,1,1),EDATE($D$12,$D$11*(INT((((YEAR(H63)-YEAR($D$12))*12+(MONTH(H63)-MONTH($D$12))-IF(DAY(H63)&lt;DAY($D$12),1,0))/$D$11))+1))),$D$7))</f>
        <v/>
      </c>
      <c r="J63" s="11">
        <f>IF(H63="","",I63-H63)</f>
        <v/>
      </c>
      <c r="K63" s="12">
        <f>IF(H63="","",IF($D$18="LEGAL",H63,EDATE(H63,-$D$13)))</f>
        <v/>
      </c>
      <c r="L63" s="13">
        <f>IF(H63="","",IFERROR(INDEX('Tipos BdE'!$B$7:$M$336,MATCH(DATE(YEAR(K63),MONTH(K63),1),'Tipos BdE'!$A$7:$A$336,1),MATCH($D$9,'Tipos BdE'!$B$6:$M$6,0)),0))</f>
        <v/>
      </c>
      <c r="M63" s="13">
        <f>IF(H63="","",IF($D$18="LEGAL",0,$D$10))</f>
        <v/>
      </c>
      <c r="N63" s="13">
        <f>IF(H63="","",IF(AND($D$14="Sí",(L63+M63)&lt;0),0,L63+M63))</f>
        <v/>
      </c>
      <c r="O63" s="199">
        <f>IF(H63="","",$D$5*N63*J63/36500)</f>
        <v/>
      </c>
      <c r="P63" s="199">
        <f>IF(H63="","",$D$5+SUM($O$5:O63))</f>
        <v/>
      </c>
    </row>
    <row r="64">
      <c r="G64" s="11">
        <f>IF(H64="","",ROW()-4)</f>
        <v/>
      </c>
      <c r="H64" s="12">
        <f>IF(OR(I63="",I63&gt;=$D$7),"",I63)</f>
        <v/>
      </c>
      <c r="I64" s="12">
        <f>IF(H64="","",MIN(IF($D$18="LEGAL",DATE(YEAR(H64)+1,1,1),EDATE($D$12,$D$11*(INT((((YEAR(H64)-YEAR($D$12))*12+(MONTH(H64)-MONTH($D$12))-IF(DAY(H64)&lt;DAY($D$12),1,0))/$D$11))+1))),$D$7))</f>
        <v/>
      </c>
      <c r="J64" s="11">
        <f>IF(H64="","",I64-H64)</f>
        <v/>
      </c>
      <c r="K64" s="12">
        <f>IF(H64="","",IF($D$18="LEGAL",H64,EDATE(H64,-$D$13)))</f>
        <v/>
      </c>
      <c r="L64" s="13">
        <f>IF(H64="","",IFERROR(INDEX('Tipos BdE'!$B$7:$M$336,MATCH(DATE(YEAR(K64),MONTH(K64),1),'Tipos BdE'!$A$7:$A$336,1),MATCH($D$9,'Tipos BdE'!$B$6:$M$6,0)),0))</f>
        <v/>
      </c>
      <c r="M64" s="13">
        <f>IF(H64="","",IF($D$18="LEGAL",0,$D$10))</f>
        <v/>
      </c>
      <c r="N64" s="13">
        <f>IF(H64="","",IF(AND($D$14="Sí",(L64+M64)&lt;0),0,L64+M64))</f>
        <v/>
      </c>
      <c r="O64" s="199">
        <f>IF(H64="","",$D$5*N64*J64/36500)</f>
        <v/>
      </c>
      <c r="P64" s="199">
        <f>IF(H64="","",$D$5+SUM($O$5:O64))</f>
        <v/>
      </c>
    </row>
    <row r="65">
      <c r="G65" s="11">
        <f>IF(H65="","",ROW()-4)</f>
        <v/>
      </c>
      <c r="H65" s="12">
        <f>IF(OR(I64="",I64&gt;=$D$7),"",I64)</f>
        <v/>
      </c>
      <c r="I65" s="12">
        <f>IF(H65="","",MIN(IF($D$18="LEGAL",DATE(YEAR(H65)+1,1,1),EDATE($D$12,$D$11*(INT((((YEAR(H65)-YEAR($D$12))*12+(MONTH(H65)-MONTH($D$12))-IF(DAY(H65)&lt;DAY($D$12),1,0))/$D$11))+1))),$D$7))</f>
        <v/>
      </c>
      <c r="J65" s="11">
        <f>IF(H65="","",I65-H65)</f>
        <v/>
      </c>
      <c r="K65" s="12">
        <f>IF(H65="","",IF($D$18="LEGAL",H65,EDATE(H65,-$D$13)))</f>
        <v/>
      </c>
      <c r="L65" s="13">
        <f>IF(H65="","",IFERROR(INDEX('Tipos BdE'!$B$7:$M$336,MATCH(DATE(YEAR(K65),MONTH(K65),1),'Tipos BdE'!$A$7:$A$336,1),MATCH($D$9,'Tipos BdE'!$B$6:$M$6,0)),0))</f>
        <v/>
      </c>
      <c r="M65" s="13">
        <f>IF(H65="","",IF($D$18="LEGAL",0,$D$10))</f>
        <v/>
      </c>
      <c r="N65" s="13">
        <f>IF(H65="","",IF(AND($D$14="Sí",(L65+M65)&lt;0),0,L65+M65))</f>
        <v/>
      </c>
      <c r="O65" s="199">
        <f>IF(H65="","",$D$5*N65*J65/36500)</f>
        <v/>
      </c>
      <c r="P65" s="199">
        <f>IF(H65="","",$D$5+SUM($O$5:O65))</f>
        <v/>
      </c>
    </row>
    <row r="66">
      <c r="G66" s="11">
        <f>IF(H66="","",ROW()-4)</f>
        <v/>
      </c>
      <c r="H66" s="12">
        <f>IF(OR(I65="",I65&gt;=$D$7),"",I65)</f>
        <v/>
      </c>
      <c r="I66" s="12">
        <f>IF(H66="","",MIN(IF($D$18="LEGAL",DATE(YEAR(H66)+1,1,1),EDATE($D$12,$D$11*(INT((((YEAR(H66)-YEAR($D$12))*12+(MONTH(H66)-MONTH($D$12))-IF(DAY(H66)&lt;DAY($D$12),1,0))/$D$11))+1))),$D$7))</f>
        <v/>
      </c>
      <c r="J66" s="11">
        <f>IF(H66="","",I66-H66)</f>
        <v/>
      </c>
      <c r="K66" s="12">
        <f>IF(H66="","",IF($D$18="LEGAL",H66,EDATE(H66,-$D$13)))</f>
        <v/>
      </c>
      <c r="L66" s="13">
        <f>IF(H66="","",IFERROR(INDEX('Tipos BdE'!$B$7:$M$336,MATCH(DATE(YEAR(K66),MONTH(K66),1),'Tipos BdE'!$A$7:$A$336,1),MATCH($D$9,'Tipos BdE'!$B$6:$M$6,0)),0))</f>
        <v/>
      </c>
      <c r="M66" s="13">
        <f>IF(H66="","",IF($D$18="LEGAL",0,$D$10))</f>
        <v/>
      </c>
      <c r="N66" s="13">
        <f>IF(H66="","",IF(AND($D$14="Sí",(L66+M66)&lt;0),0,L66+M66))</f>
        <v/>
      </c>
      <c r="O66" s="199">
        <f>IF(H66="","",$D$5*N66*J66/36500)</f>
        <v/>
      </c>
      <c r="P66" s="199">
        <f>IF(H66="","",$D$5+SUM($O$5:O66))</f>
        <v/>
      </c>
    </row>
    <row r="67">
      <c r="G67" s="11">
        <f>IF(H67="","",ROW()-4)</f>
        <v/>
      </c>
      <c r="H67" s="12">
        <f>IF(OR(I66="",I66&gt;=$D$7),"",I66)</f>
        <v/>
      </c>
      <c r="I67" s="12">
        <f>IF(H67="","",MIN(IF($D$18="LEGAL",DATE(YEAR(H67)+1,1,1),EDATE($D$12,$D$11*(INT((((YEAR(H67)-YEAR($D$12))*12+(MONTH(H67)-MONTH($D$12))-IF(DAY(H67)&lt;DAY($D$12),1,0))/$D$11))+1))),$D$7))</f>
        <v/>
      </c>
      <c r="J67" s="11">
        <f>IF(H67="","",I67-H67)</f>
        <v/>
      </c>
      <c r="K67" s="12">
        <f>IF(H67="","",IF($D$18="LEGAL",H67,EDATE(H67,-$D$13)))</f>
        <v/>
      </c>
      <c r="L67" s="13">
        <f>IF(H67="","",IFERROR(INDEX('Tipos BdE'!$B$7:$M$336,MATCH(DATE(YEAR(K67),MONTH(K67),1),'Tipos BdE'!$A$7:$A$336,1),MATCH($D$9,'Tipos BdE'!$B$6:$M$6,0)),0))</f>
        <v/>
      </c>
      <c r="M67" s="13">
        <f>IF(H67="","",IF($D$18="LEGAL",0,$D$10))</f>
        <v/>
      </c>
      <c r="N67" s="13">
        <f>IF(H67="","",IF(AND($D$14="Sí",(L67+M67)&lt;0),0,L67+M67))</f>
        <v/>
      </c>
      <c r="O67" s="199">
        <f>IF(H67="","",$D$5*N67*J67/36500)</f>
        <v/>
      </c>
      <c r="P67" s="199">
        <f>IF(H67="","",$D$5+SUM($O$5:O67))</f>
        <v/>
      </c>
    </row>
    <row r="68">
      <c r="G68" s="11">
        <f>IF(H68="","",ROW()-4)</f>
        <v/>
      </c>
      <c r="H68" s="12">
        <f>IF(OR(I67="",I67&gt;=$D$7),"",I67)</f>
        <v/>
      </c>
      <c r="I68" s="12">
        <f>IF(H68="","",MIN(IF($D$18="LEGAL",DATE(YEAR(H68)+1,1,1),EDATE($D$12,$D$11*(INT((((YEAR(H68)-YEAR($D$12))*12+(MONTH(H68)-MONTH($D$12))-IF(DAY(H68)&lt;DAY($D$12),1,0))/$D$11))+1))),$D$7))</f>
        <v/>
      </c>
      <c r="J68" s="11">
        <f>IF(H68="","",I68-H68)</f>
        <v/>
      </c>
      <c r="K68" s="12">
        <f>IF(H68="","",IF($D$18="LEGAL",H68,EDATE(H68,-$D$13)))</f>
        <v/>
      </c>
      <c r="L68" s="13">
        <f>IF(H68="","",IFERROR(INDEX('Tipos BdE'!$B$7:$M$336,MATCH(DATE(YEAR(K68),MONTH(K68),1),'Tipos BdE'!$A$7:$A$336,1),MATCH($D$9,'Tipos BdE'!$B$6:$M$6,0)),0))</f>
        <v/>
      </c>
      <c r="M68" s="13">
        <f>IF(H68="","",IF($D$18="LEGAL",0,$D$10))</f>
        <v/>
      </c>
      <c r="N68" s="13">
        <f>IF(H68="","",IF(AND($D$14="Sí",(L68+M68)&lt;0),0,L68+M68))</f>
        <v/>
      </c>
      <c r="O68" s="199">
        <f>IF(H68="","",$D$5*N68*J68/36500)</f>
        <v/>
      </c>
      <c r="P68" s="199">
        <f>IF(H68="","",$D$5+SUM($O$5:O68))</f>
        <v/>
      </c>
    </row>
    <row r="69">
      <c r="G69" s="11">
        <f>IF(H69="","",ROW()-4)</f>
        <v/>
      </c>
      <c r="H69" s="12">
        <f>IF(OR(I68="",I68&gt;=$D$7),"",I68)</f>
        <v/>
      </c>
      <c r="I69" s="12">
        <f>IF(H69="","",MIN(IF($D$18="LEGAL",DATE(YEAR(H69)+1,1,1),EDATE($D$12,$D$11*(INT((((YEAR(H69)-YEAR($D$12))*12+(MONTH(H69)-MONTH($D$12))-IF(DAY(H69)&lt;DAY($D$12),1,0))/$D$11))+1))),$D$7))</f>
        <v/>
      </c>
      <c r="J69" s="11">
        <f>IF(H69="","",I69-H69)</f>
        <v/>
      </c>
      <c r="K69" s="12">
        <f>IF(H69="","",IF($D$18="LEGAL",H69,EDATE(H69,-$D$13)))</f>
        <v/>
      </c>
      <c r="L69" s="13">
        <f>IF(H69="","",IFERROR(INDEX('Tipos BdE'!$B$7:$M$336,MATCH(DATE(YEAR(K69),MONTH(K69),1),'Tipos BdE'!$A$7:$A$336,1),MATCH($D$9,'Tipos BdE'!$B$6:$M$6,0)),0))</f>
        <v/>
      </c>
      <c r="M69" s="13">
        <f>IF(H69="","",IF($D$18="LEGAL",0,$D$10))</f>
        <v/>
      </c>
      <c r="N69" s="13">
        <f>IF(H69="","",IF(AND($D$14="Sí",(L69+M69)&lt;0),0,L69+M69))</f>
        <v/>
      </c>
      <c r="O69" s="199">
        <f>IF(H69="","",$D$5*N69*J69/36500)</f>
        <v/>
      </c>
      <c r="P69" s="199">
        <f>IF(H69="","",$D$5+SUM($O$5:O69))</f>
        <v/>
      </c>
    </row>
    <row r="70">
      <c r="G70" s="11">
        <f>IF(H70="","",ROW()-4)</f>
        <v/>
      </c>
      <c r="H70" s="12">
        <f>IF(OR(I69="",I69&gt;=$D$7),"",I69)</f>
        <v/>
      </c>
      <c r="I70" s="12">
        <f>IF(H70="","",MIN(IF($D$18="LEGAL",DATE(YEAR(H70)+1,1,1),EDATE($D$12,$D$11*(INT((((YEAR(H70)-YEAR($D$12))*12+(MONTH(H70)-MONTH($D$12))-IF(DAY(H70)&lt;DAY($D$12),1,0))/$D$11))+1))),$D$7))</f>
        <v/>
      </c>
      <c r="J70" s="11">
        <f>IF(H70="","",I70-H70)</f>
        <v/>
      </c>
      <c r="K70" s="12">
        <f>IF(H70="","",IF($D$18="LEGAL",H70,EDATE(H70,-$D$13)))</f>
        <v/>
      </c>
      <c r="L70" s="13">
        <f>IF(H70="","",IFERROR(INDEX('Tipos BdE'!$B$7:$M$336,MATCH(DATE(YEAR(K70),MONTH(K70),1),'Tipos BdE'!$A$7:$A$336,1),MATCH($D$9,'Tipos BdE'!$B$6:$M$6,0)),0))</f>
        <v/>
      </c>
      <c r="M70" s="13">
        <f>IF(H70="","",IF($D$18="LEGAL",0,$D$10))</f>
        <v/>
      </c>
      <c r="N70" s="13">
        <f>IF(H70="","",IF(AND($D$14="Sí",(L70+M70)&lt;0),0,L70+M70))</f>
        <v/>
      </c>
      <c r="O70" s="199">
        <f>IF(H70="","",$D$5*N70*J70/36500)</f>
        <v/>
      </c>
      <c r="P70" s="199">
        <f>IF(H70="","",$D$5+SUM($O$5:O70))</f>
        <v/>
      </c>
    </row>
    <row r="71">
      <c r="G71" s="11">
        <f>IF(H71="","",ROW()-4)</f>
        <v/>
      </c>
      <c r="H71" s="12">
        <f>IF(OR(I70="",I70&gt;=$D$7),"",I70)</f>
        <v/>
      </c>
      <c r="I71" s="12">
        <f>IF(H71="","",MIN(IF($D$18="LEGAL",DATE(YEAR(H71)+1,1,1),EDATE($D$12,$D$11*(INT((((YEAR(H71)-YEAR($D$12))*12+(MONTH(H71)-MONTH($D$12))-IF(DAY(H71)&lt;DAY($D$12),1,0))/$D$11))+1))),$D$7))</f>
        <v/>
      </c>
      <c r="J71" s="11">
        <f>IF(H71="","",I71-H71)</f>
        <v/>
      </c>
      <c r="K71" s="12">
        <f>IF(H71="","",IF($D$18="LEGAL",H71,EDATE(H71,-$D$13)))</f>
        <v/>
      </c>
      <c r="L71" s="13">
        <f>IF(H71="","",IFERROR(INDEX('Tipos BdE'!$B$7:$M$336,MATCH(DATE(YEAR(K71),MONTH(K71),1),'Tipos BdE'!$A$7:$A$336,1),MATCH($D$9,'Tipos BdE'!$B$6:$M$6,0)),0))</f>
        <v/>
      </c>
      <c r="M71" s="13">
        <f>IF(H71="","",IF($D$18="LEGAL",0,$D$10))</f>
        <v/>
      </c>
      <c r="N71" s="13">
        <f>IF(H71="","",IF(AND($D$14="Sí",(L71+M71)&lt;0),0,L71+M71))</f>
        <v/>
      </c>
      <c r="O71" s="199">
        <f>IF(H71="","",$D$5*N71*J71/36500)</f>
        <v/>
      </c>
      <c r="P71" s="199">
        <f>IF(H71="","",$D$5+SUM($O$5:O71))</f>
        <v/>
      </c>
    </row>
    <row r="72">
      <c r="G72" s="11">
        <f>IF(H72="","",ROW()-4)</f>
        <v/>
      </c>
      <c r="H72" s="12">
        <f>IF(OR(I71="",I71&gt;=$D$7),"",I71)</f>
        <v/>
      </c>
      <c r="I72" s="12">
        <f>IF(H72="","",MIN(IF($D$18="LEGAL",DATE(YEAR(H72)+1,1,1),EDATE($D$12,$D$11*(INT((((YEAR(H72)-YEAR($D$12))*12+(MONTH(H72)-MONTH($D$12))-IF(DAY(H72)&lt;DAY($D$12),1,0))/$D$11))+1))),$D$7))</f>
        <v/>
      </c>
      <c r="J72" s="11">
        <f>IF(H72="","",I72-H72)</f>
        <v/>
      </c>
      <c r="K72" s="12">
        <f>IF(H72="","",IF($D$18="LEGAL",H72,EDATE(H72,-$D$13)))</f>
        <v/>
      </c>
      <c r="L72" s="13">
        <f>IF(H72="","",IFERROR(INDEX('Tipos BdE'!$B$7:$M$336,MATCH(DATE(YEAR(K72),MONTH(K72),1),'Tipos BdE'!$A$7:$A$336,1),MATCH($D$9,'Tipos BdE'!$B$6:$M$6,0)),0))</f>
        <v/>
      </c>
      <c r="M72" s="13">
        <f>IF(H72="","",IF($D$18="LEGAL",0,$D$10))</f>
        <v/>
      </c>
      <c r="N72" s="13">
        <f>IF(H72="","",IF(AND($D$14="Sí",(L72+M72)&lt;0),0,L72+M72))</f>
        <v/>
      </c>
      <c r="O72" s="199">
        <f>IF(H72="","",$D$5*N72*J72/36500)</f>
        <v/>
      </c>
      <c r="P72" s="199">
        <f>IF(H72="","",$D$5+SUM($O$5:O72))</f>
        <v/>
      </c>
    </row>
    <row r="73">
      <c r="G73" s="11">
        <f>IF(H73="","",ROW()-4)</f>
        <v/>
      </c>
      <c r="H73" s="12">
        <f>IF(OR(I72="",I72&gt;=$D$7),"",I72)</f>
        <v/>
      </c>
      <c r="I73" s="12">
        <f>IF(H73="","",MIN(IF($D$18="LEGAL",DATE(YEAR(H73)+1,1,1),EDATE($D$12,$D$11*(INT((((YEAR(H73)-YEAR($D$12))*12+(MONTH(H73)-MONTH($D$12))-IF(DAY(H73)&lt;DAY($D$12),1,0))/$D$11))+1))),$D$7))</f>
        <v/>
      </c>
      <c r="J73" s="11">
        <f>IF(H73="","",I73-H73)</f>
        <v/>
      </c>
      <c r="K73" s="12">
        <f>IF(H73="","",IF($D$18="LEGAL",H73,EDATE(H73,-$D$13)))</f>
        <v/>
      </c>
      <c r="L73" s="13">
        <f>IF(H73="","",IFERROR(INDEX('Tipos BdE'!$B$7:$M$336,MATCH(DATE(YEAR(K73),MONTH(K73),1),'Tipos BdE'!$A$7:$A$336,1),MATCH($D$9,'Tipos BdE'!$B$6:$M$6,0)),0))</f>
        <v/>
      </c>
      <c r="M73" s="13">
        <f>IF(H73="","",IF($D$18="LEGAL",0,$D$10))</f>
        <v/>
      </c>
      <c r="N73" s="13">
        <f>IF(H73="","",IF(AND($D$14="Sí",(L73+M73)&lt;0),0,L73+M73))</f>
        <v/>
      </c>
      <c r="O73" s="199">
        <f>IF(H73="","",$D$5*N73*J73/36500)</f>
        <v/>
      </c>
      <c r="P73" s="199">
        <f>IF(H73="","",$D$5+SUM($O$5:O73))</f>
        <v/>
      </c>
    </row>
    <row r="74">
      <c r="G74" s="11">
        <f>IF(H74="","",ROW()-4)</f>
        <v/>
      </c>
      <c r="H74" s="12">
        <f>IF(OR(I73="",I73&gt;=$D$7),"",I73)</f>
        <v/>
      </c>
      <c r="I74" s="12">
        <f>IF(H74="","",MIN(IF($D$18="LEGAL",DATE(YEAR(H74)+1,1,1),EDATE($D$12,$D$11*(INT((((YEAR(H74)-YEAR($D$12))*12+(MONTH(H74)-MONTH($D$12))-IF(DAY(H74)&lt;DAY($D$12),1,0))/$D$11))+1))),$D$7))</f>
        <v/>
      </c>
      <c r="J74" s="11">
        <f>IF(H74="","",I74-H74)</f>
        <v/>
      </c>
      <c r="K74" s="12">
        <f>IF(H74="","",IF($D$18="LEGAL",H74,EDATE(H74,-$D$13)))</f>
        <v/>
      </c>
      <c r="L74" s="13">
        <f>IF(H74="","",IFERROR(INDEX('Tipos BdE'!$B$7:$M$336,MATCH(DATE(YEAR(K74),MONTH(K74),1),'Tipos BdE'!$A$7:$A$336,1),MATCH($D$9,'Tipos BdE'!$B$6:$M$6,0)),0))</f>
        <v/>
      </c>
      <c r="M74" s="13">
        <f>IF(H74="","",IF($D$18="LEGAL",0,$D$10))</f>
        <v/>
      </c>
      <c r="N74" s="13">
        <f>IF(H74="","",IF(AND($D$14="Sí",(L74+M74)&lt;0),0,L74+M74))</f>
        <v/>
      </c>
      <c r="O74" s="199">
        <f>IF(H74="","",$D$5*N74*J74/36500)</f>
        <v/>
      </c>
      <c r="P74" s="199">
        <f>IF(H74="","",$D$5+SUM($O$5:O74))</f>
        <v/>
      </c>
    </row>
    <row r="75">
      <c r="G75" s="11">
        <f>IF(H75="","",ROW()-4)</f>
        <v/>
      </c>
      <c r="H75" s="12">
        <f>IF(OR(I74="",I74&gt;=$D$7),"",I74)</f>
        <v/>
      </c>
      <c r="I75" s="12">
        <f>IF(H75="","",MIN(IF($D$18="LEGAL",DATE(YEAR(H75)+1,1,1),EDATE($D$12,$D$11*(INT((((YEAR(H75)-YEAR($D$12))*12+(MONTH(H75)-MONTH($D$12))-IF(DAY(H75)&lt;DAY($D$12),1,0))/$D$11))+1))),$D$7))</f>
        <v/>
      </c>
      <c r="J75" s="11">
        <f>IF(H75="","",I75-H75)</f>
        <v/>
      </c>
      <c r="K75" s="12">
        <f>IF(H75="","",IF($D$18="LEGAL",H75,EDATE(H75,-$D$13)))</f>
        <v/>
      </c>
      <c r="L75" s="13">
        <f>IF(H75="","",IFERROR(INDEX('Tipos BdE'!$B$7:$M$336,MATCH(DATE(YEAR(K75),MONTH(K75),1),'Tipos BdE'!$A$7:$A$336,1),MATCH($D$9,'Tipos BdE'!$B$6:$M$6,0)),0))</f>
        <v/>
      </c>
      <c r="M75" s="13">
        <f>IF(H75="","",IF($D$18="LEGAL",0,$D$10))</f>
        <v/>
      </c>
      <c r="N75" s="13">
        <f>IF(H75="","",IF(AND($D$14="Sí",(L75+M75)&lt;0),0,L75+M75))</f>
        <v/>
      </c>
      <c r="O75" s="199">
        <f>IF(H75="","",$D$5*N75*J75/36500)</f>
        <v/>
      </c>
      <c r="P75" s="199">
        <f>IF(H75="","",$D$5+SUM($O$5:O75))</f>
        <v/>
      </c>
    </row>
    <row r="76">
      <c r="G76" s="11">
        <f>IF(H76="","",ROW()-4)</f>
        <v/>
      </c>
      <c r="H76" s="12">
        <f>IF(OR(I75="",I75&gt;=$D$7),"",I75)</f>
        <v/>
      </c>
      <c r="I76" s="12">
        <f>IF(H76="","",MIN(IF($D$18="LEGAL",DATE(YEAR(H76)+1,1,1),EDATE($D$12,$D$11*(INT((((YEAR(H76)-YEAR($D$12))*12+(MONTH(H76)-MONTH($D$12))-IF(DAY(H76)&lt;DAY($D$12),1,0))/$D$11))+1))),$D$7))</f>
        <v/>
      </c>
      <c r="J76" s="11">
        <f>IF(H76="","",I76-H76)</f>
        <v/>
      </c>
      <c r="K76" s="12">
        <f>IF(H76="","",IF($D$18="LEGAL",H76,EDATE(H76,-$D$13)))</f>
        <v/>
      </c>
      <c r="L76" s="13">
        <f>IF(H76="","",IFERROR(INDEX('Tipos BdE'!$B$7:$M$336,MATCH(DATE(YEAR(K76),MONTH(K76),1),'Tipos BdE'!$A$7:$A$336,1),MATCH($D$9,'Tipos BdE'!$B$6:$M$6,0)),0))</f>
        <v/>
      </c>
      <c r="M76" s="13">
        <f>IF(H76="","",IF($D$18="LEGAL",0,$D$10))</f>
        <v/>
      </c>
      <c r="N76" s="13">
        <f>IF(H76="","",IF(AND($D$14="Sí",(L76+M76)&lt;0),0,L76+M76))</f>
        <v/>
      </c>
      <c r="O76" s="199">
        <f>IF(H76="","",$D$5*N76*J76/36500)</f>
        <v/>
      </c>
      <c r="P76" s="199">
        <f>IF(H76="","",$D$5+SUM($O$5:O76))</f>
        <v/>
      </c>
    </row>
    <row r="77">
      <c r="G77" s="11">
        <f>IF(H77="","",ROW()-4)</f>
        <v/>
      </c>
      <c r="H77" s="12">
        <f>IF(OR(I76="",I76&gt;=$D$7),"",I76)</f>
        <v/>
      </c>
      <c r="I77" s="12">
        <f>IF(H77="","",MIN(IF($D$18="LEGAL",DATE(YEAR(H77)+1,1,1),EDATE($D$12,$D$11*(INT((((YEAR(H77)-YEAR($D$12))*12+(MONTH(H77)-MONTH($D$12))-IF(DAY(H77)&lt;DAY($D$12),1,0))/$D$11))+1))),$D$7))</f>
        <v/>
      </c>
      <c r="J77" s="11">
        <f>IF(H77="","",I77-H77)</f>
        <v/>
      </c>
      <c r="K77" s="12">
        <f>IF(H77="","",IF($D$18="LEGAL",H77,EDATE(H77,-$D$13)))</f>
        <v/>
      </c>
      <c r="L77" s="13">
        <f>IF(H77="","",IFERROR(INDEX('Tipos BdE'!$B$7:$M$336,MATCH(DATE(YEAR(K77),MONTH(K77),1),'Tipos BdE'!$A$7:$A$336,1),MATCH($D$9,'Tipos BdE'!$B$6:$M$6,0)),0))</f>
        <v/>
      </c>
      <c r="M77" s="13">
        <f>IF(H77="","",IF($D$18="LEGAL",0,$D$10))</f>
        <v/>
      </c>
      <c r="N77" s="13">
        <f>IF(H77="","",IF(AND($D$14="Sí",(L77+M77)&lt;0),0,L77+M77))</f>
        <v/>
      </c>
      <c r="O77" s="199">
        <f>IF(H77="","",$D$5*N77*J77/36500)</f>
        <v/>
      </c>
      <c r="P77" s="199">
        <f>IF(H77="","",$D$5+SUM($O$5:O77))</f>
        <v/>
      </c>
    </row>
    <row r="78">
      <c r="G78" s="11">
        <f>IF(H78="","",ROW()-4)</f>
        <v/>
      </c>
      <c r="H78" s="12">
        <f>IF(OR(I77="",I77&gt;=$D$7),"",I77)</f>
        <v/>
      </c>
      <c r="I78" s="12">
        <f>IF(H78="","",MIN(IF($D$18="LEGAL",DATE(YEAR(H78)+1,1,1),EDATE($D$12,$D$11*(INT((((YEAR(H78)-YEAR($D$12))*12+(MONTH(H78)-MONTH($D$12))-IF(DAY(H78)&lt;DAY($D$12),1,0))/$D$11))+1))),$D$7))</f>
        <v/>
      </c>
      <c r="J78" s="11">
        <f>IF(H78="","",I78-H78)</f>
        <v/>
      </c>
      <c r="K78" s="12">
        <f>IF(H78="","",IF($D$18="LEGAL",H78,EDATE(H78,-$D$13)))</f>
        <v/>
      </c>
      <c r="L78" s="13">
        <f>IF(H78="","",IFERROR(INDEX('Tipos BdE'!$B$7:$M$336,MATCH(DATE(YEAR(K78),MONTH(K78),1),'Tipos BdE'!$A$7:$A$336,1),MATCH($D$9,'Tipos BdE'!$B$6:$M$6,0)),0))</f>
        <v/>
      </c>
      <c r="M78" s="13">
        <f>IF(H78="","",IF($D$18="LEGAL",0,$D$10))</f>
        <v/>
      </c>
      <c r="N78" s="13">
        <f>IF(H78="","",IF(AND($D$14="Sí",(L78+M78)&lt;0),0,L78+M78))</f>
        <v/>
      </c>
      <c r="O78" s="199">
        <f>IF(H78="","",$D$5*N78*J78/36500)</f>
        <v/>
      </c>
      <c r="P78" s="199">
        <f>IF(H78="","",$D$5+SUM($O$5:O78))</f>
        <v/>
      </c>
    </row>
    <row r="79">
      <c r="G79" s="11">
        <f>IF(H79="","",ROW()-4)</f>
        <v/>
      </c>
      <c r="H79" s="12">
        <f>IF(OR(I78="",I78&gt;=$D$7),"",I78)</f>
        <v/>
      </c>
      <c r="I79" s="12">
        <f>IF(H79="","",MIN(IF($D$18="LEGAL",DATE(YEAR(H79)+1,1,1),EDATE($D$12,$D$11*(INT((((YEAR(H79)-YEAR($D$12))*12+(MONTH(H79)-MONTH($D$12))-IF(DAY(H79)&lt;DAY($D$12),1,0))/$D$11))+1))),$D$7))</f>
        <v/>
      </c>
      <c r="J79" s="11">
        <f>IF(H79="","",I79-H79)</f>
        <v/>
      </c>
      <c r="K79" s="12">
        <f>IF(H79="","",IF($D$18="LEGAL",H79,EDATE(H79,-$D$13)))</f>
        <v/>
      </c>
      <c r="L79" s="13">
        <f>IF(H79="","",IFERROR(INDEX('Tipos BdE'!$B$7:$M$336,MATCH(DATE(YEAR(K79),MONTH(K79),1),'Tipos BdE'!$A$7:$A$336,1),MATCH($D$9,'Tipos BdE'!$B$6:$M$6,0)),0))</f>
        <v/>
      </c>
      <c r="M79" s="13">
        <f>IF(H79="","",IF($D$18="LEGAL",0,$D$10))</f>
        <v/>
      </c>
      <c r="N79" s="13">
        <f>IF(H79="","",IF(AND($D$14="Sí",(L79+M79)&lt;0),0,L79+M79))</f>
        <v/>
      </c>
      <c r="O79" s="199">
        <f>IF(H79="","",$D$5*N79*J79/36500)</f>
        <v/>
      </c>
      <c r="P79" s="199">
        <f>IF(H79="","",$D$5+SUM($O$5:O79))</f>
        <v/>
      </c>
    </row>
    <row r="80">
      <c r="G80" s="11">
        <f>IF(H80="","",ROW()-4)</f>
        <v/>
      </c>
      <c r="H80" s="12">
        <f>IF(OR(I79="",I79&gt;=$D$7),"",I79)</f>
        <v/>
      </c>
      <c r="I80" s="12">
        <f>IF(H80="","",MIN(IF($D$18="LEGAL",DATE(YEAR(H80)+1,1,1),EDATE($D$12,$D$11*(INT((((YEAR(H80)-YEAR($D$12))*12+(MONTH(H80)-MONTH($D$12))-IF(DAY(H80)&lt;DAY($D$12),1,0))/$D$11))+1))),$D$7))</f>
        <v/>
      </c>
      <c r="J80" s="11">
        <f>IF(H80="","",I80-H80)</f>
        <v/>
      </c>
      <c r="K80" s="12">
        <f>IF(H80="","",IF($D$18="LEGAL",H80,EDATE(H80,-$D$13)))</f>
        <v/>
      </c>
      <c r="L80" s="13">
        <f>IF(H80="","",IFERROR(INDEX('Tipos BdE'!$B$7:$M$336,MATCH(DATE(YEAR(K80),MONTH(K80),1),'Tipos BdE'!$A$7:$A$336,1),MATCH($D$9,'Tipos BdE'!$B$6:$M$6,0)),0))</f>
        <v/>
      </c>
      <c r="M80" s="13">
        <f>IF(H80="","",IF($D$18="LEGAL",0,$D$10))</f>
        <v/>
      </c>
      <c r="N80" s="13">
        <f>IF(H80="","",IF(AND($D$14="Sí",(L80+M80)&lt;0),0,L80+M80))</f>
        <v/>
      </c>
      <c r="O80" s="199">
        <f>IF(H80="","",$D$5*N80*J80/36500)</f>
        <v/>
      </c>
      <c r="P80" s="199">
        <f>IF(H80="","",$D$5+SUM($O$5:O80))</f>
        <v/>
      </c>
    </row>
    <row r="81">
      <c r="G81" s="11">
        <f>IF(H81="","",ROW()-4)</f>
        <v/>
      </c>
      <c r="H81" s="12">
        <f>IF(OR(I80="",I80&gt;=$D$7),"",I80)</f>
        <v/>
      </c>
      <c r="I81" s="12">
        <f>IF(H81="","",MIN(IF($D$18="LEGAL",DATE(YEAR(H81)+1,1,1),EDATE($D$12,$D$11*(INT((((YEAR(H81)-YEAR($D$12))*12+(MONTH(H81)-MONTH($D$12))-IF(DAY(H81)&lt;DAY($D$12),1,0))/$D$11))+1))),$D$7))</f>
        <v/>
      </c>
      <c r="J81" s="11">
        <f>IF(H81="","",I81-H81)</f>
        <v/>
      </c>
      <c r="K81" s="12">
        <f>IF(H81="","",IF($D$18="LEGAL",H81,EDATE(H81,-$D$13)))</f>
        <v/>
      </c>
      <c r="L81" s="13">
        <f>IF(H81="","",IFERROR(INDEX('Tipos BdE'!$B$7:$M$336,MATCH(DATE(YEAR(K81),MONTH(K81),1),'Tipos BdE'!$A$7:$A$336,1),MATCH($D$9,'Tipos BdE'!$B$6:$M$6,0)),0))</f>
        <v/>
      </c>
      <c r="M81" s="13">
        <f>IF(H81="","",IF($D$18="LEGAL",0,$D$10))</f>
        <v/>
      </c>
      <c r="N81" s="13">
        <f>IF(H81="","",IF(AND($D$14="Sí",(L81+M81)&lt;0),0,L81+M81))</f>
        <v/>
      </c>
      <c r="O81" s="199">
        <f>IF(H81="","",$D$5*N81*J81/36500)</f>
        <v/>
      </c>
      <c r="P81" s="199">
        <f>IF(H81="","",$D$5+SUM($O$5:O81))</f>
        <v/>
      </c>
    </row>
    <row r="82">
      <c r="G82" s="11">
        <f>IF(H82="","",ROW()-4)</f>
        <v/>
      </c>
      <c r="H82" s="12">
        <f>IF(OR(I81="",I81&gt;=$D$7),"",I81)</f>
        <v/>
      </c>
      <c r="I82" s="12">
        <f>IF(H82="","",MIN(IF($D$18="LEGAL",DATE(YEAR(H82)+1,1,1),EDATE($D$12,$D$11*(INT((((YEAR(H82)-YEAR($D$12))*12+(MONTH(H82)-MONTH($D$12))-IF(DAY(H82)&lt;DAY($D$12),1,0))/$D$11))+1))),$D$7))</f>
        <v/>
      </c>
      <c r="J82" s="11">
        <f>IF(H82="","",I82-H82)</f>
        <v/>
      </c>
      <c r="K82" s="12">
        <f>IF(H82="","",IF($D$18="LEGAL",H82,EDATE(H82,-$D$13)))</f>
        <v/>
      </c>
      <c r="L82" s="13">
        <f>IF(H82="","",IFERROR(INDEX('Tipos BdE'!$B$7:$M$336,MATCH(DATE(YEAR(K82),MONTH(K82),1),'Tipos BdE'!$A$7:$A$336,1),MATCH($D$9,'Tipos BdE'!$B$6:$M$6,0)),0))</f>
        <v/>
      </c>
      <c r="M82" s="13">
        <f>IF(H82="","",IF($D$18="LEGAL",0,$D$10))</f>
        <v/>
      </c>
      <c r="N82" s="13">
        <f>IF(H82="","",IF(AND($D$14="Sí",(L82+M82)&lt;0),0,L82+M82))</f>
        <v/>
      </c>
      <c r="O82" s="199">
        <f>IF(H82="","",$D$5*N82*J82/36500)</f>
        <v/>
      </c>
      <c r="P82" s="199">
        <f>IF(H82="","",$D$5+SUM($O$5:O82))</f>
        <v/>
      </c>
    </row>
    <row r="83">
      <c r="G83" s="11">
        <f>IF(H83="","",ROW()-4)</f>
        <v/>
      </c>
      <c r="H83" s="12">
        <f>IF(OR(I82="",I82&gt;=$D$7),"",I82)</f>
        <v/>
      </c>
      <c r="I83" s="12">
        <f>IF(H83="","",MIN(IF($D$18="LEGAL",DATE(YEAR(H83)+1,1,1),EDATE($D$12,$D$11*(INT((((YEAR(H83)-YEAR($D$12))*12+(MONTH(H83)-MONTH($D$12))-IF(DAY(H83)&lt;DAY($D$12),1,0))/$D$11))+1))),$D$7))</f>
        <v/>
      </c>
      <c r="J83" s="11">
        <f>IF(H83="","",I83-H83)</f>
        <v/>
      </c>
      <c r="K83" s="12">
        <f>IF(H83="","",IF($D$18="LEGAL",H83,EDATE(H83,-$D$13)))</f>
        <v/>
      </c>
      <c r="L83" s="13">
        <f>IF(H83="","",IFERROR(INDEX('Tipos BdE'!$B$7:$M$336,MATCH(DATE(YEAR(K83),MONTH(K83),1),'Tipos BdE'!$A$7:$A$336,1),MATCH($D$9,'Tipos BdE'!$B$6:$M$6,0)),0))</f>
        <v/>
      </c>
      <c r="M83" s="13">
        <f>IF(H83="","",IF($D$18="LEGAL",0,$D$10))</f>
        <v/>
      </c>
      <c r="N83" s="13">
        <f>IF(H83="","",IF(AND($D$14="Sí",(L83+M83)&lt;0),0,L83+M83))</f>
        <v/>
      </c>
      <c r="O83" s="199">
        <f>IF(H83="","",$D$5*N83*J83/36500)</f>
        <v/>
      </c>
      <c r="P83" s="199">
        <f>IF(H83="","",$D$5+SUM($O$5:O83))</f>
        <v/>
      </c>
    </row>
    <row r="84">
      <c r="G84" s="11">
        <f>IF(H84="","",ROW()-4)</f>
        <v/>
      </c>
      <c r="H84" s="12">
        <f>IF(OR(I83="",I83&gt;=$D$7),"",I83)</f>
        <v/>
      </c>
      <c r="I84" s="12">
        <f>IF(H84="","",MIN(IF($D$18="LEGAL",DATE(YEAR(H84)+1,1,1),EDATE($D$12,$D$11*(INT((((YEAR(H84)-YEAR($D$12))*12+(MONTH(H84)-MONTH($D$12))-IF(DAY(H84)&lt;DAY($D$12),1,0))/$D$11))+1))),$D$7))</f>
        <v/>
      </c>
      <c r="J84" s="11">
        <f>IF(H84="","",I84-H84)</f>
        <v/>
      </c>
      <c r="K84" s="12">
        <f>IF(H84="","",IF($D$18="LEGAL",H84,EDATE(H84,-$D$13)))</f>
        <v/>
      </c>
      <c r="L84" s="13">
        <f>IF(H84="","",IFERROR(INDEX('Tipos BdE'!$B$7:$M$336,MATCH(DATE(YEAR(K84),MONTH(K84),1),'Tipos BdE'!$A$7:$A$336,1),MATCH($D$9,'Tipos BdE'!$B$6:$M$6,0)),0))</f>
        <v/>
      </c>
      <c r="M84" s="13">
        <f>IF(H84="","",IF($D$18="LEGAL",0,$D$10))</f>
        <v/>
      </c>
      <c r="N84" s="13">
        <f>IF(H84="","",IF(AND($D$14="Sí",(L84+M84)&lt;0),0,L84+M84))</f>
        <v/>
      </c>
      <c r="O84" s="199">
        <f>IF(H84="","",$D$5*N84*J84/36500)</f>
        <v/>
      </c>
      <c r="P84" s="199">
        <f>IF(H84="","",$D$5+SUM($O$5:O84))</f>
        <v/>
      </c>
    </row>
    <row r="85">
      <c r="G85" s="11">
        <f>IF(H85="","",ROW()-4)</f>
        <v/>
      </c>
      <c r="H85" s="12">
        <f>IF(OR(I84="",I84&gt;=$D$7),"",I84)</f>
        <v/>
      </c>
      <c r="I85" s="12">
        <f>IF(H85="","",MIN(IF($D$18="LEGAL",DATE(YEAR(H85)+1,1,1),EDATE($D$12,$D$11*(INT((((YEAR(H85)-YEAR($D$12))*12+(MONTH(H85)-MONTH($D$12))-IF(DAY(H85)&lt;DAY($D$12),1,0))/$D$11))+1))),$D$7))</f>
        <v/>
      </c>
      <c r="J85" s="11">
        <f>IF(H85="","",I85-H85)</f>
        <v/>
      </c>
      <c r="K85" s="12">
        <f>IF(H85="","",IF($D$18="LEGAL",H85,EDATE(H85,-$D$13)))</f>
        <v/>
      </c>
      <c r="L85" s="13">
        <f>IF(H85="","",IFERROR(INDEX('Tipos BdE'!$B$7:$M$336,MATCH(DATE(YEAR(K85),MONTH(K85),1),'Tipos BdE'!$A$7:$A$336,1),MATCH($D$9,'Tipos BdE'!$B$6:$M$6,0)),0))</f>
        <v/>
      </c>
      <c r="M85" s="13">
        <f>IF(H85="","",IF($D$18="LEGAL",0,$D$10))</f>
        <v/>
      </c>
      <c r="N85" s="13">
        <f>IF(H85="","",IF(AND($D$14="Sí",(L85+M85)&lt;0),0,L85+M85))</f>
        <v/>
      </c>
      <c r="O85" s="199">
        <f>IF(H85="","",$D$5*N85*J85/36500)</f>
        <v/>
      </c>
      <c r="P85" s="199">
        <f>IF(H85="","",$D$5+SUM($O$5:O85))</f>
        <v/>
      </c>
    </row>
    <row r="86">
      <c r="G86" s="11">
        <f>IF(H86="","",ROW()-4)</f>
        <v/>
      </c>
      <c r="H86" s="12">
        <f>IF(OR(I85="",I85&gt;=$D$7),"",I85)</f>
        <v/>
      </c>
      <c r="I86" s="12">
        <f>IF(H86="","",MIN(IF($D$18="LEGAL",DATE(YEAR(H86)+1,1,1),EDATE($D$12,$D$11*(INT((((YEAR(H86)-YEAR($D$12))*12+(MONTH(H86)-MONTH($D$12))-IF(DAY(H86)&lt;DAY($D$12),1,0))/$D$11))+1))),$D$7))</f>
        <v/>
      </c>
      <c r="J86" s="11">
        <f>IF(H86="","",I86-H86)</f>
        <v/>
      </c>
      <c r="K86" s="12">
        <f>IF(H86="","",IF($D$18="LEGAL",H86,EDATE(H86,-$D$13)))</f>
        <v/>
      </c>
      <c r="L86" s="13">
        <f>IF(H86="","",IFERROR(INDEX('Tipos BdE'!$B$7:$M$336,MATCH(DATE(YEAR(K86),MONTH(K86),1),'Tipos BdE'!$A$7:$A$336,1),MATCH($D$9,'Tipos BdE'!$B$6:$M$6,0)),0))</f>
        <v/>
      </c>
      <c r="M86" s="13">
        <f>IF(H86="","",IF($D$18="LEGAL",0,$D$10))</f>
        <v/>
      </c>
      <c r="N86" s="13">
        <f>IF(H86="","",IF(AND($D$14="Sí",(L86+M86)&lt;0),0,L86+M86))</f>
        <v/>
      </c>
      <c r="O86" s="199">
        <f>IF(H86="","",$D$5*N86*J86/36500)</f>
        <v/>
      </c>
      <c r="P86" s="199">
        <f>IF(H86="","",$D$5+SUM($O$5:O86))</f>
        <v/>
      </c>
    </row>
    <row r="87">
      <c r="G87" s="11">
        <f>IF(H87="","",ROW()-4)</f>
        <v/>
      </c>
      <c r="H87" s="12">
        <f>IF(OR(I86="",I86&gt;=$D$7),"",I86)</f>
        <v/>
      </c>
      <c r="I87" s="12">
        <f>IF(H87="","",MIN(IF($D$18="LEGAL",DATE(YEAR(H87)+1,1,1),EDATE($D$12,$D$11*(INT((((YEAR(H87)-YEAR($D$12))*12+(MONTH(H87)-MONTH($D$12))-IF(DAY(H87)&lt;DAY($D$12),1,0))/$D$11))+1))),$D$7))</f>
        <v/>
      </c>
      <c r="J87" s="11">
        <f>IF(H87="","",I87-H87)</f>
        <v/>
      </c>
      <c r="K87" s="12">
        <f>IF(H87="","",IF($D$18="LEGAL",H87,EDATE(H87,-$D$13)))</f>
        <v/>
      </c>
      <c r="L87" s="13">
        <f>IF(H87="","",IFERROR(INDEX('Tipos BdE'!$B$7:$M$336,MATCH(DATE(YEAR(K87),MONTH(K87),1),'Tipos BdE'!$A$7:$A$336,1),MATCH($D$9,'Tipos BdE'!$B$6:$M$6,0)),0))</f>
        <v/>
      </c>
      <c r="M87" s="13">
        <f>IF(H87="","",IF($D$18="LEGAL",0,$D$10))</f>
        <v/>
      </c>
      <c r="N87" s="13">
        <f>IF(H87="","",IF(AND($D$14="Sí",(L87+M87)&lt;0),0,L87+M87))</f>
        <v/>
      </c>
      <c r="O87" s="199">
        <f>IF(H87="","",$D$5*N87*J87/36500)</f>
        <v/>
      </c>
      <c r="P87" s="199">
        <f>IF(H87="","",$D$5+SUM($O$5:O87))</f>
        <v/>
      </c>
    </row>
    <row r="88">
      <c r="G88" s="11">
        <f>IF(H88="","",ROW()-4)</f>
        <v/>
      </c>
      <c r="H88" s="12">
        <f>IF(OR(I87="",I87&gt;=$D$7),"",I87)</f>
        <v/>
      </c>
      <c r="I88" s="12">
        <f>IF(H88="","",MIN(IF($D$18="LEGAL",DATE(YEAR(H88)+1,1,1),EDATE($D$12,$D$11*(INT((((YEAR(H88)-YEAR($D$12))*12+(MONTH(H88)-MONTH($D$12))-IF(DAY(H88)&lt;DAY($D$12),1,0))/$D$11))+1))),$D$7))</f>
        <v/>
      </c>
      <c r="J88" s="11">
        <f>IF(H88="","",I88-H88)</f>
        <v/>
      </c>
      <c r="K88" s="12">
        <f>IF(H88="","",IF($D$18="LEGAL",H88,EDATE(H88,-$D$13)))</f>
        <v/>
      </c>
      <c r="L88" s="13">
        <f>IF(H88="","",IFERROR(INDEX('Tipos BdE'!$B$7:$M$336,MATCH(DATE(YEAR(K88),MONTH(K88),1),'Tipos BdE'!$A$7:$A$336,1),MATCH($D$9,'Tipos BdE'!$B$6:$M$6,0)),0))</f>
        <v/>
      </c>
      <c r="M88" s="13">
        <f>IF(H88="","",IF($D$18="LEGAL",0,$D$10))</f>
        <v/>
      </c>
      <c r="N88" s="13">
        <f>IF(H88="","",IF(AND($D$14="Sí",(L88+M88)&lt;0),0,L88+M88))</f>
        <v/>
      </c>
      <c r="O88" s="199">
        <f>IF(H88="","",$D$5*N88*J88/36500)</f>
        <v/>
      </c>
      <c r="P88" s="199">
        <f>IF(H88="","",$D$5+SUM($O$5:O88))</f>
        <v/>
      </c>
    </row>
    <row r="89">
      <c r="G89" s="11">
        <f>IF(H89="","",ROW()-4)</f>
        <v/>
      </c>
      <c r="H89" s="12">
        <f>IF(OR(I88="",I88&gt;=$D$7),"",I88)</f>
        <v/>
      </c>
      <c r="I89" s="12">
        <f>IF(H89="","",MIN(IF($D$18="LEGAL",DATE(YEAR(H89)+1,1,1),EDATE($D$12,$D$11*(INT((((YEAR(H89)-YEAR($D$12))*12+(MONTH(H89)-MONTH($D$12))-IF(DAY(H89)&lt;DAY($D$12),1,0))/$D$11))+1))),$D$7))</f>
        <v/>
      </c>
      <c r="J89" s="11">
        <f>IF(H89="","",I89-H89)</f>
        <v/>
      </c>
      <c r="K89" s="12">
        <f>IF(H89="","",IF($D$18="LEGAL",H89,EDATE(H89,-$D$13)))</f>
        <v/>
      </c>
      <c r="L89" s="13">
        <f>IF(H89="","",IFERROR(INDEX('Tipos BdE'!$B$7:$M$336,MATCH(DATE(YEAR(K89),MONTH(K89),1),'Tipos BdE'!$A$7:$A$336,1),MATCH($D$9,'Tipos BdE'!$B$6:$M$6,0)),0))</f>
        <v/>
      </c>
      <c r="M89" s="13">
        <f>IF(H89="","",IF($D$18="LEGAL",0,$D$10))</f>
        <v/>
      </c>
      <c r="N89" s="13">
        <f>IF(H89="","",IF(AND($D$14="Sí",(L89+M89)&lt;0),0,L89+M89))</f>
        <v/>
      </c>
      <c r="O89" s="199">
        <f>IF(H89="","",$D$5*N89*J89/36500)</f>
        <v/>
      </c>
      <c r="P89" s="199">
        <f>IF(H89="","",$D$5+SUM($O$5:O89))</f>
        <v/>
      </c>
    </row>
    <row r="90">
      <c r="G90" s="11">
        <f>IF(H90="","",ROW()-4)</f>
        <v/>
      </c>
      <c r="H90" s="12">
        <f>IF(OR(I89="",I89&gt;=$D$7),"",I89)</f>
        <v/>
      </c>
      <c r="I90" s="12">
        <f>IF(H90="","",MIN(IF($D$18="LEGAL",DATE(YEAR(H90)+1,1,1),EDATE($D$12,$D$11*(INT((((YEAR(H90)-YEAR($D$12))*12+(MONTH(H90)-MONTH($D$12))-IF(DAY(H90)&lt;DAY($D$12),1,0))/$D$11))+1))),$D$7))</f>
        <v/>
      </c>
      <c r="J90" s="11">
        <f>IF(H90="","",I90-H90)</f>
        <v/>
      </c>
      <c r="K90" s="12">
        <f>IF(H90="","",IF($D$18="LEGAL",H90,EDATE(H90,-$D$13)))</f>
        <v/>
      </c>
      <c r="L90" s="13">
        <f>IF(H90="","",IFERROR(INDEX('Tipos BdE'!$B$7:$M$336,MATCH(DATE(YEAR(K90),MONTH(K90),1),'Tipos BdE'!$A$7:$A$336,1),MATCH($D$9,'Tipos BdE'!$B$6:$M$6,0)),0))</f>
        <v/>
      </c>
      <c r="M90" s="13">
        <f>IF(H90="","",IF($D$18="LEGAL",0,$D$10))</f>
        <v/>
      </c>
      <c r="N90" s="13">
        <f>IF(H90="","",IF(AND($D$14="Sí",(L90+M90)&lt;0),0,L90+M90))</f>
        <v/>
      </c>
      <c r="O90" s="199">
        <f>IF(H90="","",$D$5*N90*J90/36500)</f>
        <v/>
      </c>
      <c r="P90" s="199">
        <f>IF(H90="","",$D$5+SUM($O$5:O90))</f>
        <v/>
      </c>
    </row>
    <row r="91">
      <c r="G91" s="11">
        <f>IF(H91="","",ROW()-4)</f>
        <v/>
      </c>
      <c r="H91" s="12">
        <f>IF(OR(I90="",I90&gt;=$D$7),"",I90)</f>
        <v/>
      </c>
      <c r="I91" s="12">
        <f>IF(H91="","",MIN(IF($D$18="LEGAL",DATE(YEAR(H91)+1,1,1),EDATE($D$12,$D$11*(INT((((YEAR(H91)-YEAR($D$12))*12+(MONTH(H91)-MONTH($D$12))-IF(DAY(H91)&lt;DAY($D$12),1,0))/$D$11))+1))),$D$7))</f>
        <v/>
      </c>
      <c r="J91" s="11">
        <f>IF(H91="","",I91-H91)</f>
        <v/>
      </c>
      <c r="K91" s="12">
        <f>IF(H91="","",IF($D$18="LEGAL",H91,EDATE(H91,-$D$13)))</f>
        <v/>
      </c>
      <c r="L91" s="13">
        <f>IF(H91="","",IFERROR(INDEX('Tipos BdE'!$B$7:$M$336,MATCH(DATE(YEAR(K91),MONTH(K91),1),'Tipos BdE'!$A$7:$A$336,1),MATCH($D$9,'Tipos BdE'!$B$6:$M$6,0)),0))</f>
        <v/>
      </c>
      <c r="M91" s="13">
        <f>IF(H91="","",IF($D$18="LEGAL",0,$D$10))</f>
        <v/>
      </c>
      <c r="N91" s="13">
        <f>IF(H91="","",IF(AND($D$14="Sí",(L91+M91)&lt;0),0,L91+M91))</f>
        <v/>
      </c>
      <c r="O91" s="199">
        <f>IF(H91="","",$D$5*N91*J91/36500)</f>
        <v/>
      </c>
      <c r="P91" s="199">
        <f>IF(H91="","",$D$5+SUM($O$5:O91))</f>
        <v/>
      </c>
    </row>
    <row r="92">
      <c r="G92" s="11">
        <f>IF(H92="","",ROW()-4)</f>
        <v/>
      </c>
      <c r="H92" s="12">
        <f>IF(OR(I91="",I91&gt;=$D$7),"",I91)</f>
        <v/>
      </c>
      <c r="I92" s="12">
        <f>IF(H92="","",MIN(IF($D$18="LEGAL",DATE(YEAR(H92)+1,1,1),EDATE($D$12,$D$11*(INT((((YEAR(H92)-YEAR($D$12))*12+(MONTH(H92)-MONTH($D$12))-IF(DAY(H92)&lt;DAY($D$12),1,0))/$D$11))+1))),$D$7))</f>
        <v/>
      </c>
      <c r="J92" s="11">
        <f>IF(H92="","",I92-H92)</f>
        <v/>
      </c>
      <c r="K92" s="12">
        <f>IF(H92="","",IF($D$18="LEGAL",H92,EDATE(H92,-$D$13)))</f>
        <v/>
      </c>
      <c r="L92" s="13">
        <f>IF(H92="","",IFERROR(INDEX('Tipos BdE'!$B$7:$M$336,MATCH(DATE(YEAR(K92),MONTH(K92),1),'Tipos BdE'!$A$7:$A$336,1),MATCH($D$9,'Tipos BdE'!$B$6:$M$6,0)),0))</f>
        <v/>
      </c>
      <c r="M92" s="13">
        <f>IF(H92="","",IF($D$18="LEGAL",0,$D$10))</f>
        <v/>
      </c>
      <c r="N92" s="13">
        <f>IF(H92="","",IF(AND($D$14="Sí",(L92+M92)&lt;0),0,L92+M92))</f>
        <v/>
      </c>
      <c r="O92" s="199">
        <f>IF(H92="","",$D$5*N92*J92/36500)</f>
        <v/>
      </c>
      <c r="P92" s="199">
        <f>IF(H92="","",$D$5+SUM($O$5:O92))</f>
        <v/>
      </c>
    </row>
    <row r="93">
      <c r="G93" s="11">
        <f>IF(H93="","",ROW()-4)</f>
        <v/>
      </c>
      <c r="H93" s="12">
        <f>IF(OR(I92="",I92&gt;=$D$7),"",I92)</f>
        <v/>
      </c>
      <c r="I93" s="12">
        <f>IF(H93="","",MIN(IF($D$18="LEGAL",DATE(YEAR(H93)+1,1,1),EDATE($D$12,$D$11*(INT((((YEAR(H93)-YEAR($D$12))*12+(MONTH(H93)-MONTH($D$12))-IF(DAY(H93)&lt;DAY($D$12),1,0))/$D$11))+1))),$D$7))</f>
        <v/>
      </c>
      <c r="J93" s="11">
        <f>IF(H93="","",I93-H93)</f>
        <v/>
      </c>
      <c r="K93" s="12">
        <f>IF(H93="","",IF($D$18="LEGAL",H93,EDATE(H93,-$D$13)))</f>
        <v/>
      </c>
      <c r="L93" s="13">
        <f>IF(H93="","",IFERROR(INDEX('Tipos BdE'!$B$7:$M$336,MATCH(DATE(YEAR(K93),MONTH(K93),1),'Tipos BdE'!$A$7:$A$336,1),MATCH($D$9,'Tipos BdE'!$B$6:$M$6,0)),0))</f>
        <v/>
      </c>
      <c r="M93" s="13">
        <f>IF(H93="","",IF($D$18="LEGAL",0,$D$10))</f>
        <v/>
      </c>
      <c r="N93" s="13">
        <f>IF(H93="","",IF(AND($D$14="Sí",(L93+M93)&lt;0),0,L93+M93))</f>
        <v/>
      </c>
      <c r="O93" s="199">
        <f>IF(H93="","",$D$5*N93*J93/36500)</f>
        <v/>
      </c>
      <c r="P93" s="199">
        <f>IF(H93="","",$D$5+SUM($O$5:O93))</f>
        <v/>
      </c>
    </row>
    <row r="94">
      <c r="G94" s="11">
        <f>IF(H94="","",ROW()-4)</f>
        <v/>
      </c>
      <c r="H94" s="12">
        <f>IF(OR(I93="",I93&gt;=$D$7),"",I93)</f>
        <v/>
      </c>
      <c r="I94" s="12">
        <f>IF(H94="","",MIN(IF($D$18="LEGAL",DATE(YEAR(H94)+1,1,1),EDATE($D$12,$D$11*(INT((((YEAR(H94)-YEAR($D$12))*12+(MONTH(H94)-MONTH($D$12))-IF(DAY(H94)&lt;DAY($D$12),1,0))/$D$11))+1))),$D$7))</f>
        <v/>
      </c>
      <c r="J94" s="11">
        <f>IF(H94="","",I94-H94)</f>
        <v/>
      </c>
      <c r="K94" s="12">
        <f>IF(H94="","",IF($D$18="LEGAL",H94,EDATE(H94,-$D$13)))</f>
        <v/>
      </c>
      <c r="L94" s="13">
        <f>IF(H94="","",IFERROR(INDEX('Tipos BdE'!$B$7:$M$336,MATCH(DATE(YEAR(K94),MONTH(K94),1),'Tipos BdE'!$A$7:$A$336,1),MATCH($D$9,'Tipos BdE'!$B$6:$M$6,0)),0))</f>
        <v/>
      </c>
      <c r="M94" s="13">
        <f>IF(H94="","",IF($D$18="LEGAL",0,$D$10))</f>
        <v/>
      </c>
      <c r="N94" s="13">
        <f>IF(H94="","",IF(AND($D$14="Sí",(L94+M94)&lt;0),0,L94+M94))</f>
        <v/>
      </c>
      <c r="O94" s="199">
        <f>IF(H94="","",$D$5*N94*J94/36500)</f>
        <v/>
      </c>
      <c r="P94" s="199">
        <f>IF(H94="","",$D$5+SUM($O$5:O94))</f>
        <v/>
      </c>
    </row>
    <row r="95">
      <c r="G95" s="11">
        <f>IF(H95="","",ROW()-4)</f>
        <v/>
      </c>
      <c r="H95" s="12">
        <f>IF(OR(I94="",I94&gt;=$D$7),"",I94)</f>
        <v/>
      </c>
      <c r="I95" s="12">
        <f>IF(H95="","",MIN(IF($D$18="LEGAL",DATE(YEAR(H95)+1,1,1),EDATE($D$12,$D$11*(INT((((YEAR(H95)-YEAR($D$12))*12+(MONTH(H95)-MONTH($D$12))-IF(DAY(H95)&lt;DAY($D$12),1,0))/$D$11))+1))),$D$7))</f>
        <v/>
      </c>
      <c r="J95" s="11">
        <f>IF(H95="","",I95-H95)</f>
        <v/>
      </c>
      <c r="K95" s="12">
        <f>IF(H95="","",IF($D$18="LEGAL",H95,EDATE(H95,-$D$13)))</f>
        <v/>
      </c>
      <c r="L95" s="13">
        <f>IF(H95="","",IFERROR(INDEX('Tipos BdE'!$B$7:$M$336,MATCH(DATE(YEAR(K95),MONTH(K95),1),'Tipos BdE'!$A$7:$A$336,1),MATCH($D$9,'Tipos BdE'!$B$6:$M$6,0)),0))</f>
        <v/>
      </c>
      <c r="M95" s="13">
        <f>IF(H95="","",IF($D$18="LEGAL",0,$D$10))</f>
        <v/>
      </c>
      <c r="N95" s="13">
        <f>IF(H95="","",IF(AND($D$14="Sí",(L95+M95)&lt;0),0,L95+M95))</f>
        <v/>
      </c>
      <c r="O95" s="199">
        <f>IF(H95="","",$D$5*N95*J95/36500)</f>
        <v/>
      </c>
      <c r="P95" s="199">
        <f>IF(H95="","",$D$5+SUM($O$5:O95))</f>
        <v/>
      </c>
    </row>
    <row r="96">
      <c r="G96" s="11">
        <f>IF(H96="","",ROW()-4)</f>
        <v/>
      </c>
      <c r="H96" s="12">
        <f>IF(OR(I95="",I95&gt;=$D$7),"",I95)</f>
        <v/>
      </c>
      <c r="I96" s="12">
        <f>IF(H96="","",MIN(IF($D$18="LEGAL",DATE(YEAR(H96)+1,1,1),EDATE($D$12,$D$11*(INT((((YEAR(H96)-YEAR($D$12))*12+(MONTH(H96)-MONTH($D$12))-IF(DAY(H96)&lt;DAY($D$12),1,0))/$D$11))+1))),$D$7))</f>
        <v/>
      </c>
      <c r="J96" s="11">
        <f>IF(H96="","",I96-H96)</f>
        <v/>
      </c>
      <c r="K96" s="12">
        <f>IF(H96="","",IF($D$18="LEGAL",H96,EDATE(H96,-$D$13)))</f>
        <v/>
      </c>
      <c r="L96" s="13">
        <f>IF(H96="","",IFERROR(INDEX('Tipos BdE'!$B$7:$M$336,MATCH(DATE(YEAR(K96),MONTH(K96),1),'Tipos BdE'!$A$7:$A$336,1),MATCH($D$9,'Tipos BdE'!$B$6:$M$6,0)),0))</f>
        <v/>
      </c>
      <c r="M96" s="13">
        <f>IF(H96="","",IF($D$18="LEGAL",0,$D$10))</f>
        <v/>
      </c>
      <c r="N96" s="13">
        <f>IF(H96="","",IF(AND($D$14="Sí",(L96+M96)&lt;0),0,L96+M96))</f>
        <v/>
      </c>
      <c r="O96" s="199">
        <f>IF(H96="","",$D$5*N96*J96/36500)</f>
        <v/>
      </c>
      <c r="P96" s="199">
        <f>IF(H96="","",$D$5+SUM($O$5:O96))</f>
        <v/>
      </c>
    </row>
    <row r="97">
      <c r="G97" s="11">
        <f>IF(H97="","",ROW()-4)</f>
        <v/>
      </c>
      <c r="H97" s="12">
        <f>IF(OR(I96="",I96&gt;=$D$7),"",I96)</f>
        <v/>
      </c>
      <c r="I97" s="12">
        <f>IF(H97="","",MIN(IF($D$18="LEGAL",DATE(YEAR(H97)+1,1,1),EDATE($D$12,$D$11*(INT((((YEAR(H97)-YEAR($D$12))*12+(MONTH(H97)-MONTH($D$12))-IF(DAY(H97)&lt;DAY($D$12),1,0))/$D$11))+1))),$D$7))</f>
        <v/>
      </c>
      <c r="J97" s="11">
        <f>IF(H97="","",I97-H97)</f>
        <v/>
      </c>
      <c r="K97" s="12">
        <f>IF(H97="","",IF($D$18="LEGAL",H97,EDATE(H97,-$D$13)))</f>
        <v/>
      </c>
      <c r="L97" s="13">
        <f>IF(H97="","",IFERROR(INDEX('Tipos BdE'!$B$7:$M$336,MATCH(DATE(YEAR(K97),MONTH(K97),1),'Tipos BdE'!$A$7:$A$336,1),MATCH($D$9,'Tipos BdE'!$B$6:$M$6,0)),0))</f>
        <v/>
      </c>
      <c r="M97" s="13">
        <f>IF(H97="","",IF($D$18="LEGAL",0,$D$10))</f>
        <v/>
      </c>
      <c r="N97" s="13">
        <f>IF(H97="","",IF(AND($D$14="Sí",(L97+M97)&lt;0),0,L97+M97))</f>
        <v/>
      </c>
      <c r="O97" s="199">
        <f>IF(H97="","",$D$5*N97*J97/36500)</f>
        <v/>
      </c>
      <c r="P97" s="199">
        <f>IF(H97="","",$D$5+SUM($O$5:O97))</f>
        <v/>
      </c>
    </row>
    <row r="98">
      <c r="G98" s="11">
        <f>IF(H98="","",ROW()-4)</f>
        <v/>
      </c>
      <c r="H98" s="12">
        <f>IF(OR(I97="",I97&gt;=$D$7),"",I97)</f>
        <v/>
      </c>
      <c r="I98" s="12">
        <f>IF(H98="","",MIN(IF($D$18="LEGAL",DATE(YEAR(H98)+1,1,1),EDATE($D$12,$D$11*(INT((((YEAR(H98)-YEAR($D$12))*12+(MONTH(H98)-MONTH($D$12))-IF(DAY(H98)&lt;DAY($D$12),1,0))/$D$11))+1))),$D$7))</f>
        <v/>
      </c>
      <c r="J98" s="11">
        <f>IF(H98="","",I98-H98)</f>
        <v/>
      </c>
      <c r="K98" s="12">
        <f>IF(H98="","",IF($D$18="LEGAL",H98,EDATE(H98,-$D$13)))</f>
        <v/>
      </c>
      <c r="L98" s="13">
        <f>IF(H98="","",IFERROR(INDEX('Tipos BdE'!$B$7:$M$336,MATCH(DATE(YEAR(K98),MONTH(K98),1),'Tipos BdE'!$A$7:$A$336,1),MATCH($D$9,'Tipos BdE'!$B$6:$M$6,0)),0))</f>
        <v/>
      </c>
      <c r="M98" s="13">
        <f>IF(H98="","",IF($D$18="LEGAL",0,$D$10))</f>
        <v/>
      </c>
      <c r="N98" s="13">
        <f>IF(H98="","",IF(AND($D$14="Sí",(L98+M98)&lt;0),0,L98+M98))</f>
        <v/>
      </c>
      <c r="O98" s="199">
        <f>IF(H98="","",$D$5*N98*J98/36500)</f>
        <v/>
      </c>
      <c r="P98" s="199">
        <f>IF(H98="","",$D$5+SUM($O$5:O98))</f>
        <v/>
      </c>
    </row>
    <row r="99">
      <c r="G99" s="11">
        <f>IF(H99="","",ROW()-4)</f>
        <v/>
      </c>
      <c r="H99" s="12">
        <f>IF(OR(I98="",I98&gt;=$D$7),"",I98)</f>
        <v/>
      </c>
      <c r="I99" s="12">
        <f>IF(H99="","",MIN(IF($D$18="LEGAL",DATE(YEAR(H99)+1,1,1),EDATE($D$12,$D$11*(INT((((YEAR(H99)-YEAR($D$12))*12+(MONTH(H99)-MONTH($D$12))-IF(DAY(H99)&lt;DAY($D$12),1,0))/$D$11))+1))),$D$7))</f>
        <v/>
      </c>
      <c r="J99" s="11">
        <f>IF(H99="","",I99-H99)</f>
        <v/>
      </c>
      <c r="K99" s="12">
        <f>IF(H99="","",IF($D$18="LEGAL",H99,EDATE(H99,-$D$13)))</f>
        <v/>
      </c>
      <c r="L99" s="13">
        <f>IF(H99="","",IFERROR(INDEX('Tipos BdE'!$B$7:$M$336,MATCH(DATE(YEAR(K99),MONTH(K99),1),'Tipos BdE'!$A$7:$A$336,1),MATCH($D$9,'Tipos BdE'!$B$6:$M$6,0)),0))</f>
        <v/>
      </c>
      <c r="M99" s="13">
        <f>IF(H99="","",IF($D$18="LEGAL",0,$D$10))</f>
        <v/>
      </c>
      <c r="N99" s="13">
        <f>IF(H99="","",IF(AND($D$14="Sí",(L99+M99)&lt;0),0,L99+M99))</f>
        <v/>
      </c>
      <c r="O99" s="199">
        <f>IF(H99="","",$D$5*N99*J99/36500)</f>
        <v/>
      </c>
      <c r="P99" s="199">
        <f>IF(H99="","",$D$5+SUM($O$5:O99))</f>
        <v/>
      </c>
    </row>
    <row r="100">
      <c r="G100" s="11">
        <f>IF(H100="","",ROW()-4)</f>
        <v/>
      </c>
      <c r="H100" s="12">
        <f>IF(OR(I99="",I99&gt;=$D$7),"",I99)</f>
        <v/>
      </c>
      <c r="I100" s="12">
        <f>IF(H100="","",MIN(IF($D$18="LEGAL",DATE(YEAR(H100)+1,1,1),EDATE($D$12,$D$11*(INT((((YEAR(H100)-YEAR($D$12))*12+(MONTH(H100)-MONTH($D$12))-IF(DAY(H100)&lt;DAY($D$12),1,0))/$D$11))+1))),$D$7))</f>
        <v/>
      </c>
      <c r="J100" s="11">
        <f>IF(H100="","",I100-H100)</f>
        <v/>
      </c>
      <c r="K100" s="12">
        <f>IF(H100="","",IF($D$18="LEGAL",H100,EDATE(H100,-$D$13)))</f>
        <v/>
      </c>
      <c r="L100" s="13">
        <f>IF(H100="","",IFERROR(INDEX('Tipos BdE'!$B$7:$M$336,MATCH(DATE(YEAR(K100),MONTH(K100),1),'Tipos BdE'!$A$7:$A$336,1),MATCH($D$9,'Tipos BdE'!$B$6:$M$6,0)),0))</f>
        <v/>
      </c>
      <c r="M100" s="13">
        <f>IF(H100="","",IF($D$18="LEGAL",0,$D$10))</f>
        <v/>
      </c>
      <c r="N100" s="13">
        <f>IF(H100="","",IF(AND($D$14="Sí",(L100+M100)&lt;0),0,L100+M100))</f>
        <v/>
      </c>
      <c r="O100" s="199">
        <f>IF(H100="","",$D$5*N100*J100/36500)</f>
        <v/>
      </c>
      <c r="P100" s="199">
        <f>IF(H100="","",$D$5+SUM($O$5:O100))</f>
        <v/>
      </c>
    </row>
    <row r="101">
      <c r="G101" s="11">
        <f>IF(H101="","",ROW()-4)</f>
        <v/>
      </c>
      <c r="H101" s="12">
        <f>IF(OR(I100="",I100&gt;=$D$7),"",I100)</f>
        <v/>
      </c>
      <c r="I101" s="12">
        <f>IF(H101="","",MIN(IF($D$18="LEGAL",DATE(YEAR(H101)+1,1,1),EDATE($D$12,$D$11*(INT((((YEAR(H101)-YEAR($D$12))*12+(MONTH(H101)-MONTH($D$12))-IF(DAY(H101)&lt;DAY($D$12),1,0))/$D$11))+1))),$D$7))</f>
        <v/>
      </c>
      <c r="J101" s="11">
        <f>IF(H101="","",I101-H101)</f>
        <v/>
      </c>
      <c r="K101" s="12">
        <f>IF(H101="","",IF($D$18="LEGAL",H101,EDATE(H101,-$D$13)))</f>
        <v/>
      </c>
      <c r="L101" s="13">
        <f>IF(H101="","",IFERROR(INDEX('Tipos BdE'!$B$7:$M$336,MATCH(DATE(YEAR(K101),MONTH(K101),1),'Tipos BdE'!$A$7:$A$336,1),MATCH($D$9,'Tipos BdE'!$B$6:$M$6,0)),0))</f>
        <v/>
      </c>
      <c r="M101" s="13">
        <f>IF(H101="","",IF($D$18="LEGAL",0,$D$10))</f>
        <v/>
      </c>
      <c r="N101" s="13">
        <f>IF(H101="","",IF(AND($D$14="Sí",(L101+M101)&lt;0),0,L101+M101))</f>
        <v/>
      </c>
      <c r="O101" s="199">
        <f>IF(H101="","",$D$5*N101*J101/36500)</f>
        <v/>
      </c>
      <c r="P101" s="199">
        <f>IF(H101="","",$D$5+SUM($O$5:O101))</f>
        <v/>
      </c>
    </row>
    <row r="102">
      <c r="G102" s="11">
        <f>IF(H102="","",ROW()-4)</f>
        <v/>
      </c>
      <c r="H102" s="12">
        <f>IF(OR(I101="",I101&gt;=$D$7),"",I101)</f>
        <v/>
      </c>
      <c r="I102" s="12">
        <f>IF(H102="","",MIN(IF($D$18="LEGAL",DATE(YEAR(H102)+1,1,1),EDATE($D$12,$D$11*(INT((((YEAR(H102)-YEAR($D$12))*12+(MONTH(H102)-MONTH($D$12))-IF(DAY(H102)&lt;DAY($D$12),1,0))/$D$11))+1))),$D$7))</f>
        <v/>
      </c>
      <c r="J102" s="11">
        <f>IF(H102="","",I102-H102)</f>
        <v/>
      </c>
      <c r="K102" s="12">
        <f>IF(H102="","",IF($D$18="LEGAL",H102,EDATE(H102,-$D$13)))</f>
        <v/>
      </c>
      <c r="L102" s="13">
        <f>IF(H102="","",IFERROR(INDEX('Tipos BdE'!$B$7:$M$336,MATCH(DATE(YEAR(K102),MONTH(K102),1),'Tipos BdE'!$A$7:$A$336,1),MATCH($D$9,'Tipos BdE'!$B$6:$M$6,0)),0))</f>
        <v/>
      </c>
      <c r="M102" s="13">
        <f>IF(H102="","",IF($D$18="LEGAL",0,$D$10))</f>
        <v/>
      </c>
      <c r="N102" s="13">
        <f>IF(H102="","",IF(AND($D$14="Sí",(L102+M102)&lt;0),0,L102+M102))</f>
        <v/>
      </c>
      <c r="O102" s="199">
        <f>IF(H102="","",$D$5*N102*J102/36500)</f>
        <v/>
      </c>
      <c r="P102" s="199">
        <f>IF(H102="","",$D$5+SUM($O$5:O102))</f>
        <v/>
      </c>
    </row>
    <row r="103">
      <c r="G103" s="11">
        <f>IF(H103="","",ROW()-4)</f>
        <v/>
      </c>
      <c r="H103" s="12">
        <f>IF(OR(I102="",I102&gt;=$D$7),"",I102)</f>
        <v/>
      </c>
      <c r="I103" s="12">
        <f>IF(H103="","",MIN(IF($D$18="LEGAL",DATE(YEAR(H103)+1,1,1),EDATE($D$12,$D$11*(INT((((YEAR(H103)-YEAR($D$12))*12+(MONTH(H103)-MONTH($D$12))-IF(DAY(H103)&lt;DAY($D$12),1,0))/$D$11))+1))),$D$7))</f>
        <v/>
      </c>
      <c r="J103" s="11">
        <f>IF(H103="","",I103-H103)</f>
        <v/>
      </c>
      <c r="K103" s="12">
        <f>IF(H103="","",IF($D$18="LEGAL",H103,EDATE(H103,-$D$13)))</f>
        <v/>
      </c>
      <c r="L103" s="13">
        <f>IF(H103="","",IFERROR(INDEX('Tipos BdE'!$B$7:$M$336,MATCH(DATE(YEAR(K103),MONTH(K103),1),'Tipos BdE'!$A$7:$A$336,1),MATCH($D$9,'Tipos BdE'!$B$6:$M$6,0)),0))</f>
        <v/>
      </c>
      <c r="M103" s="13">
        <f>IF(H103="","",IF($D$18="LEGAL",0,$D$10))</f>
        <v/>
      </c>
      <c r="N103" s="13">
        <f>IF(H103="","",IF(AND($D$14="Sí",(L103+M103)&lt;0),0,L103+M103))</f>
        <v/>
      </c>
      <c r="O103" s="199">
        <f>IF(H103="","",$D$5*N103*J103/36500)</f>
        <v/>
      </c>
      <c r="P103" s="199">
        <f>IF(H103="","",$D$5+SUM($O$5:O103))</f>
        <v/>
      </c>
    </row>
    <row r="104">
      <c r="G104" s="11">
        <f>IF(H104="","",ROW()-4)</f>
        <v/>
      </c>
      <c r="H104" s="12">
        <f>IF(OR(I103="",I103&gt;=$D$7),"",I103)</f>
        <v/>
      </c>
      <c r="I104" s="12">
        <f>IF(H104="","",MIN(IF($D$18="LEGAL",DATE(YEAR(H104)+1,1,1),EDATE($D$12,$D$11*(INT((((YEAR(H104)-YEAR($D$12))*12+(MONTH(H104)-MONTH($D$12))-IF(DAY(H104)&lt;DAY($D$12),1,0))/$D$11))+1))),$D$7))</f>
        <v/>
      </c>
      <c r="J104" s="11">
        <f>IF(H104="","",I104-H104)</f>
        <v/>
      </c>
      <c r="K104" s="12">
        <f>IF(H104="","",IF($D$18="LEGAL",H104,EDATE(H104,-$D$13)))</f>
        <v/>
      </c>
      <c r="L104" s="13">
        <f>IF(H104="","",IFERROR(INDEX('Tipos BdE'!$B$7:$M$336,MATCH(DATE(YEAR(K104),MONTH(K104),1),'Tipos BdE'!$A$7:$A$336,1),MATCH($D$9,'Tipos BdE'!$B$6:$M$6,0)),0))</f>
        <v/>
      </c>
      <c r="M104" s="13">
        <f>IF(H104="","",IF($D$18="LEGAL",0,$D$10))</f>
        <v/>
      </c>
      <c r="N104" s="13">
        <f>IF(H104="","",IF(AND($D$14="Sí",(L104+M104)&lt;0),0,L104+M104))</f>
        <v/>
      </c>
      <c r="O104" s="199">
        <f>IF(H104="","",$D$5*N104*J104/36500)</f>
        <v/>
      </c>
      <c r="P104" s="199">
        <f>IF(H104="","",$D$5+SUM($O$5:O104))</f>
        <v/>
      </c>
    </row>
    <row r="105">
      <c r="G105" s="11">
        <f>IF(H105="","",ROW()-4)</f>
        <v/>
      </c>
      <c r="H105" s="12">
        <f>IF(OR(I104="",I104&gt;=$D$7),"",I104)</f>
        <v/>
      </c>
      <c r="I105" s="12">
        <f>IF(H105="","",MIN(IF($D$18="LEGAL",DATE(YEAR(H105)+1,1,1),EDATE($D$12,$D$11*(INT((((YEAR(H105)-YEAR($D$12))*12+(MONTH(H105)-MONTH($D$12))-IF(DAY(H105)&lt;DAY($D$12),1,0))/$D$11))+1))),$D$7))</f>
        <v/>
      </c>
      <c r="J105" s="11">
        <f>IF(H105="","",I105-H105)</f>
        <v/>
      </c>
      <c r="K105" s="12">
        <f>IF(H105="","",IF($D$18="LEGAL",H105,EDATE(H105,-$D$13)))</f>
        <v/>
      </c>
      <c r="L105" s="13">
        <f>IF(H105="","",IFERROR(INDEX('Tipos BdE'!$B$7:$M$336,MATCH(DATE(YEAR(K105),MONTH(K105),1),'Tipos BdE'!$A$7:$A$336,1),MATCH($D$9,'Tipos BdE'!$B$6:$M$6,0)),0))</f>
        <v/>
      </c>
      <c r="M105" s="13">
        <f>IF(H105="","",IF($D$18="LEGAL",0,$D$10))</f>
        <v/>
      </c>
      <c r="N105" s="13">
        <f>IF(H105="","",IF(AND($D$14="Sí",(L105+M105)&lt;0),0,L105+M105))</f>
        <v/>
      </c>
      <c r="O105" s="199">
        <f>IF(H105="","",$D$5*N105*J105/36500)</f>
        <v/>
      </c>
      <c r="P105" s="199">
        <f>IF(H105="","",$D$5+SUM($O$5:O105))</f>
        <v/>
      </c>
    </row>
    <row r="106">
      <c r="G106" s="11">
        <f>IF(H106="","",ROW()-4)</f>
        <v/>
      </c>
      <c r="H106" s="12">
        <f>IF(OR(I105="",I105&gt;=$D$7),"",I105)</f>
        <v/>
      </c>
      <c r="I106" s="12">
        <f>IF(H106="","",MIN(IF($D$18="LEGAL",DATE(YEAR(H106)+1,1,1),EDATE($D$12,$D$11*(INT((((YEAR(H106)-YEAR($D$12))*12+(MONTH(H106)-MONTH($D$12))-IF(DAY(H106)&lt;DAY($D$12),1,0))/$D$11))+1))),$D$7))</f>
        <v/>
      </c>
      <c r="J106" s="11">
        <f>IF(H106="","",I106-H106)</f>
        <v/>
      </c>
      <c r="K106" s="12">
        <f>IF(H106="","",IF($D$18="LEGAL",H106,EDATE(H106,-$D$13)))</f>
        <v/>
      </c>
      <c r="L106" s="13">
        <f>IF(H106="","",IFERROR(INDEX('Tipos BdE'!$B$7:$M$336,MATCH(DATE(YEAR(K106),MONTH(K106),1),'Tipos BdE'!$A$7:$A$336,1),MATCH($D$9,'Tipos BdE'!$B$6:$M$6,0)),0))</f>
        <v/>
      </c>
      <c r="M106" s="13">
        <f>IF(H106="","",IF($D$18="LEGAL",0,$D$10))</f>
        <v/>
      </c>
      <c r="N106" s="13">
        <f>IF(H106="","",IF(AND($D$14="Sí",(L106+M106)&lt;0),0,L106+M106))</f>
        <v/>
      </c>
      <c r="O106" s="199">
        <f>IF(H106="","",$D$5*N106*J106/36500)</f>
        <v/>
      </c>
      <c r="P106" s="199">
        <f>IF(H106="","",$D$5+SUM($O$5:O106))</f>
        <v/>
      </c>
    </row>
    <row r="107">
      <c r="G107" s="11">
        <f>IF(H107="","",ROW()-4)</f>
        <v/>
      </c>
      <c r="H107" s="12">
        <f>IF(OR(I106="",I106&gt;=$D$7),"",I106)</f>
        <v/>
      </c>
      <c r="I107" s="12">
        <f>IF(H107="","",MIN(IF($D$18="LEGAL",DATE(YEAR(H107)+1,1,1),EDATE($D$12,$D$11*(INT((((YEAR(H107)-YEAR($D$12))*12+(MONTH(H107)-MONTH($D$12))-IF(DAY(H107)&lt;DAY($D$12),1,0))/$D$11))+1))),$D$7))</f>
        <v/>
      </c>
      <c r="J107" s="11">
        <f>IF(H107="","",I107-H107)</f>
        <v/>
      </c>
      <c r="K107" s="12">
        <f>IF(H107="","",IF($D$18="LEGAL",H107,EDATE(H107,-$D$13)))</f>
        <v/>
      </c>
      <c r="L107" s="13">
        <f>IF(H107="","",IFERROR(INDEX('Tipos BdE'!$B$7:$M$336,MATCH(DATE(YEAR(K107),MONTH(K107),1),'Tipos BdE'!$A$7:$A$336,1),MATCH($D$9,'Tipos BdE'!$B$6:$M$6,0)),0))</f>
        <v/>
      </c>
      <c r="M107" s="13">
        <f>IF(H107="","",IF($D$18="LEGAL",0,$D$10))</f>
        <v/>
      </c>
      <c r="N107" s="13">
        <f>IF(H107="","",IF(AND($D$14="Sí",(L107+M107)&lt;0),0,L107+M107))</f>
        <v/>
      </c>
      <c r="O107" s="199">
        <f>IF(H107="","",$D$5*N107*J107/36500)</f>
        <v/>
      </c>
      <c r="P107" s="199">
        <f>IF(H107="","",$D$5+SUM($O$5:O107))</f>
        <v/>
      </c>
    </row>
    <row r="108">
      <c r="G108" s="11">
        <f>IF(H108="","",ROW()-4)</f>
        <v/>
      </c>
      <c r="H108" s="12">
        <f>IF(OR(I107="",I107&gt;=$D$7),"",I107)</f>
        <v/>
      </c>
      <c r="I108" s="12">
        <f>IF(H108="","",MIN(IF($D$18="LEGAL",DATE(YEAR(H108)+1,1,1),EDATE($D$12,$D$11*(INT((((YEAR(H108)-YEAR($D$12))*12+(MONTH(H108)-MONTH($D$12))-IF(DAY(H108)&lt;DAY($D$12),1,0))/$D$11))+1))),$D$7))</f>
        <v/>
      </c>
      <c r="J108" s="11">
        <f>IF(H108="","",I108-H108)</f>
        <v/>
      </c>
      <c r="K108" s="12">
        <f>IF(H108="","",IF($D$18="LEGAL",H108,EDATE(H108,-$D$13)))</f>
        <v/>
      </c>
      <c r="L108" s="13">
        <f>IF(H108="","",IFERROR(INDEX('Tipos BdE'!$B$7:$M$336,MATCH(DATE(YEAR(K108),MONTH(K108),1),'Tipos BdE'!$A$7:$A$336,1),MATCH($D$9,'Tipos BdE'!$B$6:$M$6,0)),0))</f>
        <v/>
      </c>
      <c r="M108" s="13">
        <f>IF(H108="","",IF($D$18="LEGAL",0,$D$10))</f>
        <v/>
      </c>
      <c r="N108" s="13">
        <f>IF(H108="","",IF(AND($D$14="Sí",(L108+M108)&lt;0),0,L108+M108))</f>
        <v/>
      </c>
      <c r="O108" s="199">
        <f>IF(H108="","",$D$5*N108*J108/36500)</f>
        <v/>
      </c>
      <c r="P108" s="199">
        <f>IF(H108="","",$D$5+SUM($O$5:O108))</f>
        <v/>
      </c>
    </row>
    <row r="109">
      <c r="G109" s="11">
        <f>IF(H109="","",ROW()-4)</f>
        <v/>
      </c>
      <c r="H109" s="12">
        <f>IF(OR(I108="",I108&gt;=$D$7),"",I108)</f>
        <v/>
      </c>
      <c r="I109" s="12">
        <f>IF(H109="","",MIN(IF($D$18="LEGAL",DATE(YEAR(H109)+1,1,1),EDATE($D$12,$D$11*(INT((((YEAR(H109)-YEAR($D$12))*12+(MONTH(H109)-MONTH($D$12))-IF(DAY(H109)&lt;DAY($D$12),1,0))/$D$11))+1))),$D$7))</f>
        <v/>
      </c>
      <c r="J109" s="11">
        <f>IF(H109="","",I109-H109)</f>
        <v/>
      </c>
      <c r="K109" s="12">
        <f>IF(H109="","",IF($D$18="LEGAL",H109,EDATE(H109,-$D$13)))</f>
        <v/>
      </c>
      <c r="L109" s="13">
        <f>IF(H109="","",IFERROR(INDEX('Tipos BdE'!$B$7:$M$336,MATCH(DATE(YEAR(K109),MONTH(K109),1),'Tipos BdE'!$A$7:$A$336,1),MATCH($D$9,'Tipos BdE'!$B$6:$M$6,0)),0))</f>
        <v/>
      </c>
      <c r="M109" s="13">
        <f>IF(H109="","",IF($D$18="LEGAL",0,$D$10))</f>
        <v/>
      </c>
      <c r="N109" s="13">
        <f>IF(H109="","",IF(AND($D$14="Sí",(L109+M109)&lt;0),0,L109+M109))</f>
        <v/>
      </c>
      <c r="O109" s="199">
        <f>IF(H109="","",$D$5*N109*J109/36500)</f>
        <v/>
      </c>
      <c r="P109" s="199">
        <f>IF(H109="","",$D$5+SUM($O$5:O109))</f>
        <v/>
      </c>
    </row>
    <row r="110">
      <c r="G110" s="11">
        <f>IF(H110="","",ROW()-4)</f>
        <v/>
      </c>
      <c r="H110" s="12">
        <f>IF(OR(I109="",I109&gt;=$D$7),"",I109)</f>
        <v/>
      </c>
      <c r="I110" s="12">
        <f>IF(H110="","",MIN(IF($D$18="LEGAL",DATE(YEAR(H110)+1,1,1),EDATE($D$12,$D$11*(INT((((YEAR(H110)-YEAR($D$12))*12+(MONTH(H110)-MONTH($D$12))-IF(DAY(H110)&lt;DAY($D$12),1,0))/$D$11))+1))),$D$7))</f>
        <v/>
      </c>
      <c r="J110" s="11">
        <f>IF(H110="","",I110-H110)</f>
        <v/>
      </c>
      <c r="K110" s="12">
        <f>IF(H110="","",IF($D$18="LEGAL",H110,EDATE(H110,-$D$13)))</f>
        <v/>
      </c>
      <c r="L110" s="13">
        <f>IF(H110="","",IFERROR(INDEX('Tipos BdE'!$B$7:$M$336,MATCH(DATE(YEAR(K110),MONTH(K110),1),'Tipos BdE'!$A$7:$A$336,1),MATCH($D$9,'Tipos BdE'!$B$6:$M$6,0)),0))</f>
        <v/>
      </c>
      <c r="M110" s="13">
        <f>IF(H110="","",IF($D$18="LEGAL",0,$D$10))</f>
        <v/>
      </c>
      <c r="N110" s="13">
        <f>IF(H110="","",IF(AND($D$14="Sí",(L110+M110)&lt;0),0,L110+M110))</f>
        <v/>
      </c>
      <c r="O110" s="199">
        <f>IF(H110="","",$D$5*N110*J110/36500)</f>
        <v/>
      </c>
      <c r="P110" s="199">
        <f>IF(H110="","",$D$5+SUM($O$5:O110))</f>
        <v/>
      </c>
    </row>
    <row r="111">
      <c r="G111" s="11">
        <f>IF(H111="","",ROW()-4)</f>
        <v/>
      </c>
      <c r="H111" s="12">
        <f>IF(OR(I110="",I110&gt;=$D$7),"",I110)</f>
        <v/>
      </c>
      <c r="I111" s="12">
        <f>IF(H111="","",MIN(IF($D$18="LEGAL",DATE(YEAR(H111)+1,1,1),EDATE($D$12,$D$11*(INT((((YEAR(H111)-YEAR($D$12))*12+(MONTH(H111)-MONTH($D$12))-IF(DAY(H111)&lt;DAY($D$12),1,0))/$D$11))+1))),$D$7))</f>
        <v/>
      </c>
      <c r="J111" s="11">
        <f>IF(H111="","",I111-H111)</f>
        <v/>
      </c>
      <c r="K111" s="12">
        <f>IF(H111="","",IF($D$18="LEGAL",H111,EDATE(H111,-$D$13)))</f>
        <v/>
      </c>
      <c r="L111" s="13">
        <f>IF(H111="","",IFERROR(INDEX('Tipos BdE'!$B$7:$M$336,MATCH(DATE(YEAR(K111),MONTH(K111),1),'Tipos BdE'!$A$7:$A$336,1),MATCH($D$9,'Tipos BdE'!$B$6:$M$6,0)),0))</f>
        <v/>
      </c>
      <c r="M111" s="13">
        <f>IF(H111="","",IF($D$18="LEGAL",0,$D$10))</f>
        <v/>
      </c>
      <c r="N111" s="13">
        <f>IF(H111="","",IF(AND($D$14="Sí",(L111+M111)&lt;0),0,L111+M111))</f>
        <v/>
      </c>
      <c r="O111" s="199">
        <f>IF(H111="","",$D$5*N111*J111/36500)</f>
        <v/>
      </c>
      <c r="P111" s="199">
        <f>IF(H111="","",$D$5+SUM($O$5:O111))</f>
        <v/>
      </c>
    </row>
    <row r="112">
      <c r="G112" s="11">
        <f>IF(H112="","",ROW()-4)</f>
        <v/>
      </c>
      <c r="H112" s="12">
        <f>IF(OR(I111="",I111&gt;=$D$7),"",I111)</f>
        <v/>
      </c>
      <c r="I112" s="12">
        <f>IF(H112="","",MIN(IF($D$18="LEGAL",DATE(YEAR(H112)+1,1,1),EDATE($D$12,$D$11*(INT((((YEAR(H112)-YEAR($D$12))*12+(MONTH(H112)-MONTH($D$12))-IF(DAY(H112)&lt;DAY($D$12),1,0))/$D$11))+1))),$D$7))</f>
        <v/>
      </c>
      <c r="J112" s="11">
        <f>IF(H112="","",I112-H112)</f>
        <v/>
      </c>
      <c r="K112" s="12">
        <f>IF(H112="","",IF($D$18="LEGAL",H112,EDATE(H112,-$D$13)))</f>
        <v/>
      </c>
      <c r="L112" s="13">
        <f>IF(H112="","",IFERROR(INDEX('Tipos BdE'!$B$7:$M$336,MATCH(DATE(YEAR(K112),MONTH(K112),1),'Tipos BdE'!$A$7:$A$336,1),MATCH($D$9,'Tipos BdE'!$B$6:$M$6,0)),0))</f>
        <v/>
      </c>
      <c r="M112" s="13">
        <f>IF(H112="","",IF($D$18="LEGAL",0,$D$10))</f>
        <v/>
      </c>
      <c r="N112" s="13">
        <f>IF(H112="","",IF(AND($D$14="Sí",(L112+M112)&lt;0),0,L112+M112))</f>
        <v/>
      </c>
      <c r="O112" s="199">
        <f>IF(H112="","",$D$5*N112*J112/36500)</f>
        <v/>
      </c>
      <c r="P112" s="199">
        <f>IF(H112="","",$D$5+SUM($O$5:O112))</f>
        <v/>
      </c>
    </row>
    <row r="113">
      <c r="G113" s="11">
        <f>IF(H113="","",ROW()-4)</f>
        <v/>
      </c>
      <c r="H113" s="12">
        <f>IF(OR(I112="",I112&gt;=$D$7),"",I112)</f>
        <v/>
      </c>
      <c r="I113" s="12">
        <f>IF(H113="","",MIN(IF($D$18="LEGAL",DATE(YEAR(H113)+1,1,1),EDATE($D$12,$D$11*(INT((((YEAR(H113)-YEAR($D$12))*12+(MONTH(H113)-MONTH($D$12))-IF(DAY(H113)&lt;DAY($D$12),1,0))/$D$11))+1))),$D$7))</f>
        <v/>
      </c>
      <c r="J113" s="11">
        <f>IF(H113="","",I113-H113)</f>
        <v/>
      </c>
      <c r="K113" s="12">
        <f>IF(H113="","",IF($D$18="LEGAL",H113,EDATE(H113,-$D$13)))</f>
        <v/>
      </c>
      <c r="L113" s="13">
        <f>IF(H113="","",IFERROR(INDEX('Tipos BdE'!$B$7:$M$336,MATCH(DATE(YEAR(K113),MONTH(K113),1),'Tipos BdE'!$A$7:$A$336,1),MATCH($D$9,'Tipos BdE'!$B$6:$M$6,0)),0))</f>
        <v/>
      </c>
      <c r="M113" s="13">
        <f>IF(H113="","",IF($D$18="LEGAL",0,$D$10))</f>
        <v/>
      </c>
      <c r="N113" s="13">
        <f>IF(H113="","",IF(AND($D$14="Sí",(L113+M113)&lt;0),0,L113+M113))</f>
        <v/>
      </c>
      <c r="O113" s="199">
        <f>IF(H113="","",$D$5*N113*J113/36500)</f>
        <v/>
      </c>
      <c r="P113" s="199">
        <f>IF(H113="","",$D$5+SUM($O$5:O113))</f>
        <v/>
      </c>
    </row>
    <row r="114">
      <c r="G114" s="11">
        <f>IF(H114="","",ROW()-4)</f>
        <v/>
      </c>
      <c r="H114" s="12">
        <f>IF(OR(I113="",I113&gt;=$D$7),"",I113)</f>
        <v/>
      </c>
      <c r="I114" s="12">
        <f>IF(H114="","",MIN(IF($D$18="LEGAL",DATE(YEAR(H114)+1,1,1),EDATE($D$12,$D$11*(INT((((YEAR(H114)-YEAR($D$12))*12+(MONTH(H114)-MONTH($D$12))-IF(DAY(H114)&lt;DAY($D$12),1,0))/$D$11))+1))),$D$7))</f>
        <v/>
      </c>
      <c r="J114" s="11">
        <f>IF(H114="","",I114-H114)</f>
        <v/>
      </c>
      <c r="K114" s="12">
        <f>IF(H114="","",IF($D$18="LEGAL",H114,EDATE(H114,-$D$13)))</f>
        <v/>
      </c>
      <c r="L114" s="13">
        <f>IF(H114="","",IFERROR(INDEX('Tipos BdE'!$B$7:$M$336,MATCH(DATE(YEAR(K114),MONTH(K114),1),'Tipos BdE'!$A$7:$A$336,1),MATCH($D$9,'Tipos BdE'!$B$6:$M$6,0)),0))</f>
        <v/>
      </c>
      <c r="M114" s="13">
        <f>IF(H114="","",IF($D$18="LEGAL",0,$D$10))</f>
        <v/>
      </c>
      <c r="N114" s="13">
        <f>IF(H114="","",IF(AND($D$14="Sí",(L114+M114)&lt;0),0,L114+M114))</f>
        <v/>
      </c>
      <c r="O114" s="199">
        <f>IF(H114="","",$D$5*N114*J114/36500)</f>
        <v/>
      </c>
      <c r="P114" s="199">
        <f>IF(H114="","",$D$5+SUM($O$5:O114))</f>
        <v/>
      </c>
    </row>
    <row r="115">
      <c r="G115" s="11">
        <f>IF(H115="","",ROW()-4)</f>
        <v/>
      </c>
      <c r="H115" s="12">
        <f>IF(OR(I114="",I114&gt;=$D$7),"",I114)</f>
        <v/>
      </c>
      <c r="I115" s="12">
        <f>IF(H115="","",MIN(IF($D$18="LEGAL",DATE(YEAR(H115)+1,1,1),EDATE($D$12,$D$11*(INT((((YEAR(H115)-YEAR($D$12))*12+(MONTH(H115)-MONTH($D$12))-IF(DAY(H115)&lt;DAY($D$12),1,0))/$D$11))+1))),$D$7))</f>
        <v/>
      </c>
      <c r="J115" s="11">
        <f>IF(H115="","",I115-H115)</f>
        <v/>
      </c>
      <c r="K115" s="12">
        <f>IF(H115="","",IF($D$18="LEGAL",H115,EDATE(H115,-$D$13)))</f>
        <v/>
      </c>
      <c r="L115" s="13">
        <f>IF(H115="","",IFERROR(INDEX('Tipos BdE'!$B$7:$M$336,MATCH(DATE(YEAR(K115),MONTH(K115),1),'Tipos BdE'!$A$7:$A$336,1),MATCH($D$9,'Tipos BdE'!$B$6:$M$6,0)),0))</f>
        <v/>
      </c>
      <c r="M115" s="13">
        <f>IF(H115="","",IF($D$18="LEGAL",0,$D$10))</f>
        <v/>
      </c>
      <c r="N115" s="13">
        <f>IF(H115="","",IF(AND($D$14="Sí",(L115+M115)&lt;0),0,L115+M115))</f>
        <v/>
      </c>
      <c r="O115" s="199">
        <f>IF(H115="","",$D$5*N115*J115/36500)</f>
        <v/>
      </c>
      <c r="P115" s="199">
        <f>IF(H115="","",$D$5+SUM($O$5:O115))</f>
        <v/>
      </c>
    </row>
    <row r="116">
      <c r="G116" s="11">
        <f>IF(H116="","",ROW()-4)</f>
        <v/>
      </c>
      <c r="H116" s="12">
        <f>IF(OR(I115="",I115&gt;=$D$7),"",I115)</f>
        <v/>
      </c>
      <c r="I116" s="12">
        <f>IF(H116="","",MIN(IF($D$18="LEGAL",DATE(YEAR(H116)+1,1,1),EDATE($D$12,$D$11*(INT((((YEAR(H116)-YEAR($D$12))*12+(MONTH(H116)-MONTH($D$12))-IF(DAY(H116)&lt;DAY($D$12),1,0))/$D$11))+1))),$D$7))</f>
        <v/>
      </c>
      <c r="J116" s="11">
        <f>IF(H116="","",I116-H116)</f>
        <v/>
      </c>
      <c r="K116" s="12">
        <f>IF(H116="","",IF($D$18="LEGAL",H116,EDATE(H116,-$D$13)))</f>
        <v/>
      </c>
      <c r="L116" s="13">
        <f>IF(H116="","",IFERROR(INDEX('Tipos BdE'!$B$7:$M$336,MATCH(DATE(YEAR(K116),MONTH(K116),1),'Tipos BdE'!$A$7:$A$336,1),MATCH($D$9,'Tipos BdE'!$B$6:$M$6,0)),0))</f>
        <v/>
      </c>
      <c r="M116" s="13">
        <f>IF(H116="","",IF($D$18="LEGAL",0,$D$10))</f>
        <v/>
      </c>
      <c r="N116" s="13">
        <f>IF(H116="","",IF(AND($D$14="Sí",(L116+M116)&lt;0),0,L116+M116))</f>
        <v/>
      </c>
      <c r="O116" s="199">
        <f>IF(H116="","",$D$5*N116*J116/36500)</f>
        <v/>
      </c>
      <c r="P116" s="199">
        <f>IF(H116="","",$D$5+SUM($O$5:O116))</f>
        <v/>
      </c>
    </row>
    <row r="117">
      <c r="G117" s="11">
        <f>IF(H117="","",ROW()-4)</f>
        <v/>
      </c>
      <c r="H117" s="12">
        <f>IF(OR(I116="",I116&gt;=$D$7),"",I116)</f>
        <v/>
      </c>
      <c r="I117" s="12">
        <f>IF(H117="","",MIN(IF($D$18="LEGAL",DATE(YEAR(H117)+1,1,1),EDATE($D$12,$D$11*(INT((((YEAR(H117)-YEAR($D$12))*12+(MONTH(H117)-MONTH($D$12))-IF(DAY(H117)&lt;DAY($D$12),1,0))/$D$11))+1))),$D$7))</f>
        <v/>
      </c>
      <c r="J117" s="11">
        <f>IF(H117="","",I117-H117)</f>
        <v/>
      </c>
      <c r="K117" s="12">
        <f>IF(H117="","",IF($D$18="LEGAL",H117,EDATE(H117,-$D$13)))</f>
        <v/>
      </c>
      <c r="L117" s="13">
        <f>IF(H117="","",IFERROR(INDEX('Tipos BdE'!$B$7:$M$336,MATCH(DATE(YEAR(K117),MONTH(K117),1),'Tipos BdE'!$A$7:$A$336,1),MATCH($D$9,'Tipos BdE'!$B$6:$M$6,0)),0))</f>
        <v/>
      </c>
      <c r="M117" s="13">
        <f>IF(H117="","",IF($D$18="LEGAL",0,$D$10))</f>
        <v/>
      </c>
      <c r="N117" s="13">
        <f>IF(H117="","",IF(AND($D$14="Sí",(L117+M117)&lt;0),0,L117+M117))</f>
        <v/>
      </c>
      <c r="O117" s="199">
        <f>IF(H117="","",$D$5*N117*J117/36500)</f>
        <v/>
      </c>
      <c r="P117" s="199">
        <f>IF(H117="","",$D$5+SUM($O$5:O117))</f>
        <v/>
      </c>
    </row>
    <row r="118">
      <c r="G118" s="11">
        <f>IF(H118="","",ROW()-4)</f>
        <v/>
      </c>
      <c r="H118" s="12">
        <f>IF(OR(I117="",I117&gt;=$D$7),"",I117)</f>
        <v/>
      </c>
      <c r="I118" s="12">
        <f>IF(H118="","",MIN(IF($D$18="LEGAL",DATE(YEAR(H118)+1,1,1),EDATE($D$12,$D$11*(INT((((YEAR(H118)-YEAR($D$12))*12+(MONTH(H118)-MONTH($D$12))-IF(DAY(H118)&lt;DAY($D$12),1,0))/$D$11))+1))),$D$7))</f>
        <v/>
      </c>
      <c r="J118" s="11">
        <f>IF(H118="","",I118-H118)</f>
        <v/>
      </c>
      <c r="K118" s="12">
        <f>IF(H118="","",IF($D$18="LEGAL",H118,EDATE(H118,-$D$13)))</f>
        <v/>
      </c>
      <c r="L118" s="13">
        <f>IF(H118="","",IFERROR(INDEX('Tipos BdE'!$B$7:$M$336,MATCH(DATE(YEAR(K118),MONTH(K118),1),'Tipos BdE'!$A$7:$A$336,1),MATCH($D$9,'Tipos BdE'!$B$6:$M$6,0)),0))</f>
        <v/>
      </c>
      <c r="M118" s="13">
        <f>IF(H118="","",IF($D$18="LEGAL",0,$D$10))</f>
        <v/>
      </c>
      <c r="N118" s="13">
        <f>IF(H118="","",IF(AND($D$14="Sí",(L118+M118)&lt;0),0,L118+M118))</f>
        <v/>
      </c>
      <c r="O118" s="199">
        <f>IF(H118="","",$D$5*N118*J118/36500)</f>
        <v/>
      </c>
      <c r="P118" s="199">
        <f>IF(H118="","",$D$5+SUM($O$5:O118))</f>
        <v/>
      </c>
    </row>
    <row r="119">
      <c r="G119" s="11">
        <f>IF(H119="","",ROW()-4)</f>
        <v/>
      </c>
      <c r="H119" s="12">
        <f>IF(OR(I118="",I118&gt;=$D$7),"",I118)</f>
        <v/>
      </c>
      <c r="I119" s="12">
        <f>IF(H119="","",MIN(IF($D$18="LEGAL",DATE(YEAR(H119)+1,1,1),EDATE($D$12,$D$11*(INT((((YEAR(H119)-YEAR($D$12))*12+(MONTH(H119)-MONTH($D$12))-IF(DAY(H119)&lt;DAY($D$12),1,0))/$D$11))+1))),$D$7))</f>
        <v/>
      </c>
      <c r="J119" s="11">
        <f>IF(H119="","",I119-H119)</f>
        <v/>
      </c>
      <c r="K119" s="12">
        <f>IF(H119="","",IF($D$18="LEGAL",H119,EDATE(H119,-$D$13)))</f>
        <v/>
      </c>
      <c r="L119" s="13">
        <f>IF(H119="","",IFERROR(INDEX('Tipos BdE'!$B$7:$M$336,MATCH(DATE(YEAR(K119),MONTH(K119),1),'Tipos BdE'!$A$7:$A$336,1),MATCH($D$9,'Tipos BdE'!$B$6:$M$6,0)),0))</f>
        <v/>
      </c>
      <c r="M119" s="13">
        <f>IF(H119="","",IF($D$18="LEGAL",0,$D$10))</f>
        <v/>
      </c>
      <c r="N119" s="13">
        <f>IF(H119="","",IF(AND($D$14="Sí",(L119+M119)&lt;0),0,L119+M119))</f>
        <v/>
      </c>
      <c r="O119" s="199">
        <f>IF(H119="","",$D$5*N119*J119/36500)</f>
        <v/>
      </c>
      <c r="P119" s="199">
        <f>IF(H119="","",$D$5+SUM($O$5:O119))</f>
        <v/>
      </c>
    </row>
    <row r="120">
      <c r="G120" s="11">
        <f>IF(H120="","",ROW()-4)</f>
        <v/>
      </c>
      <c r="H120" s="12">
        <f>IF(OR(I119="",I119&gt;=$D$7),"",I119)</f>
        <v/>
      </c>
      <c r="I120" s="12">
        <f>IF(H120="","",MIN(IF($D$18="LEGAL",DATE(YEAR(H120)+1,1,1),EDATE($D$12,$D$11*(INT((((YEAR(H120)-YEAR($D$12))*12+(MONTH(H120)-MONTH($D$12))-IF(DAY(H120)&lt;DAY($D$12),1,0))/$D$11))+1))),$D$7))</f>
        <v/>
      </c>
      <c r="J120" s="11">
        <f>IF(H120="","",I120-H120)</f>
        <v/>
      </c>
      <c r="K120" s="12">
        <f>IF(H120="","",IF($D$18="LEGAL",H120,EDATE(H120,-$D$13)))</f>
        <v/>
      </c>
      <c r="L120" s="13">
        <f>IF(H120="","",IFERROR(INDEX('Tipos BdE'!$B$7:$M$336,MATCH(DATE(YEAR(K120),MONTH(K120),1),'Tipos BdE'!$A$7:$A$336,1),MATCH($D$9,'Tipos BdE'!$B$6:$M$6,0)),0))</f>
        <v/>
      </c>
      <c r="M120" s="13">
        <f>IF(H120="","",IF($D$18="LEGAL",0,$D$10))</f>
        <v/>
      </c>
      <c r="N120" s="13">
        <f>IF(H120="","",IF(AND($D$14="Sí",(L120+M120)&lt;0),0,L120+M120))</f>
        <v/>
      </c>
      <c r="O120" s="199">
        <f>IF(H120="","",$D$5*N120*J120/36500)</f>
        <v/>
      </c>
      <c r="P120" s="199">
        <f>IF(H120="","",$D$5+SUM($O$5:O120))</f>
        <v/>
      </c>
    </row>
    <row r="121">
      <c r="G121" s="11">
        <f>IF(H121="","",ROW()-4)</f>
        <v/>
      </c>
      <c r="H121" s="12">
        <f>IF(OR(I120="",I120&gt;=$D$7),"",I120)</f>
        <v/>
      </c>
      <c r="I121" s="12">
        <f>IF(H121="","",MIN(IF($D$18="LEGAL",DATE(YEAR(H121)+1,1,1),EDATE($D$12,$D$11*(INT((((YEAR(H121)-YEAR($D$12))*12+(MONTH(H121)-MONTH($D$12))-IF(DAY(H121)&lt;DAY($D$12),1,0))/$D$11))+1))),$D$7))</f>
        <v/>
      </c>
      <c r="J121" s="11">
        <f>IF(H121="","",I121-H121)</f>
        <v/>
      </c>
      <c r="K121" s="12">
        <f>IF(H121="","",IF($D$18="LEGAL",H121,EDATE(H121,-$D$13)))</f>
        <v/>
      </c>
      <c r="L121" s="13">
        <f>IF(H121="","",IFERROR(INDEX('Tipos BdE'!$B$7:$M$336,MATCH(DATE(YEAR(K121),MONTH(K121),1),'Tipos BdE'!$A$7:$A$336,1),MATCH($D$9,'Tipos BdE'!$B$6:$M$6,0)),0))</f>
        <v/>
      </c>
      <c r="M121" s="13">
        <f>IF(H121="","",IF($D$18="LEGAL",0,$D$10))</f>
        <v/>
      </c>
      <c r="N121" s="13">
        <f>IF(H121="","",IF(AND($D$14="Sí",(L121+M121)&lt;0),0,L121+M121))</f>
        <v/>
      </c>
      <c r="O121" s="199">
        <f>IF(H121="","",$D$5*N121*J121/36500)</f>
        <v/>
      </c>
      <c r="P121" s="199">
        <f>IF(H121="","",$D$5+SUM($O$5:O121))</f>
        <v/>
      </c>
    </row>
    <row r="122">
      <c r="G122" s="11">
        <f>IF(H122="","",ROW()-4)</f>
        <v/>
      </c>
      <c r="H122" s="12">
        <f>IF(OR(I121="",I121&gt;=$D$7),"",I121)</f>
        <v/>
      </c>
      <c r="I122" s="12">
        <f>IF(H122="","",MIN(IF($D$18="LEGAL",DATE(YEAR(H122)+1,1,1),EDATE($D$12,$D$11*(INT((((YEAR(H122)-YEAR($D$12))*12+(MONTH(H122)-MONTH($D$12))-IF(DAY(H122)&lt;DAY($D$12),1,0))/$D$11))+1))),$D$7))</f>
        <v/>
      </c>
      <c r="J122" s="11">
        <f>IF(H122="","",I122-H122)</f>
        <v/>
      </c>
      <c r="K122" s="12">
        <f>IF(H122="","",IF($D$18="LEGAL",H122,EDATE(H122,-$D$13)))</f>
        <v/>
      </c>
      <c r="L122" s="13">
        <f>IF(H122="","",IFERROR(INDEX('Tipos BdE'!$B$7:$M$336,MATCH(DATE(YEAR(K122),MONTH(K122),1),'Tipos BdE'!$A$7:$A$336,1),MATCH($D$9,'Tipos BdE'!$B$6:$M$6,0)),0))</f>
        <v/>
      </c>
      <c r="M122" s="13">
        <f>IF(H122="","",IF($D$18="LEGAL",0,$D$10))</f>
        <v/>
      </c>
      <c r="N122" s="13">
        <f>IF(H122="","",IF(AND($D$14="Sí",(L122+M122)&lt;0),0,L122+M122))</f>
        <v/>
      </c>
      <c r="O122" s="199">
        <f>IF(H122="","",$D$5*N122*J122/36500)</f>
        <v/>
      </c>
      <c r="P122" s="199">
        <f>IF(H122="","",$D$5+SUM($O$5:O122))</f>
        <v/>
      </c>
    </row>
    <row r="123">
      <c r="G123" s="11">
        <f>IF(H123="","",ROW()-4)</f>
        <v/>
      </c>
      <c r="H123" s="12">
        <f>IF(OR(I122="",I122&gt;=$D$7),"",I122)</f>
        <v/>
      </c>
      <c r="I123" s="12">
        <f>IF(H123="","",MIN(IF($D$18="LEGAL",DATE(YEAR(H123)+1,1,1),EDATE($D$12,$D$11*(INT((((YEAR(H123)-YEAR($D$12))*12+(MONTH(H123)-MONTH($D$12))-IF(DAY(H123)&lt;DAY($D$12),1,0))/$D$11))+1))),$D$7))</f>
        <v/>
      </c>
      <c r="J123" s="11">
        <f>IF(H123="","",I123-H123)</f>
        <v/>
      </c>
      <c r="K123" s="12">
        <f>IF(H123="","",IF($D$18="LEGAL",H123,EDATE(H123,-$D$13)))</f>
        <v/>
      </c>
      <c r="L123" s="13">
        <f>IF(H123="","",IFERROR(INDEX('Tipos BdE'!$B$7:$M$336,MATCH(DATE(YEAR(K123),MONTH(K123),1),'Tipos BdE'!$A$7:$A$336,1),MATCH($D$9,'Tipos BdE'!$B$6:$M$6,0)),0))</f>
        <v/>
      </c>
      <c r="M123" s="13">
        <f>IF(H123="","",IF($D$18="LEGAL",0,$D$10))</f>
        <v/>
      </c>
      <c r="N123" s="13">
        <f>IF(H123="","",IF(AND($D$14="Sí",(L123+M123)&lt;0),0,L123+M123))</f>
        <v/>
      </c>
      <c r="O123" s="199">
        <f>IF(H123="","",$D$5*N123*J123/36500)</f>
        <v/>
      </c>
      <c r="P123" s="199">
        <f>IF(H123="","",$D$5+SUM($O$5:O123))</f>
        <v/>
      </c>
    </row>
    <row r="124">
      <c r="G124" s="11">
        <f>IF(H124="","",ROW()-4)</f>
        <v/>
      </c>
      <c r="H124" s="12">
        <f>IF(OR(I123="",I123&gt;=$D$7),"",I123)</f>
        <v/>
      </c>
      <c r="I124" s="12">
        <f>IF(H124="","",MIN(IF($D$18="LEGAL",DATE(YEAR(H124)+1,1,1),EDATE($D$12,$D$11*(INT((((YEAR(H124)-YEAR($D$12))*12+(MONTH(H124)-MONTH($D$12))-IF(DAY(H124)&lt;DAY($D$12),1,0))/$D$11))+1))),$D$7))</f>
        <v/>
      </c>
      <c r="J124" s="11">
        <f>IF(H124="","",I124-H124)</f>
        <v/>
      </c>
      <c r="K124" s="12">
        <f>IF(H124="","",IF($D$18="LEGAL",H124,EDATE(H124,-$D$13)))</f>
        <v/>
      </c>
      <c r="L124" s="13">
        <f>IF(H124="","",IFERROR(INDEX('Tipos BdE'!$B$7:$M$336,MATCH(DATE(YEAR(K124),MONTH(K124),1),'Tipos BdE'!$A$7:$A$336,1),MATCH($D$9,'Tipos BdE'!$B$6:$M$6,0)),0))</f>
        <v/>
      </c>
      <c r="M124" s="13">
        <f>IF(H124="","",IF($D$18="LEGAL",0,$D$10))</f>
        <v/>
      </c>
      <c r="N124" s="13">
        <f>IF(H124="","",IF(AND($D$14="Sí",(L124+M124)&lt;0),0,L124+M124))</f>
        <v/>
      </c>
      <c r="O124" s="199">
        <f>IF(H124="","",$D$5*N124*J124/36500)</f>
        <v/>
      </c>
      <c r="P124" s="199">
        <f>IF(H124="","",$D$5+SUM($O$5:O124))</f>
        <v/>
      </c>
    </row>
    <row r="125">
      <c r="G125" s="11">
        <f>IF(H125="","",ROW()-4)</f>
        <v/>
      </c>
      <c r="H125" s="12">
        <f>IF(OR(I124="",I124&gt;=$D$7),"",I124)</f>
        <v/>
      </c>
      <c r="I125" s="12">
        <f>IF(H125="","",MIN(IF($D$18="LEGAL",DATE(YEAR(H125)+1,1,1),EDATE($D$12,$D$11*(INT((((YEAR(H125)-YEAR($D$12))*12+(MONTH(H125)-MONTH($D$12))-IF(DAY(H125)&lt;DAY($D$12),1,0))/$D$11))+1))),$D$7))</f>
        <v/>
      </c>
      <c r="J125" s="11">
        <f>IF(H125="","",I125-H125)</f>
        <v/>
      </c>
      <c r="K125" s="12">
        <f>IF(H125="","",IF($D$18="LEGAL",H125,EDATE(H125,-$D$13)))</f>
        <v/>
      </c>
      <c r="L125" s="13">
        <f>IF(H125="","",IFERROR(INDEX('Tipos BdE'!$B$7:$M$336,MATCH(DATE(YEAR(K125),MONTH(K125),1),'Tipos BdE'!$A$7:$A$336,1),MATCH($D$9,'Tipos BdE'!$B$6:$M$6,0)),0))</f>
        <v/>
      </c>
      <c r="M125" s="13">
        <f>IF(H125="","",IF($D$18="LEGAL",0,$D$10))</f>
        <v/>
      </c>
      <c r="N125" s="13">
        <f>IF(H125="","",IF(AND($D$14="Sí",(L125+M125)&lt;0),0,L125+M125))</f>
        <v/>
      </c>
      <c r="O125" s="199">
        <f>IF(H125="","",$D$5*N125*J125/36500)</f>
        <v/>
      </c>
      <c r="P125" s="199">
        <f>IF(H125="","",$D$5+SUM($O$5:O125))</f>
        <v/>
      </c>
    </row>
    <row r="126">
      <c r="G126" s="11">
        <f>IF(H126="","",ROW()-4)</f>
        <v/>
      </c>
      <c r="H126" s="12">
        <f>IF(OR(I125="",I125&gt;=$D$7),"",I125)</f>
        <v/>
      </c>
      <c r="I126" s="12">
        <f>IF(H126="","",MIN(IF($D$18="LEGAL",DATE(YEAR(H126)+1,1,1),EDATE($D$12,$D$11*(INT((((YEAR(H126)-YEAR($D$12))*12+(MONTH(H126)-MONTH($D$12))-IF(DAY(H126)&lt;DAY($D$12),1,0))/$D$11))+1))),$D$7))</f>
        <v/>
      </c>
      <c r="J126" s="11">
        <f>IF(H126="","",I126-H126)</f>
        <v/>
      </c>
      <c r="K126" s="12">
        <f>IF(H126="","",IF($D$18="LEGAL",H126,EDATE(H126,-$D$13)))</f>
        <v/>
      </c>
      <c r="L126" s="13">
        <f>IF(H126="","",IFERROR(INDEX('Tipos BdE'!$B$7:$M$336,MATCH(DATE(YEAR(K126),MONTH(K126),1),'Tipos BdE'!$A$7:$A$336,1),MATCH($D$9,'Tipos BdE'!$B$6:$M$6,0)),0))</f>
        <v/>
      </c>
      <c r="M126" s="13">
        <f>IF(H126="","",IF($D$18="LEGAL",0,$D$10))</f>
        <v/>
      </c>
      <c r="N126" s="13">
        <f>IF(H126="","",IF(AND($D$14="Sí",(L126+M126)&lt;0),0,L126+M126))</f>
        <v/>
      </c>
      <c r="O126" s="199">
        <f>IF(H126="","",$D$5*N126*J126/36500)</f>
        <v/>
      </c>
      <c r="P126" s="199">
        <f>IF(H126="","",$D$5+SUM($O$5:O126))</f>
        <v/>
      </c>
    </row>
    <row r="127">
      <c r="G127" s="11">
        <f>IF(H127="","",ROW()-4)</f>
        <v/>
      </c>
      <c r="H127" s="12">
        <f>IF(OR(I126="",I126&gt;=$D$7),"",I126)</f>
        <v/>
      </c>
      <c r="I127" s="12">
        <f>IF(H127="","",MIN(IF($D$18="LEGAL",DATE(YEAR(H127)+1,1,1),EDATE($D$12,$D$11*(INT((((YEAR(H127)-YEAR($D$12))*12+(MONTH(H127)-MONTH($D$12))-IF(DAY(H127)&lt;DAY($D$12),1,0))/$D$11))+1))),$D$7))</f>
        <v/>
      </c>
      <c r="J127" s="11">
        <f>IF(H127="","",I127-H127)</f>
        <v/>
      </c>
      <c r="K127" s="12">
        <f>IF(H127="","",IF($D$18="LEGAL",H127,EDATE(H127,-$D$13)))</f>
        <v/>
      </c>
      <c r="L127" s="13">
        <f>IF(H127="","",IFERROR(INDEX('Tipos BdE'!$B$7:$M$336,MATCH(DATE(YEAR(K127),MONTH(K127),1),'Tipos BdE'!$A$7:$A$336,1),MATCH($D$9,'Tipos BdE'!$B$6:$M$6,0)),0))</f>
        <v/>
      </c>
      <c r="M127" s="13">
        <f>IF(H127="","",IF($D$18="LEGAL",0,$D$10))</f>
        <v/>
      </c>
      <c r="N127" s="13">
        <f>IF(H127="","",IF(AND($D$14="Sí",(L127+M127)&lt;0),0,L127+M127))</f>
        <v/>
      </c>
      <c r="O127" s="199">
        <f>IF(H127="","",$D$5*N127*J127/36500)</f>
        <v/>
      </c>
      <c r="P127" s="199">
        <f>IF(H127="","",$D$5+SUM($O$5:O127))</f>
        <v/>
      </c>
    </row>
    <row r="128">
      <c r="G128" s="11">
        <f>IF(H128="","",ROW()-4)</f>
        <v/>
      </c>
      <c r="H128" s="12">
        <f>IF(OR(I127="",I127&gt;=$D$7),"",I127)</f>
        <v/>
      </c>
      <c r="I128" s="12">
        <f>IF(H128="","",MIN(IF($D$18="LEGAL",DATE(YEAR(H128)+1,1,1),EDATE($D$12,$D$11*(INT((((YEAR(H128)-YEAR($D$12))*12+(MONTH(H128)-MONTH($D$12))-IF(DAY(H128)&lt;DAY($D$12),1,0))/$D$11))+1))),$D$7))</f>
        <v/>
      </c>
      <c r="J128" s="11">
        <f>IF(H128="","",I128-H128)</f>
        <v/>
      </c>
      <c r="K128" s="12">
        <f>IF(H128="","",IF($D$18="LEGAL",H128,EDATE(H128,-$D$13)))</f>
        <v/>
      </c>
      <c r="L128" s="13">
        <f>IF(H128="","",IFERROR(INDEX('Tipos BdE'!$B$7:$M$336,MATCH(DATE(YEAR(K128),MONTH(K128),1),'Tipos BdE'!$A$7:$A$336,1),MATCH($D$9,'Tipos BdE'!$B$6:$M$6,0)),0))</f>
        <v/>
      </c>
      <c r="M128" s="13">
        <f>IF(H128="","",IF($D$18="LEGAL",0,$D$10))</f>
        <v/>
      </c>
      <c r="N128" s="13">
        <f>IF(H128="","",IF(AND($D$14="Sí",(L128+M128)&lt;0),0,L128+M128))</f>
        <v/>
      </c>
      <c r="O128" s="199">
        <f>IF(H128="","",$D$5*N128*J128/36500)</f>
        <v/>
      </c>
      <c r="P128" s="199">
        <f>IF(H128="","",$D$5+SUM($O$5:O128))</f>
        <v/>
      </c>
    </row>
    <row r="129">
      <c r="G129" s="11">
        <f>IF(H129="","",ROW()-4)</f>
        <v/>
      </c>
      <c r="H129" s="12">
        <f>IF(OR(I128="",I128&gt;=$D$7),"",I128)</f>
        <v/>
      </c>
      <c r="I129" s="12">
        <f>IF(H129="","",MIN(IF($D$18="LEGAL",DATE(YEAR(H129)+1,1,1),EDATE($D$12,$D$11*(INT((((YEAR(H129)-YEAR($D$12))*12+(MONTH(H129)-MONTH($D$12))-IF(DAY(H129)&lt;DAY($D$12),1,0))/$D$11))+1))),$D$7))</f>
        <v/>
      </c>
      <c r="J129" s="11">
        <f>IF(H129="","",I129-H129)</f>
        <v/>
      </c>
      <c r="K129" s="12">
        <f>IF(H129="","",IF($D$18="LEGAL",H129,EDATE(H129,-$D$13)))</f>
        <v/>
      </c>
      <c r="L129" s="13">
        <f>IF(H129="","",IFERROR(INDEX('Tipos BdE'!$B$7:$M$336,MATCH(DATE(YEAR(K129),MONTH(K129),1),'Tipos BdE'!$A$7:$A$336,1),MATCH($D$9,'Tipos BdE'!$B$6:$M$6,0)),0))</f>
        <v/>
      </c>
      <c r="M129" s="13">
        <f>IF(H129="","",IF($D$18="LEGAL",0,$D$10))</f>
        <v/>
      </c>
      <c r="N129" s="13">
        <f>IF(H129="","",IF(AND($D$14="Sí",(L129+M129)&lt;0),0,L129+M129))</f>
        <v/>
      </c>
      <c r="O129" s="199">
        <f>IF(H129="","",$D$5*N129*J129/36500)</f>
        <v/>
      </c>
      <c r="P129" s="199">
        <f>IF(H129="","",$D$5+SUM($O$5:O129))</f>
        <v/>
      </c>
    </row>
    <row r="130">
      <c r="G130" s="11">
        <f>IF(H130="","",ROW()-4)</f>
        <v/>
      </c>
      <c r="H130" s="12">
        <f>IF(OR(I129="",I129&gt;=$D$7),"",I129)</f>
        <v/>
      </c>
      <c r="I130" s="12">
        <f>IF(H130="","",MIN(IF($D$18="LEGAL",DATE(YEAR(H130)+1,1,1),EDATE($D$12,$D$11*(INT((((YEAR(H130)-YEAR($D$12))*12+(MONTH(H130)-MONTH($D$12))-IF(DAY(H130)&lt;DAY($D$12),1,0))/$D$11))+1))),$D$7))</f>
        <v/>
      </c>
      <c r="J130" s="11">
        <f>IF(H130="","",I130-H130)</f>
        <v/>
      </c>
      <c r="K130" s="12">
        <f>IF(H130="","",IF($D$18="LEGAL",H130,EDATE(H130,-$D$13)))</f>
        <v/>
      </c>
      <c r="L130" s="13">
        <f>IF(H130="","",IFERROR(INDEX('Tipos BdE'!$B$7:$M$336,MATCH(DATE(YEAR(K130),MONTH(K130),1),'Tipos BdE'!$A$7:$A$336,1),MATCH($D$9,'Tipos BdE'!$B$6:$M$6,0)),0))</f>
        <v/>
      </c>
      <c r="M130" s="13">
        <f>IF(H130="","",IF($D$18="LEGAL",0,$D$10))</f>
        <v/>
      </c>
      <c r="N130" s="13">
        <f>IF(H130="","",IF(AND($D$14="Sí",(L130+M130)&lt;0),0,L130+M130))</f>
        <v/>
      </c>
      <c r="O130" s="199">
        <f>IF(H130="","",$D$5*N130*J130/36500)</f>
        <v/>
      </c>
      <c r="P130" s="199">
        <f>IF(H130="","",$D$5+SUM($O$5:O130))</f>
        <v/>
      </c>
    </row>
    <row r="131">
      <c r="G131" s="11">
        <f>IF(H131="","",ROW()-4)</f>
        <v/>
      </c>
      <c r="H131" s="12">
        <f>IF(OR(I130="",I130&gt;=$D$7),"",I130)</f>
        <v/>
      </c>
      <c r="I131" s="12">
        <f>IF(H131="","",MIN(IF($D$18="LEGAL",DATE(YEAR(H131)+1,1,1),EDATE($D$12,$D$11*(INT((((YEAR(H131)-YEAR($D$12))*12+(MONTH(H131)-MONTH($D$12))-IF(DAY(H131)&lt;DAY($D$12),1,0))/$D$11))+1))),$D$7))</f>
        <v/>
      </c>
      <c r="J131" s="11">
        <f>IF(H131="","",I131-H131)</f>
        <v/>
      </c>
      <c r="K131" s="12">
        <f>IF(H131="","",IF($D$18="LEGAL",H131,EDATE(H131,-$D$13)))</f>
        <v/>
      </c>
      <c r="L131" s="13">
        <f>IF(H131="","",IFERROR(INDEX('Tipos BdE'!$B$7:$M$336,MATCH(DATE(YEAR(K131),MONTH(K131),1),'Tipos BdE'!$A$7:$A$336,1),MATCH($D$9,'Tipos BdE'!$B$6:$M$6,0)),0))</f>
        <v/>
      </c>
      <c r="M131" s="13">
        <f>IF(H131="","",IF($D$18="LEGAL",0,$D$10))</f>
        <v/>
      </c>
      <c r="N131" s="13">
        <f>IF(H131="","",IF(AND($D$14="Sí",(L131+M131)&lt;0),0,L131+M131))</f>
        <v/>
      </c>
      <c r="O131" s="199">
        <f>IF(H131="","",$D$5*N131*J131/36500)</f>
        <v/>
      </c>
      <c r="P131" s="199">
        <f>IF(H131="","",$D$5+SUM($O$5:O131))</f>
        <v/>
      </c>
    </row>
    <row r="132">
      <c r="G132" s="11">
        <f>IF(H132="","",ROW()-4)</f>
        <v/>
      </c>
      <c r="H132" s="12">
        <f>IF(OR(I131="",I131&gt;=$D$7),"",I131)</f>
        <v/>
      </c>
      <c r="I132" s="12">
        <f>IF(H132="","",MIN(IF($D$18="LEGAL",DATE(YEAR(H132)+1,1,1),EDATE($D$12,$D$11*(INT((((YEAR(H132)-YEAR($D$12))*12+(MONTH(H132)-MONTH($D$12))-IF(DAY(H132)&lt;DAY($D$12),1,0))/$D$11))+1))),$D$7))</f>
        <v/>
      </c>
      <c r="J132" s="11">
        <f>IF(H132="","",I132-H132)</f>
        <v/>
      </c>
      <c r="K132" s="12">
        <f>IF(H132="","",IF($D$18="LEGAL",H132,EDATE(H132,-$D$13)))</f>
        <v/>
      </c>
      <c r="L132" s="13">
        <f>IF(H132="","",IFERROR(INDEX('Tipos BdE'!$B$7:$M$336,MATCH(DATE(YEAR(K132),MONTH(K132),1),'Tipos BdE'!$A$7:$A$336,1),MATCH($D$9,'Tipos BdE'!$B$6:$M$6,0)),0))</f>
        <v/>
      </c>
      <c r="M132" s="13">
        <f>IF(H132="","",IF($D$18="LEGAL",0,$D$10))</f>
        <v/>
      </c>
      <c r="N132" s="13">
        <f>IF(H132="","",IF(AND($D$14="Sí",(L132+M132)&lt;0),0,L132+M132))</f>
        <v/>
      </c>
      <c r="O132" s="199">
        <f>IF(H132="","",$D$5*N132*J132/36500)</f>
        <v/>
      </c>
      <c r="P132" s="199">
        <f>IF(H132="","",$D$5+SUM($O$5:O132))</f>
        <v/>
      </c>
    </row>
    <row r="133">
      <c r="G133" s="11">
        <f>IF(H133="","",ROW()-4)</f>
        <v/>
      </c>
      <c r="H133" s="12">
        <f>IF(OR(I132="",I132&gt;=$D$7),"",I132)</f>
        <v/>
      </c>
      <c r="I133" s="12">
        <f>IF(H133="","",MIN(IF($D$18="LEGAL",DATE(YEAR(H133)+1,1,1),EDATE($D$12,$D$11*(INT((((YEAR(H133)-YEAR($D$12))*12+(MONTH(H133)-MONTH($D$12))-IF(DAY(H133)&lt;DAY($D$12),1,0))/$D$11))+1))),$D$7))</f>
        <v/>
      </c>
      <c r="J133" s="11">
        <f>IF(H133="","",I133-H133)</f>
        <v/>
      </c>
      <c r="K133" s="12">
        <f>IF(H133="","",IF($D$18="LEGAL",H133,EDATE(H133,-$D$13)))</f>
        <v/>
      </c>
      <c r="L133" s="13">
        <f>IF(H133="","",IFERROR(INDEX('Tipos BdE'!$B$7:$M$336,MATCH(DATE(YEAR(K133),MONTH(K133),1),'Tipos BdE'!$A$7:$A$336,1),MATCH($D$9,'Tipos BdE'!$B$6:$M$6,0)),0))</f>
        <v/>
      </c>
      <c r="M133" s="13">
        <f>IF(H133="","",IF($D$18="LEGAL",0,$D$10))</f>
        <v/>
      </c>
      <c r="N133" s="13">
        <f>IF(H133="","",IF(AND($D$14="Sí",(L133+M133)&lt;0),0,L133+M133))</f>
        <v/>
      </c>
      <c r="O133" s="199">
        <f>IF(H133="","",$D$5*N133*J133/36500)</f>
        <v/>
      </c>
      <c r="P133" s="199">
        <f>IF(H133="","",$D$5+SUM($O$5:O133))</f>
        <v/>
      </c>
    </row>
    <row r="134">
      <c r="G134" s="11">
        <f>IF(H134="","",ROW()-4)</f>
        <v/>
      </c>
      <c r="H134" s="12">
        <f>IF(OR(I133="",I133&gt;=$D$7),"",I133)</f>
        <v/>
      </c>
      <c r="I134" s="12">
        <f>IF(H134="","",MIN(IF($D$18="LEGAL",DATE(YEAR(H134)+1,1,1),EDATE($D$12,$D$11*(INT((((YEAR(H134)-YEAR($D$12))*12+(MONTH(H134)-MONTH($D$12))-IF(DAY(H134)&lt;DAY($D$12),1,0))/$D$11))+1))),$D$7))</f>
        <v/>
      </c>
      <c r="J134" s="11">
        <f>IF(H134="","",I134-H134)</f>
        <v/>
      </c>
      <c r="K134" s="12">
        <f>IF(H134="","",IF($D$18="LEGAL",H134,EDATE(H134,-$D$13)))</f>
        <v/>
      </c>
      <c r="L134" s="13">
        <f>IF(H134="","",IFERROR(INDEX('Tipos BdE'!$B$7:$M$336,MATCH(DATE(YEAR(K134),MONTH(K134),1),'Tipos BdE'!$A$7:$A$336,1),MATCH($D$9,'Tipos BdE'!$B$6:$M$6,0)),0))</f>
        <v/>
      </c>
      <c r="M134" s="13">
        <f>IF(H134="","",IF($D$18="LEGAL",0,$D$10))</f>
        <v/>
      </c>
      <c r="N134" s="13">
        <f>IF(H134="","",IF(AND($D$14="Sí",(L134+M134)&lt;0),0,L134+M134))</f>
        <v/>
      </c>
      <c r="O134" s="199">
        <f>IF(H134="","",$D$5*N134*J134/36500)</f>
        <v/>
      </c>
      <c r="P134" s="199">
        <f>IF(H134="","",$D$5+SUM($O$5:O134))</f>
        <v/>
      </c>
    </row>
    <row r="135">
      <c r="G135" s="11">
        <f>IF(H135="","",ROW()-4)</f>
        <v/>
      </c>
      <c r="H135" s="12">
        <f>IF(OR(I134="",I134&gt;=$D$7),"",I134)</f>
        <v/>
      </c>
      <c r="I135" s="12">
        <f>IF(H135="","",MIN(IF($D$18="LEGAL",DATE(YEAR(H135)+1,1,1),EDATE($D$12,$D$11*(INT((((YEAR(H135)-YEAR($D$12))*12+(MONTH(H135)-MONTH($D$12))-IF(DAY(H135)&lt;DAY($D$12),1,0))/$D$11))+1))),$D$7))</f>
        <v/>
      </c>
      <c r="J135" s="11">
        <f>IF(H135="","",I135-H135)</f>
        <v/>
      </c>
      <c r="K135" s="12">
        <f>IF(H135="","",IF($D$18="LEGAL",H135,EDATE(H135,-$D$13)))</f>
        <v/>
      </c>
      <c r="L135" s="13">
        <f>IF(H135="","",IFERROR(INDEX('Tipos BdE'!$B$7:$M$336,MATCH(DATE(YEAR(K135),MONTH(K135),1),'Tipos BdE'!$A$7:$A$336,1),MATCH($D$9,'Tipos BdE'!$B$6:$M$6,0)),0))</f>
        <v/>
      </c>
      <c r="M135" s="13">
        <f>IF(H135="","",IF($D$18="LEGAL",0,$D$10))</f>
        <v/>
      </c>
      <c r="N135" s="13">
        <f>IF(H135="","",IF(AND($D$14="Sí",(L135+M135)&lt;0),0,L135+M135))</f>
        <v/>
      </c>
      <c r="O135" s="199">
        <f>IF(H135="","",$D$5*N135*J135/36500)</f>
        <v/>
      </c>
      <c r="P135" s="199">
        <f>IF(H135="","",$D$5+SUM($O$5:O135))</f>
        <v/>
      </c>
    </row>
    <row r="136">
      <c r="G136" s="11">
        <f>IF(H136="","",ROW()-4)</f>
        <v/>
      </c>
      <c r="H136" s="12">
        <f>IF(OR(I135="",I135&gt;=$D$7),"",I135)</f>
        <v/>
      </c>
      <c r="I136" s="12">
        <f>IF(H136="","",MIN(IF($D$18="LEGAL",DATE(YEAR(H136)+1,1,1),EDATE($D$12,$D$11*(INT((((YEAR(H136)-YEAR($D$12))*12+(MONTH(H136)-MONTH($D$12))-IF(DAY(H136)&lt;DAY($D$12),1,0))/$D$11))+1))),$D$7))</f>
        <v/>
      </c>
      <c r="J136" s="11">
        <f>IF(H136="","",I136-H136)</f>
        <v/>
      </c>
      <c r="K136" s="12">
        <f>IF(H136="","",IF($D$18="LEGAL",H136,EDATE(H136,-$D$13)))</f>
        <v/>
      </c>
      <c r="L136" s="13">
        <f>IF(H136="","",IFERROR(INDEX('Tipos BdE'!$B$7:$M$336,MATCH(DATE(YEAR(K136),MONTH(K136),1),'Tipos BdE'!$A$7:$A$336,1),MATCH($D$9,'Tipos BdE'!$B$6:$M$6,0)),0))</f>
        <v/>
      </c>
      <c r="M136" s="13">
        <f>IF(H136="","",IF($D$18="LEGAL",0,$D$10))</f>
        <v/>
      </c>
      <c r="N136" s="13">
        <f>IF(H136="","",IF(AND($D$14="Sí",(L136+M136)&lt;0),0,L136+M136))</f>
        <v/>
      </c>
      <c r="O136" s="199">
        <f>IF(H136="","",$D$5*N136*J136/36500)</f>
        <v/>
      </c>
      <c r="P136" s="199">
        <f>IF(H136="","",$D$5+SUM($O$5:O136))</f>
        <v/>
      </c>
    </row>
    <row r="137">
      <c r="G137" s="11">
        <f>IF(H137="","",ROW()-4)</f>
        <v/>
      </c>
      <c r="H137" s="12">
        <f>IF(OR(I136="",I136&gt;=$D$7),"",I136)</f>
        <v/>
      </c>
      <c r="I137" s="12">
        <f>IF(H137="","",MIN(IF($D$18="LEGAL",DATE(YEAR(H137)+1,1,1),EDATE($D$12,$D$11*(INT((((YEAR(H137)-YEAR($D$12))*12+(MONTH(H137)-MONTH($D$12))-IF(DAY(H137)&lt;DAY($D$12),1,0))/$D$11))+1))),$D$7))</f>
        <v/>
      </c>
      <c r="J137" s="11">
        <f>IF(H137="","",I137-H137)</f>
        <v/>
      </c>
      <c r="K137" s="12">
        <f>IF(H137="","",IF($D$18="LEGAL",H137,EDATE(H137,-$D$13)))</f>
        <v/>
      </c>
      <c r="L137" s="13">
        <f>IF(H137="","",IFERROR(INDEX('Tipos BdE'!$B$7:$M$336,MATCH(DATE(YEAR(K137),MONTH(K137),1),'Tipos BdE'!$A$7:$A$336,1),MATCH($D$9,'Tipos BdE'!$B$6:$M$6,0)),0))</f>
        <v/>
      </c>
      <c r="M137" s="13">
        <f>IF(H137="","",IF($D$18="LEGAL",0,$D$10))</f>
        <v/>
      </c>
      <c r="N137" s="13">
        <f>IF(H137="","",IF(AND($D$14="Sí",(L137+M137)&lt;0),0,L137+M137))</f>
        <v/>
      </c>
      <c r="O137" s="199">
        <f>IF(H137="","",$D$5*N137*J137/36500)</f>
        <v/>
      </c>
      <c r="P137" s="199">
        <f>IF(H137="","",$D$5+SUM($O$5:O137))</f>
        <v/>
      </c>
    </row>
    <row r="138">
      <c r="G138" s="11">
        <f>IF(H138="","",ROW()-4)</f>
        <v/>
      </c>
      <c r="H138" s="12">
        <f>IF(OR(I137="",I137&gt;=$D$7),"",I137)</f>
        <v/>
      </c>
      <c r="I138" s="12">
        <f>IF(H138="","",MIN(IF($D$18="LEGAL",DATE(YEAR(H138)+1,1,1),EDATE($D$12,$D$11*(INT((((YEAR(H138)-YEAR($D$12))*12+(MONTH(H138)-MONTH($D$12))-IF(DAY(H138)&lt;DAY($D$12),1,0))/$D$11))+1))),$D$7))</f>
        <v/>
      </c>
      <c r="J138" s="11">
        <f>IF(H138="","",I138-H138)</f>
        <v/>
      </c>
      <c r="K138" s="12">
        <f>IF(H138="","",IF($D$18="LEGAL",H138,EDATE(H138,-$D$13)))</f>
        <v/>
      </c>
      <c r="L138" s="13">
        <f>IF(H138="","",IFERROR(INDEX('Tipos BdE'!$B$7:$M$336,MATCH(DATE(YEAR(K138),MONTH(K138),1),'Tipos BdE'!$A$7:$A$336,1),MATCH($D$9,'Tipos BdE'!$B$6:$M$6,0)),0))</f>
        <v/>
      </c>
      <c r="M138" s="13">
        <f>IF(H138="","",IF($D$18="LEGAL",0,$D$10))</f>
        <v/>
      </c>
      <c r="N138" s="13">
        <f>IF(H138="","",IF(AND($D$14="Sí",(L138+M138)&lt;0),0,L138+M138))</f>
        <v/>
      </c>
      <c r="O138" s="199">
        <f>IF(H138="","",$D$5*N138*J138/36500)</f>
        <v/>
      </c>
      <c r="P138" s="199">
        <f>IF(H138="","",$D$5+SUM($O$5:O138))</f>
        <v/>
      </c>
    </row>
    <row r="139">
      <c r="G139" s="11">
        <f>IF(H139="","",ROW()-4)</f>
        <v/>
      </c>
      <c r="H139" s="12">
        <f>IF(OR(I138="",I138&gt;=$D$7),"",I138)</f>
        <v/>
      </c>
      <c r="I139" s="12">
        <f>IF(H139="","",MIN(IF($D$18="LEGAL",DATE(YEAR(H139)+1,1,1),EDATE($D$12,$D$11*(INT((((YEAR(H139)-YEAR($D$12))*12+(MONTH(H139)-MONTH($D$12))-IF(DAY(H139)&lt;DAY($D$12),1,0))/$D$11))+1))),$D$7))</f>
        <v/>
      </c>
      <c r="J139" s="11">
        <f>IF(H139="","",I139-H139)</f>
        <v/>
      </c>
      <c r="K139" s="12">
        <f>IF(H139="","",IF($D$18="LEGAL",H139,EDATE(H139,-$D$13)))</f>
        <v/>
      </c>
      <c r="L139" s="13">
        <f>IF(H139="","",IFERROR(INDEX('Tipos BdE'!$B$7:$M$336,MATCH(DATE(YEAR(K139),MONTH(K139),1),'Tipos BdE'!$A$7:$A$336,1),MATCH($D$9,'Tipos BdE'!$B$6:$M$6,0)),0))</f>
        <v/>
      </c>
      <c r="M139" s="13">
        <f>IF(H139="","",IF($D$18="LEGAL",0,$D$10))</f>
        <v/>
      </c>
      <c r="N139" s="13">
        <f>IF(H139="","",IF(AND($D$14="Sí",(L139+M139)&lt;0),0,L139+M139))</f>
        <v/>
      </c>
      <c r="O139" s="199">
        <f>IF(H139="","",$D$5*N139*J139/36500)</f>
        <v/>
      </c>
      <c r="P139" s="199">
        <f>IF(H139="","",$D$5+SUM($O$5:O139))</f>
        <v/>
      </c>
    </row>
    <row r="140">
      <c r="G140" s="11">
        <f>IF(H140="","",ROW()-4)</f>
        <v/>
      </c>
      <c r="H140" s="12">
        <f>IF(OR(I139="",I139&gt;=$D$7),"",I139)</f>
        <v/>
      </c>
      <c r="I140" s="12">
        <f>IF(H140="","",MIN(IF($D$18="LEGAL",DATE(YEAR(H140)+1,1,1),EDATE($D$12,$D$11*(INT((((YEAR(H140)-YEAR($D$12))*12+(MONTH(H140)-MONTH($D$12))-IF(DAY(H140)&lt;DAY($D$12),1,0))/$D$11))+1))),$D$7))</f>
        <v/>
      </c>
      <c r="J140" s="11">
        <f>IF(H140="","",I140-H140)</f>
        <v/>
      </c>
      <c r="K140" s="12">
        <f>IF(H140="","",IF($D$18="LEGAL",H140,EDATE(H140,-$D$13)))</f>
        <v/>
      </c>
      <c r="L140" s="13">
        <f>IF(H140="","",IFERROR(INDEX('Tipos BdE'!$B$7:$M$336,MATCH(DATE(YEAR(K140),MONTH(K140),1),'Tipos BdE'!$A$7:$A$336,1),MATCH($D$9,'Tipos BdE'!$B$6:$M$6,0)),0))</f>
        <v/>
      </c>
      <c r="M140" s="13">
        <f>IF(H140="","",IF($D$18="LEGAL",0,$D$10))</f>
        <v/>
      </c>
      <c r="N140" s="13">
        <f>IF(H140="","",IF(AND($D$14="Sí",(L140+M140)&lt;0),0,L140+M140))</f>
        <v/>
      </c>
      <c r="O140" s="199">
        <f>IF(H140="","",$D$5*N140*J140/36500)</f>
        <v/>
      </c>
      <c r="P140" s="199">
        <f>IF(H140="","",$D$5+SUM($O$5:O140))</f>
        <v/>
      </c>
    </row>
    <row r="141">
      <c r="G141" s="11">
        <f>IF(H141="","",ROW()-4)</f>
        <v/>
      </c>
      <c r="H141" s="12">
        <f>IF(OR(I140="",I140&gt;=$D$7),"",I140)</f>
        <v/>
      </c>
      <c r="I141" s="12">
        <f>IF(H141="","",MIN(IF($D$18="LEGAL",DATE(YEAR(H141)+1,1,1),EDATE($D$12,$D$11*(INT((((YEAR(H141)-YEAR($D$12))*12+(MONTH(H141)-MONTH($D$12))-IF(DAY(H141)&lt;DAY($D$12),1,0))/$D$11))+1))),$D$7))</f>
        <v/>
      </c>
      <c r="J141" s="11">
        <f>IF(H141="","",I141-H141)</f>
        <v/>
      </c>
      <c r="K141" s="12">
        <f>IF(H141="","",IF($D$18="LEGAL",H141,EDATE(H141,-$D$13)))</f>
        <v/>
      </c>
      <c r="L141" s="13">
        <f>IF(H141="","",IFERROR(INDEX('Tipos BdE'!$B$7:$M$336,MATCH(DATE(YEAR(K141),MONTH(K141),1),'Tipos BdE'!$A$7:$A$336,1),MATCH($D$9,'Tipos BdE'!$B$6:$M$6,0)),0))</f>
        <v/>
      </c>
      <c r="M141" s="13">
        <f>IF(H141="","",IF($D$18="LEGAL",0,$D$10))</f>
        <v/>
      </c>
      <c r="N141" s="13">
        <f>IF(H141="","",IF(AND($D$14="Sí",(L141+M141)&lt;0),0,L141+M141))</f>
        <v/>
      </c>
      <c r="O141" s="199">
        <f>IF(H141="","",$D$5*N141*J141/36500)</f>
        <v/>
      </c>
      <c r="P141" s="199">
        <f>IF(H141="","",$D$5+SUM($O$5:O141))</f>
        <v/>
      </c>
    </row>
    <row r="142">
      <c r="G142" s="11">
        <f>IF(H142="","",ROW()-4)</f>
        <v/>
      </c>
      <c r="H142" s="12">
        <f>IF(OR(I141="",I141&gt;=$D$7),"",I141)</f>
        <v/>
      </c>
      <c r="I142" s="12">
        <f>IF(H142="","",MIN(IF($D$18="LEGAL",DATE(YEAR(H142)+1,1,1),EDATE($D$12,$D$11*(INT((((YEAR(H142)-YEAR($D$12))*12+(MONTH(H142)-MONTH($D$12))-IF(DAY(H142)&lt;DAY($D$12),1,0))/$D$11))+1))),$D$7))</f>
        <v/>
      </c>
      <c r="J142" s="11">
        <f>IF(H142="","",I142-H142)</f>
        <v/>
      </c>
      <c r="K142" s="12">
        <f>IF(H142="","",IF($D$18="LEGAL",H142,EDATE(H142,-$D$13)))</f>
        <v/>
      </c>
      <c r="L142" s="13">
        <f>IF(H142="","",IFERROR(INDEX('Tipos BdE'!$B$7:$M$336,MATCH(DATE(YEAR(K142),MONTH(K142),1),'Tipos BdE'!$A$7:$A$336,1),MATCH($D$9,'Tipos BdE'!$B$6:$M$6,0)),0))</f>
        <v/>
      </c>
      <c r="M142" s="13">
        <f>IF(H142="","",IF($D$18="LEGAL",0,$D$10))</f>
        <v/>
      </c>
      <c r="N142" s="13">
        <f>IF(H142="","",IF(AND($D$14="Sí",(L142+M142)&lt;0),0,L142+M142))</f>
        <v/>
      </c>
      <c r="O142" s="199">
        <f>IF(H142="","",$D$5*N142*J142/36500)</f>
        <v/>
      </c>
      <c r="P142" s="199">
        <f>IF(H142="","",$D$5+SUM($O$5:O142))</f>
        <v/>
      </c>
    </row>
    <row r="143">
      <c r="G143" s="11">
        <f>IF(H143="","",ROW()-4)</f>
        <v/>
      </c>
      <c r="H143" s="12">
        <f>IF(OR(I142="",I142&gt;=$D$7),"",I142)</f>
        <v/>
      </c>
      <c r="I143" s="12">
        <f>IF(H143="","",MIN(IF($D$18="LEGAL",DATE(YEAR(H143)+1,1,1),EDATE($D$12,$D$11*(INT((((YEAR(H143)-YEAR($D$12))*12+(MONTH(H143)-MONTH($D$12))-IF(DAY(H143)&lt;DAY($D$12),1,0))/$D$11))+1))),$D$7))</f>
        <v/>
      </c>
      <c r="J143" s="11">
        <f>IF(H143="","",I143-H143)</f>
        <v/>
      </c>
      <c r="K143" s="12">
        <f>IF(H143="","",IF($D$18="LEGAL",H143,EDATE(H143,-$D$13)))</f>
        <v/>
      </c>
      <c r="L143" s="13">
        <f>IF(H143="","",IFERROR(INDEX('Tipos BdE'!$B$7:$M$336,MATCH(DATE(YEAR(K143),MONTH(K143),1),'Tipos BdE'!$A$7:$A$336,1),MATCH($D$9,'Tipos BdE'!$B$6:$M$6,0)),0))</f>
        <v/>
      </c>
      <c r="M143" s="13">
        <f>IF(H143="","",IF($D$18="LEGAL",0,$D$10))</f>
        <v/>
      </c>
      <c r="N143" s="13">
        <f>IF(H143="","",IF(AND($D$14="Sí",(L143+M143)&lt;0),0,L143+M143))</f>
        <v/>
      </c>
      <c r="O143" s="199">
        <f>IF(H143="","",$D$5*N143*J143/36500)</f>
        <v/>
      </c>
      <c r="P143" s="199">
        <f>IF(H143="","",$D$5+SUM($O$5:O143))</f>
        <v/>
      </c>
    </row>
    <row r="144">
      <c r="G144" s="11">
        <f>IF(H144="","",ROW()-4)</f>
        <v/>
      </c>
      <c r="H144" s="12">
        <f>IF(OR(I143="",I143&gt;=$D$7),"",I143)</f>
        <v/>
      </c>
      <c r="I144" s="12">
        <f>IF(H144="","",MIN(IF($D$18="LEGAL",DATE(YEAR(H144)+1,1,1),EDATE($D$12,$D$11*(INT((((YEAR(H144)-YEAR($D$12))*12+(MONTH(H144)-MONTH($D$12))-IF(DAY(H144)&lt;DAY($D$12),1,0))/$D$11))+1))),$D$7))</f>
        <v/>
      </c>
      <c r="J144" s="11">
        <f>IF(H144="","",I144-H144)</f>
        <v/>
      </c>
      <c r="K144" s="12">
        <f>IF(H144="","",IF($D$18="LEGAL",H144,EDATE(H144,-$D$13)))</f>
        <v/>
      </c>
      <c r="L144" s="13">
        <f>IF(H144="","",IFERROR(INDEX('Tipos BdE'!$B$7:$M$336,MATCH(DATE(YEAR(K144),MONTH(K144),1),'Tipos BdE'!$A$7:$A$336,1),MATCH($D$9,'Tipos BdE'!$B$6:$M$6,0)),0))</f>
        <v/>
      </c>
      <c r="M144" s="13">
        <f>IF(H144="","",IF($D$18="LEGAL",0,$D$10))</f>
        <v/>
      </c>
      <c r="N144" s="13">
        <f>IF(H144="","",IF(AND($D$14="Sí",(L144+M144)&lt;0),0,L144+M144))</f>
        <v/>
      </c>
      <c r="O144" s="199">
        <f>IF(H144="","",$D$5*N144*J144/36500)</f>
        <v/>
      </c>
      <c r="P144" s="199">
        <f>IF(H144="","",$D$5+SUM($O$5:O144))</f>
        <v/>
      </c>
    </row>
    <row r="145">
      <c r="G145" s="11">
        <f>IF(H145="","",ROW()-4)</f>
        <v/>
      </c>
      <c r="H145" s="12">
        <f>IF(OR(I144="",I144&gt;=$D$7),"",I144)</f>
        <v/>
      </c>
      <c r="I145" s="12">
        <f>IF(H145="","",MIN(IF($D$18="LEGAL",DATE(YEAR(H145)+1,1,1),EDATE($D$12,$D$11*(INT((((YEAR(H145)-YEAR($D$12))*12+(MONTH(H145)-MONTH($D$12))-IF(DAY(H145)&lt;DAY($D$12),1,0))/$D$11))+1))),$D$7))</f>
        <v/>
      </c>
      <c r="J145" s="11">
        <f>IF(H145="","",I145-H145)</f>
        <v/>
      </c>
      <c r="K145" s="12">
        <f>IF(H145="","",IF($D$18="LEGAL",H145,EDATE(H145,-$D$13)))</f>
        <v/>
      </c>
      <c r="L145" s="13">
        <f>IF(H145="","",IFERROR(INDEX('Tipos BdE'!$B$7:$M$336,MATCH(DATE(YEAR(K145),MONTH(K145),1),'Tipos BdE'!$A$7:$A$336,1),MATCH($D$9,'Tipos BdE'!$B$6:$M$6,0)),0))</f>
        <v/>
      </c>
      <c r="M145" s="13">
        <f>IF(H145="","",IF($D$18="LEGAL",0,$D$10))</f>
        <v/>
      </c>
      <c r="N145" s="13">
        <f>IF(H145="","",IF(AND($D$14="Sí",(L145+M145)&lt;0),0,L145+M145))</f>
        <v/>
      </c>
      <c r="O145" s="199">
        <f>IF(H145="","",$D$5*N145*J145/36500)</f>
        <v/>
      </c>
      <c r="P145" s="199">
        <f>IF(H145="","",$D$5+SUM($O$5:O145))</f>
        <v/>
      </c>
    </row>
    <row r="146">
      <c r="G146" s="11">
        <f>IF(H146="","",ROW()-4)</f>
        <v/>
      </c>
      <c r="H146" s="12">
        <f>IF(OR(I145="",I145&gt;=$D$7),"",I145)</f>
        <v/>
      </c>
      <c r="I146" s="12">
        <f>IF(H146="","",MIN(IF($D$18="LEGAL",DATE(YEAR(H146)+1,1,1),EDATE($D$12,$D$11*(INT((((YEAR(H146)-YEAR($D$12))*12+(MONTH(H146)-MONTH($D$12))-IF(DAY(H146)&lt;DAY($D$12),1,0))/$D$11))+1))),$D$7))</f>
        <v/>
      </c>
      <c r="J146" s="11">
        <f>IF(H146="","",I146-H146)</f>
        <v/>
      </c>
      <c r="K146" s="12">
        <f>IF(H146="","",IF($D$18="LEGAL",H146,EDATE(H146,-$D$13)))</f>
        <v/>
      </c>
      <c r="L146" s="13">
        <f>IF(H146="","",IFERROR(INDEX('Tipos BdE'!$B$7:$M$336,MATCH(DATE(YEAR(K146),MONTH(K146),1),'Tipos BdE'!$A$7:$A$336,1),MATCH($D$9,'Tipos BdE'!$B$6:$M$6,0)),0))</f>
        <v/>
      </c>
      <c r="M146" s="13">
        <f>IF(H146="","",IF($D$18="LEGAL",0,$D$10))</f>
        <v/>
      </c>
      <c r="N146" s="13">
        <f>IF(H146="","",IF(AND($D$14="Sí",(L146+M146)&lt;0),0,L146+M146))</f>
        <v/>
      </c>
      <c r="O146" s="199">
        <f>IF(H146="","",$D$5*N146*J146/36500)</f>
        <v/>
      </c>
      <c r="P146" s="199">
        <f>IF(H146="","",$D$5+SUM($O$5:O146))</f>
        <v/>
      </c>
    </row>
    <row r="147">
      <c r="G147" s="11">
        <f>IF(H147="","",ROW()-4)</f>
        <v/>
      </c>
      <c r="H147" s="12">
        <f>IF(OR(I146="",I146&gt;=$D$7),"",I146)</f>
        <v/>
      </c>
      <c r="I147" s="12">
        <f>IF(H147="","",MIN(IF($D$18="LEGAL",DATE(YEAR(H147)+1,1,1),EDATE($D$12,$D$11*(INT((((YEAR(H147)-YEAR($D$12))*12+(MONTH(H147)-MONTH($D$12))-IF(DAY(H147)&lt;DAY($D$12),1,0))/$D$11))+1))),$D$7))</f>
        <v/>
      </c>
      <c r="J147" s="11">
        <f>IF(H147="","",I147-H147)</f>
        <v/>
      </c>
      <c r="K147" s="12">
        <f>IF(H147="","",IF($D$18="LEGAL",H147,EDATE(H147,-$D$13)))</f>
        <v/>
      </c>
      <c r="L147" s="13">
        <f>IF(H147="","",IFERROR(INDEX('Tipos BdE'!$B$7:$M$336,MATCH(DATE(YEAR(K147),MONTH(K147),1),'Tipos BdE'!$A$7:$A$336,1),MATCH($D$9,'Tipos BdE'!$B$6:$M$6,0)),0))</f>
        <v/>
      </c>
      <c r="M147" s="13">
        <f>IF(H147="","",IF($D$18="LEGAL",0,$D$10))</f>
        <v/>
      </c>
      <c r="N147" s="13">
        <f>IF(H147="","",IF(AND($D$14="Sí",(L147+M147)&lt;0),0,L147+M147))</f>
        <v/>
      </c>
      <c r="O147" s="199">
        <f>IF(H147="","",$D$5*N147*J147/36500)</f>
        <v/>
      </c>
      <c r="P147" s="199">
        <f>IF(H147="","",$D$5+SUM($O$5:O147))</f>
        <v/>
      </c>
    </row>
    <row r="148">
      <c r="G148" s="11">
        <f>IF(H148="","",ROW()-4)</f>
        <v/>
      </c>
      <c r="H148" s="12">
        <f>IF(OR(I147="",I147&gt;=$D$7),"",I147)</f>
        <v/>
      </c>
      <c r="I148" s="12">
        <f>IF(H148="","",MIN(IF($D$18="LEGAL",DATE(YEAR(H148)+1,1,1),EDATE($D$12,$D$11*(INT((((YEAR(H148)-YEAR($D$12))*12+(MONTH(H148)-MONTH($D$12))-IF(DAY(H148)&lt;DAY($D$12),1,0))/$D$11))+1))),$D$7))</f>
        <v/>
      </c>
      <c r="J148" s="11">
        <f>IF(H148="","",I148-H148)</f>
        <v/>
      </c>
      <c r="K148" s="12">
        <f>IF(H148="","",IF($D$18="LEGAL",H148,EDATE(H148,-$D$13)))</f>
        <v/>
      </c>
      <c r="L148" s="13">
        <f>IF(H148="","",IFERROR(INDEX('Tipos BdE'!$B$7:$M$336,MATCH(DATE(YEAR(K148),MONTH(K148),1),'Tipos BdE'!$A$7:$A$336,1),MATCH($D$9,'Tipos BdE'!$B$6:$M$6,0)),0))</f>
        <v/>
      </c>
      <c r="M148" s="13">
        <f>IF(H148="","",IF($D$18="LEGAL",0,$D$10))</f>
        <v/>
      </c>
      <c r="N148" s="13">
        <f>IF(H148="","",IF(AND($D$14="Sí",(L148+M148)&lt;0),0,L148+M148))</f>
        <v/>
      </c>
      <c r="O148" s="199">
        <f>IF(H148="","",$D$5*N148*J148/36500)</f>
        <v/>
      </c>
      <c r="P148" s="199">
        <f>IF(H148="","",$D$5+SUM($O$5:O148))</f>
        <v/>
      </c>
    </row>
    <row r="149">
      <c r="G149" s="11">
        <f>IF(H149="","",ROW()-4)</f>
        <v/>
      </c>
      <c r="H149" s="12">
        <f>IF(OR(I148="",I148&gt;=$D$7),"",I148)</f>
        <v/>
      </c>
      <c r="I149" s="12">
        <f>IF(H149="","",MIN(IF($D$18="LEGAL",DATE(YEAR(H149)+1,1,1),EDATE($D$12,$D$11*(INT((((YEAR(H149)-YEAR($D$12))*12+(MONTH(H149)-MONTH($D$12))-IF(DAY(H149)&lt;DAY($D$12),1,0))/$D$11))+1))),$D$7))</f>
        <v/>
      </c>
      <c r="J149" s="11">
        <f>IF(H149="","",I149-H149)</f>
        <v/>
      </c>
      <c r="K149" s="12">
        <f>IF(H149="","",IF($D$18="LEGAL",H149,EDATE(H149,-$D$13)))</f>
        <v/>
      </c>
      <c r="L149" s="13">
        <f>IF(H149="","",IFERROR(INDEX('Tipos BdE'!$B$7:$M$336,MATCH(DATE(YEAR(K149),MONTH(K149),1),'Tipos BdE'!$A$7:$A$336,1),MATCH($D$9,'Tipos BdE'!$B$6:$M$6,0)),0))</f>
        <v/>
      </c>
      <c r="M149" s="13">
        <f>IF(H149="","",IF($D$18="LEGAL",0,$D$10))</f>
        <v/>
      </c>
      <c r="N149" s="13">
        <f>IF(H149="","",IF(AND($D$14="Sí",(L149+M149)&lt;0),0,L149+M149))</f>
        <v/>
      </c>
      <c r="O149" s="199">
        <f>IF(H149="","",$D$5*N149*J149/36500)</f>
        <v/>
      </c>
      <c r="P149" s="199">
        <f>IF(H149="","",$D$5+SUM($O$5:O149))</f>
        <v/>
      </c>
    </row>
    <row r="150">
      <c r="G150" s="11">
        <f>IF(H150="","",ROW()-4)</f>
        <v/>
      </c>
      <c r="H150" s="12">
        <f>IF(OR(I149="",I149&gt;=$D$7),"",I149)</f>
        <v/>
      </c>
      <c r="I150" s="12">
        <f>IF(H150="","",MIN(IF($D$18="LEGAL",DATE(YEAR(H150)+1,1,1),EDATE($D$12,$D$11*(INT((((YEAR(H150)-YEAR($D$12))*12+(MONTH(H150)-MONTH($D$12))-IF(DAY(H150)&lt;DAY($D$12),1,0))/$D$11))+1))),$D$7))</f>
        <v/>
      </c>
      <c r="J150" s="11">
        <f>IF(H150="","",I150-H150)</f>
        <v/>
      </c>
      <c r="K150" s="12">
        <f>IF(H150="","",IF($D$18="LEGAL",H150,EDATE(H150,-$D$13)))</f>
        <v/>
      </c>
      <c r="L150" s="13">
        <f>IF(H150="","",IFERROR(INDEX('Tipos BdE'!$B$7:$M$336,MATCH(DATE(YEAR(K150),MONTH(K150),1),'Tipos BdE'!$A$7:$A$336,1),MATCH($D$9,'Tipos BdE'!$B$6:$M$6,0)),0))</f>
        <v/>
      </c>
      <c r="M150" s="13">
        <f>IF(H150="","",IF($D$18="LEGAL",0,$D$10))</f>
        <v/>
      </c>
      <c r="N150" s="13">
        <f>IF(H150="","",IF(AND($D$14="Sí",(L150+M150)&lt;0),0,L150+M150))</f>
        <v/>
      </c>
      <c r="O150" s="199">
        <f>IF(H150="","",$D$5*N150*J150/36500)</f>
        <v/>
      </c>
      <c r="P150" s="199">
        <f>IF(H150="","",$D$5+SUM($O$5:O150))</f>
        <v/>
      </c>
    </row>
    <row r="151">
      <c r="G151" s="11">
        <f>IF(H151="","",ROW()-4)</f>
        <v/>
      </c>
      <c r="H151" s="12">
        <f>IF(OR(I150="",I150&gt;=$D$7),"",I150)</f>
        <v/>
      </c>
      <c r="I151" s="12">
        <f>IF(H151="","",MIN(IF($D$18="LEGAL",DATE(YEAR(H151)+1,1,1),EDATE($D$12,$D$11*(INT((((YEAR(H151)-YEAR($D$12))*12+(MONTH(H151)-MONTH($D$12))-IF(DAY(H151)&lt;DAY($D$12),1,0))/$D$11))+1))),$D$7))</f>
        <v/>
      </c>
      <c r="J151" s="11">
        <f>IF(H151="","",I151-H151)</f>
        <v/>
      </c>
      <c r="K151" s="12">
        <f>IF(H151="","",IF($D$18="LEGAL",H151,EDATE(H151,-$D$13)))</f>
        <v/>
      </c>
      <c r="L151" s="13">
        <f>IF(H151="","",IFERROR(INDEX('Tipos BdE'!$B$7:$M$336,MATCH(DATE(YEAR(K151),MONTH(K151),1),'Tipos BdE'!$A$7:$A$336,1),MATCH($D$9,'Tipos BdE'!$B$6:$M$6,0)),0))</f>
        <v/>
      </c>
      <c r="M151" s="13">
        <f>IF(H151="","",IF($D$18="LEGAL",0,$D$10))</f>
        <v/>
      </c>
      <c r="N151" s="13">
        <f>IF(H151="","",IF(AND($D$14="Sí",(L151+M151)&lt;0),0,L151+M151))</f>
        <v/>
      </c>
      <c r="O151" s="199">
        <f>IF(H151="","",$D$5*N151*J151/36500)</f>
        <v/>
      </c>
      <c r="P151" s="199">
        <f>IF(H151="","",$D$5+SUM($O$5:O151))</f>
        <v/>
      </c>
    </row>
    <row r="152">
      <c r="G152" s="11">
        <f>IF(H152="","",ROW()-4)</f>
        <v/>
      </c>
      <c r="H152" s="12">
        <f>IF(OR(I151="",I151&gt;=$D$7),"",I151)</f>
        <v/>
      </c>
      <c r="I152" s="12">
        <f>IF(H152="","",MIN(IF($D$18="LEGAL",DATE(YEAR(H152)+1,1,1),EDATE($D$12,$D$11*(INT((((YEAR(H152)-YEAR($D$12))*12+(MONTH(H152)-MONTH($D$12))-IF(DAY(H152)&lt;DAY($D$12),1,0))/$D$11))+1))),$D$7))</f>
        <v/>
      </c>
      <c r="J152" s="11">
        <f>IF(H152="","",I152-H152)</f>
        <v/>
      </c>
      <c r="K152" s="12">
        <f>IF(H152="","",IF($D$18="LEGAL",H152,EDATE(H152,-$D$13)))</f>
        <v/>
      </c>
      <c r="L152" s="13">
        <f>IF(H152="","",IFERROR(INDEX('Tipos BdE'!$B$7:$M$336,MATCH(DATE(YEAR(K152),MONTH(K152),1),'Tipos BdE'!$A$7:$A$336,1),MATCH($D$9,'Tipos BdE'!$B$6:$M$6,0)),0))</f>
        <v/>
      </c>
      <c r="M152" s="13">
        <f>IF(H152="","",IF($D$18="LEGAL",0,$D$10))</f>
        <v/>
      </c>
      <c r="N152" s="13">
        <f>IF(H152="","",IF(AND($D$14="Sí",(L152+M152)&lt;0),0,L152+M152))</f>
        <v/>
      </c>
      <c r="O152" s="199">
        <f>IF(H152="","",$D$5*N152*J152/36500)</f>
        <v/>
      </c>
      <c r="P152" s="199">
        <f>IF(H152="","",$D$5+SUM($O$5:O152))</f>
        <v/>
      </c>
    </row>
    <row r="153">
      <c r="G153" s="11">
        <f>IF(H153="","",ROW()-4)</f>
        <v/>
      </c>
      <c r="H153" s="12">
        <f>IF(OR(I152="",I152&gt;=$D$7),"",I152)</f>
        <v/>
      </c>
      <c r="I153" s="12">
        <f>IF(H153="","",MIN(IF($D$18="LEGAL",DATE(YEAR(H153)+1,1,1),EDATE($D$12,$D$11*(INT((((YEAR(H153)-YEAR($D$12))*12+(MONTH(H153)-MONTH($D$12))-IF(DAY(H153)&lt;DAY($D$12),1,0))/$D$11))+1))),$D$7))</f>
        <v/>
      </c>
      <c r="J153" s="11">
        <f>IF(H153="","",I153-H153)</f>
        <v/>
      </c>
      <c r="K153" s="12">
        <f>IF(H153="","",IF($D$18="LEGAL",H153,EDATE(H153,-$D$13)))</f>
        <v/>
      </c>
      <c r="L153" s="13">
        <f>IF(H153="","",IFERROR(INDEX('Tipos BdE'!$B$7:$M$336,MATCH(DATE(YEAR(K153),MONTH(K153),1),'Tipos BdE'!$A$7:$A$336,1),MATCH($D$9,'Tipos BdE'!$B$6:$M$6,0)),0))</f>
        <v/>
      </c>
      <c r="M153" s="13">
        <f>IF(H153="","",IF($D$18="LEGAL",0,$D$10))</f>
        <v/>
      </c>
      <c r="N153" s="13">
        <f>IF(H153="","",IF(AND($D$14="Sí",(L153+M153)&lt;0),0,L153+M153))</f>
        <v/>
      </c>
      <c r="O153" s="199">
        <f>IF(H153="","",$D$5*N153*J153/36500)</f>
        <v/>
      </c>
      <c r="P153" s="199">
        <f>IF(H153="","",$D$5+SUM($O$5:O153))</f>
        <v/>
      </c>
    </row>
    <row r="154">
      <c r="G154" s="11">
        <f>IF(H154="","",ROW()-4)</f>
        <v/>
      </c>
      <c r="H154" s="12">
        <f>IF(OR(I153="",I153&gt;=$D$7),"",I153)</f>
        <v/>
      </c>
      <c r="I154" s="12">
        <f>IF(H154="","",MIN(IF($D$18="LEGAL",DATE(YEAR(H154)+1,1,1),EDATE($D$12,$D$11*(INT((((YEAR(H154)-YEAR($D$12))*12+(MONTH(H154)-MONTH($D$12))-IF(DAY(H154)&lt;DAY($D$12),1,0))/$D$11))+1))),$D$7))</f>
        <v/>
      </c>
      <c r="J154" s="11">
        <f>IF(H154="","",I154-H154)</f>
        <v/>
      </c>
      <c r="K154" s="12">
        <f>IF(H154="","",IF($D$18="LEGAL",H154,EDATE(H154,-$D$13)))</f>
        <v/>
      </c>
      <c r="L154" s="13">
        <f>IF(H154="","",IFERROR(INDEX('Tipos BdE'!$B$7:$M$336,MATCH(DATE(YEAR(K154),MONTH(K154),1),'Tipos BdE'!$A$7:$A$336,1),MATCH($D$9,'Tipos BdE'!$B$6:$M$6,0)),0))</f>
        <v/>
      </c>
      <c r="M154" s="13">
        <f>IF(H154="","",IF($D$18="LEGAL",0,$D$10))</f>
        <v/>
      </c>
      <c r="N154" s="13">
        <f>IF(H154="","",IF(AND($D$14="Sí",(L154+M154)&lt;0),0,L154+M154))</f>
        <v/>
      </c>
      <c r="O154" s="199">
        <f>IF(H154="","",$D$5*N154*J154/36500)</f>
        <v/>
      </c>
      <c r="P154" s="199">
        <f>IF(H154="","",$D$5+SUM($O$5:O154))</f>
        <v/>
      </c>
    </row>
    <row r="155">
      <c r="G155" s="11">
        <f>IF(H155="","",ROW()-4)</f>
        <v/>
      </c>
      <c r="H155" s="12">
        <f>IF(OR(I154="",I154&gt;=$D$7),"",I154)</f>
        <v/>
      </c>
      <c r="I155" s="12">
        <f>IF(H155="","",MIN(IF($D$18="LEGAL",DATE(YEAR(H155)+1,1,1),EDATE($D$12,$D$11*(INT((((YEAR(H155)-YEAR($D$12))*12+(MONTH(H155)-MONTH($D$12))-IF(DAY(H155)&lt;DAY($D$12),1,0))/$D$11))+1))),$D$7))</f>
        <v/>
      </c>
      <c r="J155" s="11">
        <f>IF(H155="","",I155-H155)</f>
        <v/>
      </c>
      <c r="K155" s="12">
        <f>IF(H155="","",IF($D$18="LEGAL",H155,EDATE(H155,-$D$13)))</f>
        <v/>
      </c>
      <c r="L155" s="13">
        <f>IF(H155="","",IFERROR(INDEX('Tipos BdE'!$B$7:$M$336,MATCH(DATE(YEAR(K155),MONTH(K155),1),'Tipos BdE'!$A$7:$A$336,1),MATCH($D$9,'Tipos BdE'!$B$6:$M$6,0)),0))</f>
        <v/>
      </c>
      <c r="M155" s="13">
        <f>IF(H155="","",IF($D$18="LEGAL",0,$D$10))</f>
        <v/>
      </c>
      <c r="N155" s="13">
        <f>IF(H155="","",IF(AND($D$14="Sí",(L155+M155)&lt;0),0,L155+M155))</f>
        <v/>
      </c>
      <c r="O155" s="199">
        <f>IF(H155="","",$D$5*N155*J155/36500)</f>
        <v/>
      </c>
      <c r="P155" s="199">
        <f>IF(H155="","",$D$5+SUM($O$5:O155))</f>
        <v/>
      </c>
    </row>
    <row r="156">
      <c r="G156" s="11">
        <f>IF(H156="","",ROW()-4)</f>
        <v/>
      </c>
      <c r="H156" s="12">
        <f>IF(OR(I155="",I155&gt;=$D$7),"",I155)</f>
        <v/>
      </c>
      <c r="I156" s="12">
        <f>IF(H156="","",MIN(IF($D$18="LEGAL",DATE(YEAR(H156)+1,1,1),EDATE($D$12,$D$11*(INT((((YEAR(H156)-YEAR($D$12))*12+(MONTH(H156)-MONTH($D$12))-IF(DAY(H156)&lt;DAY($D$12),1,0))/$D$11))+1))),$D$7))</f>
        <v/>
      </c>
      <c r="J156" s="11">
        <f>IF(H156="","",I156-H156)</f>
        <v/>
      </c>
      <c r="K156" s="12">
        <f>IF(H156="","",IF($D$18="LEGAL",H156,EDATE(H156,-$D$13)))</f>
        <v/>
      </c>
      <c r="L156" s="13">
        <f>IF(H156="","",IFERROR(INDEX('Tipos BdE'!$B$7:$M$336,MATCH(DATE(YEAR(K156),MONTH(K156),1),'Tipos BdE'!$A$7:$A$336,1),MATCH($D$9,'Tipos BdE'!$B$6:$M$6,0)),0))</f>
        <v/>
      </c>
      <c r="M156" s="13">
        <f>IF(H156="","",IF($D$18="LEGAL",0,$D$10))</f>
        <v/>
      </c>
      <c r="N156" s="13">
        <f>IF(H156="","",IF(AND($D$14="Sí",(L156+M156)&lt;0),0,L156+M156))</f>
        <v/>
      </c>
      <c r="O156" s="199">
        <f>IF(H156="","",$D$5*N156*J156/36500)</f>
        <v/>
      </c>
      <c r="P156" s="199">
        <f>IF(H156="","",$D$5+SUM($O$5:O156))</f>
        <v/>
      </c>
    </row>
    <row r="157">
      <c r="G157" s="11">
        <f>IF(H157="","",ROW()-4)</f>
        <v/>
      </c>
      <c r="H157" s="12">
        <f>IF(OR(I156="",I156&gt;=$D$7),"",I156)</f>
        <v/>
      </c>
      <c r="I157" s="12">
        <f>IF(H157="","",MIN(IF($D$18="LEGAL",DATE(YEAR(H157)+1,1,1),EDATE($D$12,$D$11*(INT((((YEAR(H157)-YEAR($D$12))*12+(MONTH(H157)-MONTH($D$12))-IF(DAY(H157)&lt;DAY($D$12),1,0))/$D$11))+1))),$D$7))</f>
        <v/>
      </c>
      <c r="J157" s="11">
        <f>IF(H157="","",I157-H157)</f>
        <v/>
      </c>
      <c r="K157" s="12">
        <f>IF(H157="","",IF($D$18="LEGAL",H157,EDATE(H157,-$D$13)))</f>
        <v/>
      </c>
      <c r="L157" s="13">
        <f>IF(H157="","",IFERROR(INDEX('Tipos BdE'!$B$7:$M$336,MATCH(DATE(YEAR(K157),MONTH(K157),1),'Tipos BdE'!$A$7:$A$336,1),MATCH($D$9,'Tipos BdE'!$B$6:$M$6,0)),0))</f>
        <v/>
      </c>
      <c r="M157" s="13">
        <f>IF(H157="","",IF($D$18="LEGAL",0,$D$10))</f>
        <v/>
      </c>
      <c r="N157" s="13">
        <f>IF(H157="","",IF(AND($D$14="Sí",(L157+M157)&lt;0),0,L157+M157))</f>
        <v/>
      </c>
      <c r="O157" s="199">
        <f>IF(H157="","",$D$5*N157*J157/36500)</f>
        <v/>
      </c>
      <c r="P157" s="199">
        <f>IF(H157="","",$D$5+SUM($O$5:O157))</f>
        <v/>
      </c>
    </row>
    <row r="158">
      <c r="G158" s="11">
        <f>IF(H158="","",ROW()-4)</f>
        <v/>
      </c>
      <c r="H158" s="12">
        <f>IF(OR(I157="",I157&gt;=$D$7),"",I157)</f>
        <v/>
      </c>
      <c r="I158" s="12">
        <f>IF(H158="","",MIN(IF($D$18="LEGAL",DATE(YEAR(H158)+1,1,1),EDATE($D$12,$D$11*(INT((((YEAR(H158)-YEAR($D$12))*12+(MONTH(H158)-MONTH($D$12))-IF(DAY(H158)&lt;DAY($D$12),1,0))/$D$11))+1))),$D$7))</f>
        <v/>
      </c>
      <c r="J158" s="11">
        <f>IF(H158="","",I158-H158)</f>
        <v/>
      </c>
      <c r="K158" s="12">
        <f>IF(H158="","",IF($D$18="LEGAL",H158,EDATE(H158,-$D$13)))</f>
        <v/>
      </c>
      <c r="L158" s="13">
        <f>IF(H158="","",IFERROR(INDEX('Tipos BdE'!$B$7:$M$336,MATCH(DATE(YEAR(K158),MONTH(K158),1),'Tipos BdE'!$A$7:$A$336,1),MATCH($D$9,'Tipos BdE'!$B$6:$M$6,0)),0))</f>
        <v/>
      </c>
      <c r="M158" s="13">
        <f>IF(H158="","",IF($D$18="LEGAL",0,$D$10))</f>
        <v/>
      </c>
      <c r="N158" s="13">
        <f>IF(H158="","",IF(AND($D$14="Sí",(L158+M158)&lt;0),0,L158+M158))</f>
        <v/>
      </c>
      <c r="O158" s="199">
        <f>IF(H158="","",$D$5*N158*J158/36500)</f>
        <v/>
      </c>
      <c r="P158" s="199">
        <f>IF(H158="","",$D$5+SUM($O$5:O158))</f>
        <v/>
      </c>
    </row>
    <row r="159">
      <c r="G159" s="11">
        <f>IF(H159="","",ROW()-4)</f>
        <v/>
      </c>
      <c r="H159" s="12">
        <f>IF(OR(I158="",I158&gt;=$D$7),"",I158)</f>
        <v/>
      </c>
      <c r="I159" s="12">
        <f>IF(H159="","",MIN(IF($D$18="LEGAL",DATE(YEAR(H159)+1,1,1),EDATE($D$12,$D$11*(INT((((YEAR(H159)-YEAR($D$12))*12+(MONTH(H159)-MONTH($D$12))-IF(DAY(H159)&lt;DAY($D$12),1,0))/$D$11))+1))),$D$7))</f>
        <v/>
      </c>
      <c r="J159" s="11">
        <f>IF(H159="","",I159-H159)</f>
        <v/>
      </c>
      <c r="K159" s="12">
        <f>IF(H159="","",IF($D$18="LEGAL",H159,EDATE(H159,-$D$13)))</f>
        <v/>
      </c>
      <c r="L159" s="13">
        <f>IF(H159="","",IFERROR(INDEX('Tipos BdE'!$B$7:$M$336,MATCH(DATE(YEAR(K159),MONTH(K159),1),'Tipos BdE'!$A$7:$A$336,1),MATCH($D$9,'Tipos BdE'!$B$6:$M$6,0)),0))</f>
        <v/>
      </c>
      <c r="M159" s="13">
        <f>IF(H159="","",IF($D$18="LEGAL",0,$D$10))</f>
        <v/>
      </c>
      <c r="N159" s="13">
        <f>IF(H159="","",IF(AND($D$14="Sí",(L159+M159)&lt;0),0,L159+M159))</f>
        <v/>
      </c>
      <c r="O159" s="199">
        <f>IF(H159="","",$D$5*N159*J159/36500)</f>
        <v/>
      </c>
      <c r="P159" s="199">
        <f>IF(H159="","",$D$5+SUM($O$5:O159))</f>
        <v/>
      </c>
    </row>
    <row r="160">
      <c r="G160" s="11">
        <f>IF(H160="","",ROW()-4)</f>
        <v/>
      </c>
      <c r="H160" s="12">
        <f>IF(OR(I159="",I159&gt;=$D$7),"",I159)</f>
        <v/>
      </c>
      <c r="I160" s="12">
        <f>IF(H160="","",MIN(IF($D$18="LEGAL",DATE(YEAR(H160)+1,1,1),EDATE($D$12,$D$11*(INT((((YEAR(H160)-YEAR($D$12))*12+(MONTH(H160)-MONTH($D$12))-IF(DAY(H160)&lt;DAY($D$12),1,0))/$D$11))+1))),$D$7))</f>
        <v/>
      </c>
      <c r="J160" s="11">
        <f>IF(H160="","",I160-H160)</f>
        <v/>
      </c>
      <c r="K160" s="12">
        <f>IF(H160="","",IF($D$18="LEGAL",H160,EDATE(H160,-$D$13)))</f>
        <v/>
      </c>
      <c r="L160" s="13">
        <f>IF(H160="","",IFERROR(INDEX('Tipos BdE'!$B$7:$M$336,MATCH(DATE(YEAR(K160),MONTH(K160),1),'Tipos BdE'!$A$7:$A$336,1),MATCH($D$9,'Tipos BdE'!$B$6:$M$6,0)),0))</f>
        <v/>
      </c>
      <c r="M160" s="13">
        <f>IF(H160="","",IF($D$18="LEGAL",0,$D$10))</f>
        <v/>
      </c>
      <c r="N160" s="13">
        <f>IF(H160="","",IF(AND($D$14="Sí",(L160+M160)&lt;0),0,L160+M160))</f>
        <v/>
      </c>
      <c r="O160" s="199">
        <f>IF(H160="","",$D$5*N160*J160/36500)</f>
        <v/>
      </c>
      <c r="P160" s="199">
        <f>IF(H160="","",$D$5+SUM($O$5:O160))</f>
        <v/>
      </c>
    </row>
    <row r="161">
      <c r="G161" s="11">
        <f>IF(H161="","",ROW()-4)</f>
        <v/>
      </c>
      <c r="H161" s="12">
        <f>IF(OR(I160="",I160&gt;=$D$7),"",I160)</f>
        <v/>
      </c>
      <c r="I161" s="12">
        <f>IF(H161="","",MIN(IF($D$18="LEGAL",DATE(YEAR(H161)+1,1,1),EDATE($D$12,$D$11*(INT((((YEAR(H161)-YEAR($D$12))*12+(MONTH(H161)-MONTH($D$12))-IF(DAY(H161)&lt;DAY($D$12),1,0))/$D$11))+1))),$D$7))</f>
        <v/>
      </c>
      <c r="J161" s="11">
        <f>IF(H161="","",I161-H161)</f>
        <v/>
      </c>
      <c r="K161" s="12">
        <f>IF(H161="","",IF($D$18="LEGAL",H161,EDATE(H161,-$D$13)))</f>
        <v/>
      </c>
      <c r="L161" s="13">
        <f>IF(H161="","",IFERROR(INDEX('Tipos BdE'!$B$7:$M$336,MATCH(DATE(YEAR(K161),MONTH(K161),1),'Tipos BdE'!$A$7:$A$336,1),MATCH($D$9,'Tipos BdE'!$B$6:$M$6,0)),0))</f>
        <v/>
      </c>
      <c r="M161" s="13">
        <f>IF(H161="","",IF($D$18="LEGAL",0,$D$10))</f>
        <v/>
      </c>
      <c r="N161" s="13">
        <f>IF(H161="","",IF(AND($D$14="Sí",(L161+M161)&lt;0),0,L161+M161))</f>
        <v/>
      </c>
      <c r="O161" s="199">
        <f>IF(H161="","",$D$5*N161*J161/36500)</f>
        <v/>
      </c>
      <c r="P161" s="199">
        <f>IF(H161="","",$D$5+SUM($O$5:O161))</f>
        <v/>
      </c>
    </row>
    <row r="162">
      <c r="G162" s="11">
        <f>IF(H162="","",ROW()-4)</f>
        <v/>
      </c>
      <c r="H162" s="12">
        <f>IF(OR(I161="",I161&gt;=$D$7),"",I161)</f>
        <v/>
      </c>
      <c r="I162" s="12">
        <f>IF(H162="","",MIN(IF($D$18="LEGAL",DATE(YEAR(H162)+1,1,1),EDATE($D$12,$D$11*(INT((((YEAR(H162)-YEAR($D$12))*12+(MONTH(H162)-MONTH($D$12))-IF(DAY(H162)&lt;DAY($D$12),1,0))/$D$11))+1))),$D$7))</f>
        <v/>
      </c>
      <c r="J162" s="11">
        <f>IF(H162="","",I162-H162)</f>
        <v/>
      </c>
      <c r="K162" s="12">
        <f>IF(H162="","",IF($D$18="LEGAL",H162,EDATE(H162,-$D$13)))</f>
        <v/>
      </c>
      <c r="L162" s="13">
        <f>IF(H162="","",IFERROR(INDEX('Tipos BdE'!$B$7:$M$336,MATCH(DATE(YEAR(K162),MONTH(K162),1),'Tipos BdE'!$A$7:$A$336,1),MATCH($D$9,'Tipos BdE'!$B$6:$M$6,0)),0))</f>
        <v/>
      </c>
      <c r="M162" s="13">
        <f>IF(H162="","",IF($D$18="LEGAL",0,$D$10))</f>
        <v/>
      </c>
      <c r="N162" s="13">
        <f>IF(H162="","",IF(AND($D$14="Sí",(L162+M162)&lt;0),0,L162+M162))</f>
        <v/>
      </c>
      <c r="O162" s="199">
        <f>IF(H162="","",$D$5*N162*J162/36500)</f>
        <v/>
      </c>
      <c r="P162" s="199">
        <f>IF(H162="","",$D$5+SUM($O$5:O162))</f>
        <v/>
      </c>
    </row>
    <row r="163">
      <c r="G163" s="11">
        <f>IF(H163="","",ROW()-4)</f>
        <v/>
      </c>
      <c r="H163" s="12">
        <f>IF(OR(I162="",I162&gt;=$D$7),"",I162)</f>
        <v/>
      </c>
      <c r="I163" s="12">
        <f>IF(H163="","",MIN(IF($D$18="LEGAL",DATE(YEAR(H163)+1,1,1),EDATE($D$12,$D$11*(INT((((YEAR(H163)-YEAR($D$12))*12+(MONTH(H163)-MONTH($D$12))-IF(DAY(H163)&lt;DAY($D$12),1,0))/$D$11))+1))),$D$7))</f>
        <v/>
      </c>
      <c r="J163" s="11">
        <f>IF(H163="","",I163-H163)</f>
        <v/>
      </c>
      <c r="K163" s="12">
        <f>IF(H163="","",IF($D$18="LEGAL",H163,EDATE(H163,-$D$13)))</f>
        <v/>
      </c>
      <c r="L163" s="13">
        <f>IF(H163="","",IFERROR(INDEX('Tipos BdE'!$B$7:$M$336,MATCH(DATE(YEAR(K163),MONTH(K163),1),'Tipos BdE'!$A$7:$A$336,1),MATCH($D$9,'Tipos BdE'!$B$6:$M$6,0)),0))</f>
        <v/>
      </c>
      <c r="M163" s="13">
        <f>IF(H163="","",IF($D$18="LEGAL",0,$D$10))</f>
        <v/>
      </c>
      <c r="N163" s="13">
        <f>IF(H163="","",IF(AND($D$14="Sí",(L163+M163)&lt;0),0,L163+M163))</f>
        <v/>
      </c>
      <c r="O163" s="199">
        <f>IF(H163="","",$D$5*N163*J163/36500)</f>
        <v/>
      </c>
      <c r="P163" s="199">
        <f>IF(H163="","",$D$5+SUM($O$5:O163))</f>
        <v/>
      </c>
    </row>
    <row r="164">
      <c r="G164" s="11">
        <f>IF(H164="","",ROW()-4)</f>
        <v/>
      </c>
      <c r="H164" s="12">
        <f>IF(OR(I163="",I163&gt;=$D$7),"",I163)</f>
        <v/>
      </c>
      <c r="I164" s="12">
        <f>IF(H164="","",MIN(IF($D$18="LEGAL",DATE(YEAR(H164)+1,1,1),EDATE($D$12,$D$11*(INT((((YEAR(H164)-YEAR($D$12))*12+(MONTH(H164)-MONTH($D$12))-IF(DAY(H164)&lt;DAY($D$12),1,0))/$D$11))+1))),$D$7))</f>
        <v/>
      </c>
      <c r="J164" s="11">
        <f>IF(H164="","",I164-H164)</f>
        <v/>
      </c>
      <c r="K164" s="12">
        <f>IF(H164="","",IF($D$18="LEGAL",H164,EDATE(H164,-$D$13)))</f>
        <v/>
      </c>
      <c r="L164" s="13">
        <f>IF(H164="","",IFERROR(INDEX('Tipos BdE'!$B$7:$M$336,MATCH(DATE(YEAR(K164),MONTH(K164),1),'Tipos BdE'!$A$7:$A$336,1),MATCH($D$9,'Tipos BdE'!$B$6:$M$6,0)),0))</f>
        <v/>
      </c>
      <c r="M164" s="13">
        <f>IF(H164="","",IF($D$18="LEGAL",0,$D$10))</f>
        <v/>
      </c>
      <c r="N164" s="13">
        <f>IF(H164="","",IF(AND($D$14="Sí",(L164+M164)&lt;0),0,L164+M164))</f>
        <v/>
      </c>
      <c r="O164" s="199">
        <f>IF(H164="","",$D$5*N164*J164/36500)</f>
        <v/>
      </c>
      <c r="P164" s="199">
        <f>IF(H164="","",$D$5+SUM($O$5:O164))</f>
        <v/>
      </c>
    </row>
    <row r="165">
      <c r="G165" s="11">
        <f>IF(H165="","",ROW()-4)</f>
        <v/>
      </c>
      <c r="H165" s="12">
        <f>IF(OR(I164="",I164&gt;=$D$7),"",I164)</f>
        <v/>
      </c>
      <c r="I165" s="12">
        <f>IF(H165="","",MIN(IF($D$18="LEGAL",DATE(YEAR(H165)+1,1,1),EDATE($D$12,$D$11*(INT((((YEAR(H165)-YEAR($D$12))*12+(MONTH(H165)-MONTH($D$12))-IF(DAY(H165)&lt;DAY($D$12),1,0))/$D$11))+1))),$D$7))</f>
        <v/>
      </c>
      <c r="J165" s="11">
        <f>IF(H165="","",I165-H165)</f>
        <v/>
      </c>
      <c r="K165" s="12">
        <f>IF(H165="","",IF($D$18="LEGAL",H165,EDATE(H165,-$D$13)))</f>
        <v/>
      </c>
      <c r="L165" s="13">
        <f>IF(H165="","",IFERROR(INDEX('Tipos BdE'!$B$7:$M$336,MATCH(DATE(YEAR(K165),MONTH(K165),1),'Tipos BdE'!$A$7:$A$336,1),MATCH($D$9,'Tipos BdE'!$B$6:$M$6,0)),0))</f>
        <v/>
      </c>
      <c r="M165" s="13">
        <f>IF(H165="","",IF($D$18="LEGAL",0,$D$10))</f>
        <v/>
      </c>
      <c r="N165" s="13">
        <f>IF(H165="","",IF(AND($D$14="Sí",(L165+M165)&lt;0),0,L165+M165))</f>
        <v/>
      </c>
      <c r="O165" s="199">
        <f>IF(H165="","",$D$5*N165*J165/36500)</f>
        <v/>
      </c>
      <c r="P165" s="199">
        <f>IF(H165="","",$D$5+SUM($O$5:O165))</f>
        <v/>
      </c>
    </row>
    <row r="166">
      <c r="G166" s="11">
        <f>IF(H166="","",ROW()-4)</f>
        <v/>
      </c>
      <c r="H166" s="12">
        <f>IF(OR(I165="",I165&gt;=$D$7),"",I165)</f>
        <v/>
      </c>
      <c r="I166" s="12">
        <f>IF(H166="","",MIN(IF($D$18="LEGAL",DATE(YEAR(H166)+1,1,1),EDATE($D$12,$D$11*(INT((((YEAR(H166)-YEAR($D$12))*12+(MONTH(H166)-MONTH($D$12))-IF(DAY(H166)&lt;DAY($D$12),1,0))/$D$11))+1))),$D$7))</f>
        <v/>
      </c>
      <c r="J166" s="11">
        <f>IF(H166="","",I166-H166)</f>
        <v/>
      </c>
      <c r="K166" s="12">
        <f>IF(H166="","",IF($D$18="LEGAL",H166,EDATE(H166,-$D$13)))</f>
        <v/>
      </c>
      <c r="L166" s="13">
        <f>IF(H166="","",IFERROR(INDEX('Tipos BdE'!$B$7:$M$336,MATCH(DATE(YEAR(K166),MONTH(K166),1),'Tipos BdE'!$A$7:$A$336,1),MATCH($D$9,'Tipos BdE'!$B$6:$M$6,0)),0))</f>
        <v/>
      </c>
      <c r="M166" s="13">
        <f>IF(H166="","",IF($D$18="LEGAL",0,$D$10))</f>
        <v/>
      </c>
      <c r="N166" s="13">
        <f>IF(H166="","",IF(AND($D$14="Sí",(L166+M166)&lt;0),0,L166+M166))</f>
        <v/>
      </c>
      <c r="O166" s="199">
        <f>IF(H166="","",$D$5*N166*J166/36500)</f>
        <v/>
      </c>
      <c r="P166" s="199">
        <f>IF(H166="","",$D$5+SUM($O$5:O166))</f>
        <v/>
      </c>
    </row>
    <row r="167">
      <c r="G167" s="11">
        <f>IF(H167="","",ROW()-4)</f>
        <v/>
      </c>
      <c r="H167" s="12">
        <f>IF(OR(I166="",I166&gt;=$D$7),"",I166)</f>
        <v/>
      </c>
      <c r="I167" s="12">
        <f>IF(H167="","",MIN(IF($D$18="LEGAL",DATE(YEAR(H167)+1,1,1),EDATE($D$12,$D$11*(INT((((YEAR(H167)-YEAR($D$12))*12+(MONTH(H167)-MONTH($D$12))-IF(DAY(H167)&lt;DAY($D$12),1,0))/$D$11))+1))),$D$7))</f>
        <v/>
      </c>
      <c r="J167" s="11">
        <f>IF(H167="","",I167-H167)</f>
        <v/>
      </c>
      <c r="K167" s="12">
        <f>IF(H167="","",IF($D$18="LEGAL",H167,EDATE(H167,-$D$13)))</f>
        <v/>
      </c>
      <c r="L167" s="13">
        <f>IF(H167="","",IFERROR(INDEX('Tipos BdE'!$B$7:$M$336,MATCH(DATE(YEAR(K167),MONTH(K167),1),'Tipos BdE'!$A$7:$A$336,1),MATCH($D$9,'Tipos BdE'!$B$6:$M$6,0)),0))</f>
        <v/>
      </c>
      <c r="M167" s="13">
        <f>IF(H167="","",IF($D$18="LEGAL",0,$D$10))</f>
        <v/>
      </c>
      <c r="N167" s="13">
        <f>IF(H167="","",IF(AND($D$14="Sí",(L167+M167)&lt;0),0,L167+M167))</f>
        <v/>
      </c>
      <c r="O167" s="199">
        <f>IF(H167="","",$D$5*N167*J167/36500)</f>
        <v/>
      </c>
      <c r="P167" s="199">
        <f>IF(H167="","",$D$5+SUM($O$5:O167))</f>
        <v/>
      </c>
    </row>
    <row r="168">
      <c r="G168" s="11">
        <f>IF(H168="","",ROW()-4)</f>
        <v/>
      </c>
      <c r="H168" s="12">
        <f>IF(OR(I167="",I167&gt;=$D$7),"",I167)</f>
        <v/>
      </c>
      <c r="I168" s="12">
        <f>IF(H168="","",MIN(IF($D$18="LEGAL",DATE(YEAR(H168)+1,1,1),EDATE($D$12,$D$11*(INT((((YEAR(H168)-YEAR($D$12))*12+(MONTH(H168)-MONTH($D$12))-IF(DAY(H168)&lt;DAY($D$12),1,0))/$D$11))+1))),$D$7))</f>
        <v/>
      </c>
      <c r="J168" s="11">
        <f>IF(H168="","",I168-H168)</f>
        <v/>
      </c>
      <c r="K168" s="12">
        <f>IF(H168="","",IF($D$18="LEGAL",H168,EDATE(H168,-$D$13)))</f>
        <v/>
      </c>
      <c r="L168" s="13">
        <f>IF(H168="","",IFERROR(INDEX('Tipos BdE'!$B$7:$M$336,MATCH(DATE(YEAR(K168),MONTH(K168),1),'Tipos BdE'!$A$7:$A$336,1),MATCH($D$9,'Tipos BdE'!$B$6:$M$6,0)),0))</f>
        <v/>
      </c>
      <c r="M168" s="13">
        <f>IF(H168="","",IF($D$18="LEGAL",0,$D$10))</f>
        <v/>
      </c>
      <c r="N168" s="13">
        <f>IF(H168="","",IF(AND($D$14="Sí",(L168+M168)&lt;0),0,L168+M168))</f>
        <v/>
      </c>
      <c r="O168" s="199">
        <f>IF(H168="","",$D$5*N168*J168/36500)</f>
        <v/>
      </c>
      <c r="P168" s="199">
        <f>IF(H168="","",$D$5+SUM($O$5:O168))</f>
        <v/>
      </c>
    </row>
    <row r="169">
      <c r="G169" s="11">
        <f>IF(H169="","",ROW()-4)</f>
        <v/>
      </c>
      <c r="H169" s="12">
        <f>IF(OR(I168="",I168&gt;=$D$7),"",I168)</f>
        <v/>
      </c>
      <c r="I169" s="12">
        <f>IF(H169="","",MIN(IF($D$18="LEGAL",DATE(YEAR(H169)+1,1,1),EDATE($D$12,$D$11*(INT((((YEAR(H169)-YEAR($D$12))*12+(MONTH(H169)-MONTH($D$12))-IF(DAY(H169)&lt;DAY($D$12),1,0))/$D$11))+1))),$D$7))</f>
        <v/>
      </c>
      <c r="J169" s="11">
        <f>IF(H169="","",I169-H169)</f>
        <v/>
      </c>
      <c r="K169" s="12">
        <f>IF(H169="","",IF($D$18="LEGAL",H169,EDATE(H169,-$D$13)))</f>
        <v/>
      </c>
      <c r="L169" s="13">
        <f>IF(H169="","",IFERROR(INDEX('Tipos BdE'!$B$7:$M$336,MATCH(DATE(YEAR(K169),MONTH(K169),1),'Tipos BdE'!$A$7:$A$336,1),MATCH($D$9,'Tipos BdE'!$B$6:$M$6,0)),0))</f>
        <v/>
      </c>
      <c r="M169" s="13">
        <f>IF(H169="","",IF($D$18="LEGAL",0,$D$10))</f>
        <v/>
      </c>
      <c r="N169" s="13">
        <f>IF(H169="","",IF(AND($D$14="Sí",(L169+M169)&lt;0),0,L169+M169))</f>
        <v/>
      </c>
      <c r="O169" s="199">
        <f>IF(H169="","",$D$5*N169*J169/36500)</f>
        <v/>
      </c>
      <c r="P169" s="199">
        <f>IF(H169="","",$D$5+SUM($O$5:O169))</f>
        <v/>
      </c>
    </row>
    <row r="170">
      <c r="G170" s="11">
        <f>IF(H170="","",ROW()-4)</f>
        <v/>
      </c>
      <c r="H170" s="12">
        <f>IF(OR(I169="",I169&gt;=$D$7),"",I169)</f>
        <v/>
      </c>
      <c r="I170" s="12">
        <f>IF(H170="","",MIN(IF($D$18="LEGAL",DATE(YEAR(H170)+1,1,1),EDATE($D$12,$D$11*(INT((((YEAR(H170)-YEAR($D$12))*12+(MONTH(H170)-MONTH($D$12))-IF(DAY(H170)&lt;DAY($D$12),1,0))/$D$11))+1))),$D$7))</f>
        <v/>
      </c>
      <c r="J170" s="11">
        <f>IF(H170="","",I170-H170)</f>
        <v/>
      </c>
      <c r="K170" s="12">
        <f>IF(H170="","",IF($D$18="LEGAL",H170,EDATE(H170,-$D$13)))</f>
        <v/>
      </c>
      <c r="L170" s="13">
        <f>IF(H170="","",IFERROR(INDEX('Tipos BdE'!$B$7:$M$336,MATCH(DATE(YEAR(K170),MONTH(K170),1),'Tipos BdE'!$A$7:$A$336,1),MATCH($D$9,'Tipos BdE'!$B$6:$M$6,0)),0))</f>
        <v/>
      </c>
      <c r="M170" s="13">
        <f>IF(H170="","",IF($D$18="LEGAL",0,$D$10))</f>
        <v/>
      </c>
      <c r="N170" s="13">
        <f>IF(H170="","",IF(AND($D$14="Sí",(L170+M170)&lt;0),0,L170+M170))</f>
        <v/>
      </c>
      <c r="O170" s="199">
        <f>IF(H170="","",$D$5*N170*J170/36500)</f>
        <v/>
      </c>
      <c r="P170" s="199">
        <f>IF(H170="","",$D$5+SUM($O$5:O170))</f>
        <v/>
      </c>
    </row>
    <row r="171">
      <c r="G171" s="11">
        <f>IF(H171="","",ROW()-4)</f>
        <v/>
      </c>
      <c r="H171" s="12">
        <f>IF(OR(I170="",I170&gt;=$D$7),"",I170)</f>
        <v/>
      </c>
      <c r="I171" s="12">
        <f>IF(H171="","",MIN(IF($D$18="LEGAL",DATE(YEAR(H171)+1,1,1),EDATE($D$12,$D$11*(INT((((YEAR(H171)-YEAR($D$12))*12+(MONTH(H171)-MONTH($D$12))-IF(DAY(H171)&lt;DAY($D$12),1,0))/$D$11))+1))),$D$7))</f>
        <v/>
      </c>
      <c r="J171" s="11">
        <f>IF(H171="","",I171-H171)</f>
        <v/>
      </c>
      <c r="K171" s="12">
        <f>IF(H171="","",IF($D$18="LEGAL",H171,EDATE(H171,-$D$13)))</f>
        <v/>
      </c>
      <c r="L171" s="13">
        <f>IF(H171="","",IFERROR(INDEX('Tipos BdE'!$B$7:$M$336,MATCH(DATE(YEAR(K171),MONTH(K171),1),'Tipos BdE'!$A$7:$A$336,1),MATCH($D$9,'Tipos BdE'!$B$6:$M$6,0)),0))</f>
        <v/>
      </c>
      <c r="M171" s="13">
        <f>IF(H171="","",IF($D$18="LEGAL",0,$D$10))</f>
        <v/>
      </c>
      <c r="N171" s="13">
        <f>IF(H171="","",IF(AND($D$14="Sí",(L171+M171)&lt;0),0,L171+M171))</f>
        <v/>
      </c>
      <c r="O171" s="199">
        <f>IF(H171="","",$D$5*N171*J171/36500)</f>
        <v/>
      </c>
      <c r="P171" s="199">
        <f>IF(H171="","",$D$5+SUM($O$5:O171))</f>
        <v/>
      </c>
    </row>
    <row r="172">
      <c r="G172" s="11">
        <f>IF(H172="","",ROW()-4)</f>
        <v/>
      </c>
      <c r="H172" s="12">
        <f>IF(OR(I171="",I171&gt;=$D$7),"",I171)</f>
        <v/>
      </c>
      <c r="I172" s="12">
        <f>IF(H172="","",MIN(IF($D$18="LEGAL",DATE(YEAR(H172)+1,1,1),EDATE($D$12,$D$11*(INT((((YEAR(H172)-YEAR($D$12))*12+(MONTH(H172)-MONTH($D$12))-IF(DAY(H172)&lt;DAY($D$12),1,0))/$D$11))+1))),$D$7))</f>
        <v/>
      </c>
      <c r="J172" s="11">
        <f>IF(H172="","",I172-H172)</f>
        <v/>
      </c>
      <c r="K172" s="12">
        <f>IF(H172="","",IF($D$18="LEGAL",H172,EDATE(H172,-$D$13)))</f>
        <v/>
      </c>
      <c r="L172" s="13">
        <f>IF(H172="","",IFERROR(INDEX('Tipos BdE'!$B$7:$M$336,MATCH(DATE(YEAR(K172),MONTH(K172),1),'Tipos BdE'!$A$7:$A$336,1),MATCH($D$9,'Tipos BdE'!$B$6:$M$6,0)),0))</f>
        <v/>
      </c>
      <c r="M172" s="13">
        <f>IF(H172="","",IF($D$18="LEGAL",0,$D$10))</f>
        <v/>
      </c>
      <c r="N172" s="13">
        <f>IF(H172="","",IF(AND($D$14="Sí",(L172+M172)&lt;0),0,L172+M172))</f>
        <v/>
      </c>
      <c r="O172" s="199">
        <f>IF(H172="","",$D$5*N172*J172/36500)</f>
        <v/>
      </c>
      <c r="P172" s="199">
        <f>IF(H172="","",$D$5+SUM($O$5:O172))</f>
        <v/>
      </c>
    </row>
    <row r="173">
      <c r="G173" s="11">
        <f>IF(H173="","",ROW()-4)</f>
        <v/>
      </c>
      <c r="H173" s="12">
        <f>IF(OR(I172="",I172&gt;=$D$7),"",I172)</f>
        <v/>
      </c>
      <c r="I173" s="12">
        <f>IF(H173="","",MIN(IF($D$18="LEGAL",DATE(YEAR(H173)+1,1,1),EDATE($D$12,$D$11*(INT((((YEAR(H173)-YEAR($D$12))*12+(MONTH(H173)-MONTH($D$12))-IF(DAY(H173)&lt;DAY($D$12),1,0))/$D$11))+1))),$D$7))</f>
        <v/>
      </c>
      <c r="J173" s="11">
        <f>IF(H173="","",I173-H173)</f>
        <v/>
      </c>
      <c r="K173" s="12">
        <f>IF(H173="","",IF($D$18="LEGAL",H173,EDATE(H173,-$D$13)))</f>
        <v/>
      </c>
      <c r="L173" s="13">
        <f>IF(H173="","",IFERROR(INDEX('Tipos BdE'!$B$7:$M$336,MATCH(DATE(YEAR(K173),MONTH(K173),1),'Tipos BdE'!$A$7:$A$336,1),MATCH($D$9,'Tipos BdE'!$B$6:$M$6,0)),0))</f>
        <v/>
      </c>
      <c r="M173" s="13">
        <f>IF(H173="","",IF($D$18="LEGAL",0,$D$10))</f>
        <v/>
      </c>
      <c r="N173" s="13">
        <f>IF(H173="","",IF(AND($D$14="Sí",(L173+M173)&lt;0),0,L173+M173))</f>
        <v/>
      </c>
      <c r="O173" s="199">
        <f>IF(H173="","",$D$5*N173*J173/36500)</f>
        <v/>
      </c>
      <c r="P173" s="199">
        <f>IF(H173="","",$D$5+SUM($O$5:O173))</f>
        <v/>
      </c>
    </row>
    <row r="174">
      <c r="G174" s="11">
        <f>IF(H174="","",ROW()-4)</f>
        <v/>
      </c>
      <c r="H174" s="12">
        <f>IF(OR(I173="",I173&gt;=$D$7),"",I173)</f>
        <v/>
      </c>
      <c r="I174" s="12">
        <f>IF(H174="","",MIN(IF($D$18="LEGAL",DATE(YEAR(H174)+1,1,1),EDATE($D$12,$D$11*(INT((((YEAR(H174)-YEAR($D$12))*12+(MONTH(H174)-MONTH($D$12))-IF(DAY(H174)&lt;DAY($D$12),1,0))/$D$11))+1))),$D$7))</f>
        <v/>
      </c>
      <c r="J174" s="11">
        <f>IF(H174="","",I174-H174)</f>
        <v/>
      </c>
      <c r="K174" s="12">
        <f>IF(H174="","",IF($D$18="LEGAL",H174,EDATE(H174,-$D$13)))</f>
        <v/>
      </c>
      <c r="L174" s="13">
        <f>IF(H174="","",IFERROR(INDEX('Tipos BdE'!$B$7:$M$336,MATCH(DATE(YEAR(K174),MONTH(K174),1),'Tipos BdE'!$A$7:$A$336,1),MATCH($D$9,'Tipos BdE'!$B$6:$M$6,0)),0))</f>
        <v/>
      </c>
      <c r="M174" s="13">
        <f>IF(H174="","",IF($D$18="LEGAL",0,$D$10))</f>
        <v/>
      </c>
      <c r="N174" s="13">
        <f>IF(H174="","",IF(AND($D$14="Sí",(L174+M174)&lt;0),0,L174+M174))</f>
        <v/>
      </c>
      <c r="O174" s="199">
        <f>IF(H174="","",$D$5*N174*J174/36500)</f>
        <v/>
      </c>
      <c r="P174" s="199">
        <f>IF(H174="","",$D$5+SUM($O$5:O174))</f>
        <v/>
      </c>
    </row>
    <row r="175">
      <c r="G175" s="11">
        <f>IF(H175="","",ROW()-4)</f>
        <v/>
      </c>
      <c r="H175" s="12">
        <f>IF(OR(I174="",I174&gt;=$D$7),"",I174)</f>
        <v/>
      </c>
      <c r="I175" s="12">
        <f>IF(H175="","",MIN(IF($D$18="LEGAL",DATE(YEAR(H175)+1,1,1),EDATE($D$12,$D$11*(INT((((YEAR(H175)-YEAR($D$12))*12+(MONTH(H175)-MONTH($D$12))-IF(DAY(H175)&lt;DAY($D$12),1,0))/$D$11))+1))),$D$7))</f>
        <v/>
      </c>
      <c r="J175" s="11">
        <f>IF(H175="","",I175-H175)</f>
        <v/>
      </c>
      <c r="K175" s="12">
        <f>IF(H175="","",IF($D$18="LEGAL",H175,EDATE(H175,-$D$13)))</f>
        <v/>
      </c>
      <c r="L175" s="13">
        <f>IF(H175="","",IFERROR(INDEX('Tipos BdE'!$B$7:$M$336,MATCH(DATE(YEAR(K175),MONTH(K175),1),'Tipos BdE'!$A$7:$A$336,1),MATCH($D$9,'Tipos BdE'!$B$6:$M$6,0)),0))</f>
        <v/>
      </c>
      <c r="M175" s="13">
        <f>IF(H175="","",IF($D$18="LEGAL",0,$D$10))</f>
        <v/>
      </c>
      <c r="N175" s="13">
        <f>IF(H175="","",IF(AND($D$14="Sí",(L175+M175)&lt;0),0,L175+M175))</f>
        <v/>
      </c>
      <c r="O175" s="199">
        <f>IF(H175="","",$D$5*N175*J175/36500)</f>
        <v/>
      </c>
      <c r="P175" s="199">
        <f>IF(H175="","",$D$5+SUM($O$5:O175))</f>
        <v/>
      </c>
    </row>
    <row r="176">
      <c r="G176" s="11">
        <f>IF(H176="","",ROW()-4)</f>
        <v/>
      </c>
      <c r="H176" s="12">
        <f>IF(OR(I175="",I175&gt;=$D$7),"",I175)</f>
        <v/>
      </c>
      <c r="I176" s="12">
        <f>IF(H176="","",MIN(IF($D$18="LEGAL",DATE(YEAR(H176)+1,1,1),EDATE($D$12,$D$11*(INT((((YEAR(H176)-YEAR($D$12))*12+(MONTH(H176)-MONTH($D$12))-IF(DAY(H176)&lt;DAY($D$12),1,0))/$D$11))+1))),$D$7))</f>
        <v/>
      </c>
      <c r="J176" s="11">
        <f>IF(H176="","",I176-H176)</f>
        <v/>
      </c>
      <c r="K176" s="12">
        <f>IF(H176="","",IF($D$18="LEGAL",H176,EDATE(H176,-$D$13)))</f>
        <v/>
      </c>
      <c r="L176" s="13">
        <f>IF(H176="","",IFERROR(INDEX('Tipos BdE'!$B$7:$M$336,MATCH(DATE(YEAR(K176),MONTH(K176),1),'Tipos BdE'!$A$7:$A$336,1),MATCH($D$9,'Tipos BdE'!$B$6:$M$6,0)),0))</f>
        <v/>
      </c>
      <c r="M176" s="13">
        <f>IF(H176="","",IF($D$18="LEGAL",0,$D$10))</f>
        <v/>
      </c>
      <c r="N176" s="13">
        <f>IF(H176="","",IF(AND($D$14="Sí",(L176+M176)&lt;0),0,L176+M176))</f>
        <v/>
      </c>
      <c r="O176" s="199">
        <f>IF(H176="","",$D$5*N176*J176/36500)</f>
        <v/>
      </c>
      <c r="P176" s="199">
        <f>IF(H176="","",$D$5+SUM($O$5:O176))</f>
        <v/>
      </c>
    </row>
    <row r="177">
      <c r="G177" s="11">
        <f>IF(H177="","",ROW()-4)</f>
        <v/>
      </c>
      <c r="H177" s="12">
        <f>IF(OR(I176="",I176&gt;=$D$7),"",I176)</f>
        <v/>
      </c>
      <c r="I177" s="12">
        <f>IF(H177="","",MIN(IF($D$18="LEGAL",DATE(YEAR(H177)+1,1,1),EDATE($D$12,$D$11*(INT((((YEAR(H177)-YEAR($D$12))*12+(MONTH(H177)-MONTH($D$12))-IF(DAY(H177)&lt;DAY($D$12),1,0))/$D$11))+1))),$D$7))</f>
        <v/>
      </c>
      <c r="J177" s="11">
        <f>IF(H177="","",I177-H177)</f>
        <v/>
      </c>
      <c r="K177" s="12">
        <f>IF(H177="","",IF($D$18="LEGAL",H177,EDATE(H177,-$D$13)))</f>
        <v/>
      </c>
      <c r="L177" s="13">
        <f>IF(H177="","",IFERROR(INDEX('Tipos BdE'!$B$7:$M$336,MATCH(DATE(YEAR(K177),MONTH(K177),1),'Tipos BdE'!$A$7:$A$336,1),MATCH($D$9,'Tipos BdE'!$B$6:$M$6,0)),0))</f>
        <v/>
      </c>
      <c r="M177" s="13">
        <f>IF(H177="","",IF($D$18="LEGAL",0,$D$10))</f>
        <v/>
      </c>
      <c r="N177" s="13">
        <f>IF(H177="","",IF(AND($D$14="Sí",(L177+M177)&lt;0),0,L177+M177))</f>
        <v/>
      </c>
      <c r="O177" s="199">
        <f>IF(H177="","",$D$5*N177*J177/36500)</f>
        <v/>
      </c>
      <c r="P177" s="199">
        <f>IF(H177="","",$D$5+SUM($O$5:O177))</f>
        <v/>
      </c>
    </row>
    <row r="178">
      <c r="G178" s="11">
        <f>IF(H178="","",ROW()-4)</f>
        <v/>
      </c>
      <c r="H178" s="12">
        <f>IF(OR(I177="",I177&gt;=$D$7),"",I177)</f>
        <v/>
      </c>
      <c r="I178" s="12">
        <f>IF(H178="","",MIN(IF($D$18="LEGAL",DATE(YEAR(H178)+1,1,1),EDATE($D$12,$D$11*(INT((((YEAR(H178)-YEAR($D$12))*12+(MONTH(H178)-MONTH($D$12))-IF(DAY(H178)&lt;DAY($D$12),1,0))/$D$11))+1))),$D$7))</f>
        <v/>
      </c>
      <c r="J178" s="11">
        <f>IF(H178="","",I178-H178)</f>
        <v/>
      </c>
      <c r="K178" s="12">
        <f>IF(H178="","",IF($D$18="LEGAL",H178,EDATE(H178,-$D$13)))</f>
        <v/>
      </c>
      <c r="L178" s="13">
        <f>IF(H178="","",IFERROR(INDEX('Tipos BdE'!$B$7:$M$336,MATCH(DATE(YEAR(K178),MONTH(K178),1),'Tipos BdE'!$A$7:$A$336,1),MATCH($D$9,'Tipos BdE'!$B$6:$M$6,0)),0))</f>
        <v/>
      </c>
      <c r="M178" s="13">
        <f>IF(H178="","",IF($D$18="LEGAL",0,$D$10))</f>
        <v/>
      </c>
      <c r="N178" s="13">
        <f>IF(H178="","",IF(AND($D$14="Sí",(L178+M178)&lt;0),0,L178+M178))</f>
        <v/>
      </c>
      <c r="O178" s="199">
        <f>IF(H178="","",$D$5*N178*J178/36500)</f>
        <v/>
      </c>
      <c r="P178" s="199">
        <f>IF(H178="","",$D$5+SUM($O$5:O178))</f>
        <v/>
      </c>
    </row>
    <row r="179">
      <c r="G179" s="11">
        <f>IF(H179="","",ROW()-4)</f>
        <v/>
      </c>
      <c r="H179" s="12">
        <f>IF(OR(I178="",I178&gt;=$D$7),"",I178)</f>
        <v/>
      </c>
      <c r="I179" s="12">
        <f>IF(H179="","",MIN(IF($D$18="LEGAL",DATE(YEAR(H179)+1,1,1),EDATE($D$12,$D$11*(INT((((YEAR(H179)-YEAR($D$12))*12+(MONTH(H179)-MONTH($D$12))-IF(DAY(H179)&lt;DAY($D$12),1,0))/$D$11))+1))),$D$7))</f>
        <v/>
      </c>
      <c r="J179" s="11">
        <f>IF(H179="","",I179-H179)</f>
        <v/>
      </c>
      <c r="K179" s="12">
        <f>IF(H179="","",IF($D$18="LEGAL",H179,EDATE(H179,-$D$13)))</f>
        <v/>
      </c>
      <c r="L179" s="13">
        <f>IF(H179="","",IFERROR(INDEX('Tipos BdE'!$B$7:$M$336,MATCH(DATE(YEAR(K179),MONTH(K179),1),'Tipos BdE'!$A$7:$A$336,1),MATCH($D$9,'Tipos BdE'!$B$6:$M$6,0)),0))</f>
        <v/>
      </c>
      <c r="M179" s="13">
        <f>IF(H179="","",IF($D$18="LEGAL",0,$D$10))</f>
        <v/>
      </c>
      <c r="N179" s="13">
        <f>IF(H179="","",IF(AND($D$14="Sí",(L179+M179)&lt;0),0,L179+M179))</f>
        <v/>
      </c>
      <c r="O179" s="199">
        <f>IF(H179="","",$D$5*N179*J179/36500)</f>
        <v/>
      </c>
      <c r="P179" s="199">
        <f>IF(H179="","",$D$5+SUM($O$5:O179))</f>
        <v/>
      </c>
    </row>
    <row r="180">
      <c r="G180" s="11">
        <f>IF(H180="","",ROW()-4)</f>
        <v/>
      </c>
      <c r="H180" s="12">
        <f>IF(OR(I179="",I179&gt;=$D$7),"",I179)</f>
        <v/>
      </c>
      <c r="I180" s="12">
        <f>IF(H180="","",MIN(IF($D$18="LEGAL",DATE(YEAR(H180)+1,1,1),EDATE($D$12,$D$11*(INT((((YEAR(H180)-YEAR($D$12))*12+(MONTH(H180)-MONTH($D$12))-IF(DAY(H180)&lt;DAY($D$12),1,0))/$D$11))+1))),$D$7))</f>
        <v/>
      </c>
      <c r="J180" s="11">
        <f>IF(H180="","",I180-H180)</f>
        <v/>
      </c>
      <c r="K180" s="12">
        <f>IF(H180="","",IF($D$18="LEGAL",H180,EDATE(H180,-$D$13)))</f>
        <v/>
      </c>
      <c r="L180" s="13">
        <f>IF(H180="","",IFERROR(INDEX('Tipos BdE'!$B$7:$M$336,MATCH(DATE(YEAR(K180),MONTH(K180),1),'Tipos BdE'!$A$7:$A$336,1),MATCH($D$9,'Tipos BdE'!$B$6:$M$6,0)),0))</f>
        <v/>
      </c>
      <c r="M180" s="13">
        <f>IF(H180="","",IF($D$18="LEGAL",0,$D$10))</f>
        <v/>
      </c>
      <c r="N180" s="13">
        <f>IF(H180="","",IF(AND($D$14="Sí",(L180+M180)&lt;0),0,L180+M180))</f>
        <v/>
      </c>
      <c r="O180" s="199">
        <f>IF(H180="","",$D$5*N180*J180/36500)</f>
        <v/>
      </c>
      <c r="P180" s="199">
        <f>IF(H180="","",$D$5+SUM($O$5:O180))</f>
        <v/>
      </c>
    </row>
    <row r="181">
      <c r="G181" s="11">
        <f>IF(H181="","",ROW()-4)</f>
        <v/>
      </c>
      <c r="H181" s="12">
        <f>IF(OR(I180="",I180&gt;=$D$7),"",I180)</f>
        <v/>
      </c>
      <c r="I181" s="12">
        <f>IF(H181="","",MIN(IF($D$18="LEGAL",DATE(YEAR(H181)+1,1,1),EDATE($D$12,$D$11*(INT((((YEAR(H181)-YEAR($D$12))*12+(MONTH(H181)-MONTH($D$12))-IF(DAY(H181)&lt;DAY($D$12),1,0))/$D$11))+1))),$D$7))</f>
        <v/>
      </c>
      <c r="J181" s="11">
        <f>IF(H181="","",I181-H181)</f>
        <v/>
      </c>
      <c r="K181" s="12">
        <f>IF(H181="","",IF($D$18="LEGAL",H181,EDATE(H181,-$D$13)))</f>
        <v/>
      </c>
      <c r="L181" s="13">
        <f>IF(H181="","",IFERROR(INDEX('Tipos BdE'!$B$7:$M$336,MATCH(DATE(YEAR(K181),MONTH(K181),1),'Tipos BdE'!$A$7:$A$336,1),MATCH($D$9,'Tipos BdE'!$B$6:$M$6,0)),0))</f>
        <v/>
      </c>
      <c r="M181" s="13">
        <f>IF(H181="","",IF($D$18="LEGAL",0,$D$10))</f>
        <v/>
      </c>
      <c r="N181" s="13">
        <f>IF(H181="","",IF(AND($D$14="Sí",(L181+M181)&lt;0),0,L181+M181))</f>
        <v/>
      </c>
      <c r="O181" s="199">
        <f>IF(H181="","",$D$5*N181*J181/36500)</f>
        <v/>
      </c>
      <c r="P181" s="199">
        <f>IF(H181="","",$D$5+SUM($O$5:O181))</f>
        <v/>
      </c>
    </row>
    <row r="182">
      <c r="G182" s="11">
        <f>IF(H182="","",ROW()-4)</f>
        <v/>
      </c>
      <c r="H182" s="12">
        <f>IF(OR(I181="",I181&gt;=$D$7),"",I181)</f>
        <v/>
      </c>
      <c r="I182" s="12">
        <f>IF(H182="","",MIN(IF($D$18="LEGAL",DATE(YEAR(H182)+1,1,1),EDATE($D$12,$D$11*(INT((((YEAR(H182)-YEAR($D$12))*12+(MONTH(H182)-MONTH($D$12))-IF(DAY(H182)&lt;DAY($D$12),1,0))/$D$11))+1))),$D$7))</f>
        <v/>
      </c>
      <c r="J182" s="11">
        <f>IF(H182="","",I182-H182)</f>
        <v/>
      </c>
      <c r="K182" s="12">
        <f>IF(H182="","",IF($D$18="LEGAL",H182,EDATE(H182,-$D$13)))</f>
        <v/>
      </c>
      <c r="L182" s="13">
        <f>IF(H182="","",IFERROR(INDEX('Tipos BdE'!$B$7:$M$336,MATCH(DATE(YEAR(K182),MONTH(K182),1),'Tipos BdE'!$A$7:$A$336,1),MATCH($D$9,'Tipos BdE'!$B$6:$M$6,0)),0))</f>
        <v/>
      </c>
      <c r="M182" s="13">
        <f>IF(H182="","",IF($D$18="LEGAL",0,$D$10))</f>
        <v/>
      </c>
      <c r="N182" s="13">
        <f>IF(H182="","",IF(AND($D$14="Sí",(L182+M182)&lt;0),0,L182+M182))</f>
        <v/>
      </c>
      <c r="O182" s="199">
        <f>IF(H182="","",$D$5*N182*J182/36500)</f>
        <v/>
      </c>
      <c r="P182" s="199">
        <f>IF(H182="","",$D$5+SUM($O$5:O182))</f>
        <v/>
      </c>
    </row>
    <row r="183">
      <c r="G183" s="11">
        <f>IF(H183="","",ROW()-4)</f>
        <v/>
      </c>
      <c r="H183" s="12">
        <f>IF(OR(I182="",I182&gt;=$D$7),"",I182)</f>
        <v/>
      </c>
      <c r="I183" s="12">
        <f>IF(H183="","",MIN(IF($D$18="LEGAL",DATE(YEAR(H183)+1,1,1),EDATE($D$12,$D$11*(INT((((YEAR(H183)-YEAR($D$12))*12+(MONTH(H183)-MONTH($D$12))-IF(DAY(H183)&lt;DAY($D$12),1,0))/$D$11))+1))),$D$7))</f>
        <v/>
      </c>
      <c r="J183" s="11">
        <f>IF(H183="","",I183-H183)</f>
        <v/>
      </c>
      <c r="K183" s="12">
        <f>IF(H183="","",IF($D$18="LEGAL",H183,EDATE(H183,-$D$13)))</f>
        <v/>
      </c>
      <c r="L183" s="13">
        <f>IF(H183="","",IFERROR(INDEX('Tipos BdE'!$B$7:$M$336,MATCH(DATE(YEAR(K183),MONTH(K183),1),'Tipos BdE'!$A$7:$A$336,1),MATCH($D$9,'Tipos BdE'!$B$6:$M$6,0)),0))</f>
        <v/>
      </c>
      <c r="M183" s="13">
        <f>IF(H183="","",IF($D$18="LEGAL",0,$D$10))</f>
        <v/>
      </c>
      <c r="N183" s="13">
        <f>IF(H183="","",IF(AND($D$14="Sí",(L183+M183)&lt;0),0,L183+M183))</f>
        <v/>
      </c>
      <c r="O183" s="199">
        <f>IF(H183="","",$D$5*N183*J183/36500)</f>
        <v/>
      </c>
      <c r="P183" s="199">
        <f>IF(H183="","",$D$5+SUM($O$5:O183))</f>
        <v/>
      </c>
    </row>
    <row r="184">
      <c r="G184" s="11">
        <f>IF(H184="","",ROW()-4)</f>
        <v/>
      </c>
      <c r="H184" s="12">
        <f>IF(OR(I183="",I183&gt;=$D$7),"",I183)</f>
        <v/>
      </c>
      <c r="I184" s="12">
        <f>IF(H184="","",MIN(IF($D$18="LEGAL",DATE(YEAR(H184)+1,1,1),EDATE($D$12,$D$11*(INT((((YEAR(H184)-YEAR($D$12))*12+(MONTH(H184)-MONTH($D$12))-IF(DAY(H184)&lt;DAY($D$12),1,0))/$D$11))+1))),$D$7))</f>
        <v/>
      </c>
      <c r="J184" s="11">
        <f>IF(H184="","",I184-H184)</f>
        <v/>
      </c>
      <c r="K184" s="12">
        <f>IF(H184="","",IF($D$18="LEGAL",H184,EDATE(H184,-$D$13)))</f>
        <v/>
      </c>
      <c r="L184" s="13">
        <f>IF(H184="","",IFERROR(INDEX('Tipos BdE'!$B$7:$M$336,MATCH(DATE(YEAR(K184),MONTH(K184),1),'Tipos BdE'!$A$7:$A$336,1),MATCH($D$9,'Tipos BdE'!$B$6:$M$6,0)),0))</f>
        <v/>
      </c>
      <c r="M184" s="13">
        <f>IF(H184="","",IF($D$18="LEGAL",0,$D$10))</f>
        <v/>
      </c>
      <c r="N184" s="13">
        <f>IF(H184="","",IF(AND($D$14="Sí",(L184+M184)&lt;0),0,L184+M184))</f>
        <v/>
      </c>
      <c r="O184" s="199">
        <f>IF(H184="","",$D$5*N184*J184/36500)</f>
        <v/>
      </c>
      <c r="P184" s="199">
        <f>IF(H184="","",$D$5+SUM($O$5:O184))</f>
        <v/>
      </c>
    </row>
    <row r="185">
      <c r="G185" s="11">
        <f>IF(H185="","",ROW()-4)</f>
        <v/>
      </c>
      <c r="H185" s="12">
        <f>IF(OR(I184="",I184&gt;=$D$7),"",I184)</f>
        <v/>
      </c>
      <c r="I185" s="12">
        <f>IF(H185="","",MIN(IF($D$18="LEGAL",DATE(YEAR(H185)+1,1,1),EDATE($D$12,$D$11*(INT((((YEAR(H185)-YEAR($D$12))*12+(MONTH(H185)-MONTH($D$12))-IF(DAY(H185)&lt;DAY($D$12),1,0))/$D$11))+1))),$D$7))</f>
        <v/>
      </c>
      <c r="J185" s="11">
        <f>IF(H185="","",I185-H185)</f>
        <v/>
      </c>
      <c r="K185" s="12">
        <f>IF(H185="","",IF($D$18="LEGAL",H185,EDATE(H185,-$D$13)))</f>
        <v/>
      </c>
      <c r="L185" s="13">
        <f>IF(H185="","",IFERROR(INDEX('Tipos BdE'!$B$7:$M$336,MATCH(DATE(YEAR(K185),MONTH(K185),1),'Tipos BdE'!$A$7:$A$336,1),MATCH($D$9,'Tipos BdE'!$B$6:$M$6,0)),0))</f>
        <v/>
      </c>
      <c r="M185" s="13">
        <f>IF(H185="","",IF($D$18="LEGAL",0,$D$10))</f>
        <v/>
      </c>
      <c r="N185" s="13">
        <f>IF(H185="","",IF(AND($D$14="Sí",(L185+M185)&lt;0),0,L185+M185))</f>
        <v/>
      </c>
      <c r="O185" s="199">
        <f>IF(H185="","",$D$5*N185*J185/36500)</f>
        <v/>
      </c>
      <c r="P185" s="199">
        <f>IF(H185="","",$D$5+SUM($O$5:O185))</f>
        <v/>
      </c>
    </row>
    <row r="186">
      <c r="G186" s="11">
        <f>IF(H186="","",ROW()-4)</f>
        <v/>
      </c>
      <c r="H186" s="12">
        <f>IF(OR(I185="",I185&gt;=$D$7),"",I185)</f>
        <v/>
      </c>
      <c r="I186" s="12">
        <f>IF(H186="","",MIN(IF($D$18="LEGAL",DATE(YEAR(H186)+1,1,1),EDATE($D$12,$D$11*(INT((((YEAR(H186)-YEAR($D$12))*12+(MONTH(H186)-MONTH($D$12))-IF(DAY(H186)&lt;DAY($D$12),1,0))/$D$11))+1))),$D$7))</f>
        <v/>
      </c>
      <c r="J186" s="11">
        <f>IF(H186="","",I186-H186)</f>
        <v/>
      </c>
      <c r="K186" s="12">
        <f>IF(H186="","",IF($D$18="LEGAL",H186,EDATE(H186,-$D$13)))</f>
        <v/>
      </c>
      <c r="L186" s="13">
        <f>IF(H186="","",IFERROR(INDEX('Tipos BdE'!$B$7:$M$336,MATCH(DATE(YEAR(K186),MONTH(K186),1),'Tipos BdE'!$A$7:$A$336,1),MATCH($D$9,'Tipos BdE'!$B$6:$M$6,0)),0))</f>
        <v/>
      </c>
      <c r="M186" s="13">
        <f>IF(H186="","",IF($D$18="LEGAL",0,$D$10))</f>
        <v/>
      </c>
      <c r="N186" s="13">
        <f>IF(H186="","",IF(AND($D$14="Sí",(L186+M186)&lt;0),0,L186+M186))</f>
        <v/>
      </c>
      <c r="O186" s="199">
        <f>IF(H186="","",$D$5*N186*J186/36500)</f>
        <v/>
      </c>
      <c r="P186" s="199">
        <f>IF(H186="","",$D$5+SUM($O$5:O186))</f>
        <v/>
      </c>
    </row>
    <row r="187">
      <c r="G187" s="11">
        <f>IF(H187="","",ROW()-4)</f>
        <v/>
      </c>
      <c r="H187" s="12">
        <f>IF(OR(I186="",I186&gt;=$D$7),"",I186)</f>
        <v/>
      </c>
      <c r="I187" s="12">
        <f>IF(H187="","",MIN(IF($D$18="LEGAL",DATE(YEAR(H187)+1,1,1),EDATE($D$12,$D$11*(INT((((YEAR(H187)-YEAR($D$12))*12+(MONTH(H187)-MONTH($D$12))-IF(DAY(H187)&lt;DAY($D$12),1,0))/$D$11))+1))),$D$7))</f>
        <v/>
      </c>
      <c r="J187" s="11">
        <f>IF(H187="","",I187-H187)</f>
        <v/>
      </c>
      <c r="K187" s="12">
        <f>IF(H187="","",IF($D$18="LEGAL",H187,EDATE(H187,-$D$13)))</f>
        <v/>
      </c>
      <c r="L187" s="13">
        <f>IF(H187="","",IFERROR(INDEX('Tipos BdE'!$B$7:$M$336,MATCH(DATE(YEAR(K187),MONTH(K187),1),'Tipos BdE'!$A$7:$A$336,1),MATCH($D$9,'Tipos BdE'!$B$6:$M$6,0)),0))</f>
        <v/>
      </c>
      <c r="M187" s="13">
        <f>IF(H187="","",IF($D$18="LEGAL",0,$D$10))</f>
        <v/>
      </c>
      <c r="N187" s="13">
        <f>IF(H187="","",IF(AND($D$14="Sí",(L187+M187)&lt;0),0,L187+M187))</f>
        <v/>
      </c>
      <c r="O187" s="199">
        <f>IF(H187="","",$D$5*N187*J187/36500)</f>
        <v/>
      </c>
      <c r="P187" s="199">
        <f>IF(H187="","",$D$5+SUM($O$5:O187))</f>
        <v/>
      </c>
    </row>
    <row r="188">
      <c r="G188" s="11">
        <f>IF(H188="","",ROW()-4)</f>
        <v/>
      </c>
      <c r="H188" s="12">
        <f>IF(OR(I187="",I187&gt;=$D$7),"",I187)</f>
        <v/>
      </c>
      <c r="I188" s="12">
        <f>IF(H188="","",MIN(IF($D$18="LEGAL",DATE(YEAR(H188)+1,1,1),EDATE($D$12,$D$11*(INT((((YEAR(H188)-YEAR($D$12))*12+(MONTH(H188)-MONTH($D$12))-IF(DAY(H188)&lt;DAY($D$12),1,0))/$D$11))+1))),$D$7))</f>
        <v/>
      </c>
      <c r="J188" s="11">
        <f>IF(H188="","",I188-H188)</f>
        <v/>
      </c>
      <c r="K188" s="12">
        <f>IF(H188="","",IF($D$18="LEGAL",H188,EDATE(H188,-$D$13)))</f>
        <v/>
      </c>
      <c r="L188" s="13">
        <f>IF(H188="","",IFERROR(INDEX('Tipos BdE'!$B$7:$M$336,MATCH(DATE(YEAR(K188),MONTH(K188),1),'Tipos BdE'!$A$7:$A$336,1),MATCH($D$9,'Tipos BdE'!$B$6:$M$6,0)),0))</f>
        <v/>
      </c>
      <c r="M188" s="13">
        <f>IF(H188="","",IF($D$18="LEGAL",0,$D$10))</f>
        <v/>
      </c>
      <c r="N188" s="13">
        <f>IF(H188="","",IF(AND($D$14="Sí",(L188+M188)&lt;0),0,L188+M188))</f>
        <v/>
      </c>
      <c r="O188" s="199">
        <f>IF(H188="","",$D$5*N188*J188/36500)</f>
        <v/>
      </c>
      <c r="P188" s="199">
        <f>IF(H188="","",$D$5+SUM($O$5:O188))</f>
        <v/>
      </c>
    </row>
    <row r="189">
      <c r="G189" s="11">
        <f>IF(H189="","",ROW()-4)</f>
        <v/>
      </c>
      <c r="H189" s="12">
        <f>IF(OR(I188="",I188&gt;=$D$7),"",I188)</f>
        <v/>
      </c>
      <c r="I189" s="12">
        <f>IF(H189="","",MIN(IF($D$18="LEGAL",DATE(YEAR(H189)+1,1,1),EDATE($D$12,$D$11*(INT((((YEAR(H189)-YEAR($D$12))*12+(MONTH(H189)-MONTH($D$12))-IF(DAY(H189)&lt;DAY($D$12),1,0))/$D$11))+1))),$D$7))</f>
        <v/>
      </c>
      <c r="J189" s="11">
        <f>IF(H189="","",I189-H189)</f>
        <v/>
      </c>
      <c r="K189" s="12">
        <f>IF(H189="","",IF($D$18="LEGAL",H189,EDATE(H189,-$D$13)))</f>
        <v/>
      </c>
      <c r="L189" s="13">
        <f>IF(H189="","",IFERROR(INDEX('Tipos BdE'!$B$7:$M$336,MATCH(DATE(YEAR(K189),MONTH(K189),1),'Tipos BdE'!$A$7:$A$336,1),MATCH($D$9,'Tipos BdE'!$B$6:$M$6,0)),0))</f>
        <v/>
      </c>
      <c r="M189" s="13">
        <f>IF(H189="","",IF($D$18="LEGAL",0,$D$10))</f>
        <v/>
      </c>
      <c r="N189" s="13">
        <f>IF(H189="","",IF(AND($D$14="Sí",(L189+M189)&lt;0),0,L189+M189))</f>
        <v/>
      </c>
      <c r="O189" s="199">
        <f>IF(H189="","",$D$5*N189*J189/36500)</f>
        <v/>
      </c>
      <c r="P189" s="199">
        <f>IF(H189="","",$D$5+SUM($O$5:O189))</f>
        <v/>
      </c>
    </row>
    <row r="190">
      <c r="G190" s="11">
        <f>IF(H190="","",ROW()-4)</f>
        <v/>
      </c>
      <c r="H190" s="12">
        <f>IF(OR(I189="",I189&gt;=$D$7),"",I189)</f>
        <v/>
      </c>
      <c r="I190" s="12">
        <f>IF(H190="","",MIN(IF($D$18="LEGAL",DATE(YEAR(H190)+1,1,1),EDATE($D$12,$D$11*(INT((((YEAR(H190)-YEAR($D$12))*12+(MONTH(H190)-MONTH($D$12))-IF(DAY(H190)&lt;DAY($D$12),1,0))/$D$11))+1))),$D$7))</f>
        <v/>
      </c>
      <c r="J190" s="11">
        <f>IF(H190="","",I190-H190)</f>
        <v/>
      </c>
      <c r="K190" s="12">
        <f>IF(H190="","",IF($D$18="LEGAL",H190,EDATE(H190,-$D$13)))</f>
        <v/>
      </c>
      <c r="L190" s="13">
        <f>IF(H190="","",IFERROR(INDEX('Tipos BdE'!$B$7:$M$336,MATCH(DATE(YEAR(K190),MONTH(K190),1),'Tipos BdE'!$A$7:$A$336,1),MATCH($D$9,'Tipos BdE'!$B$6:$M$6,0)),0))</f>
        <v/>
      </c>
      <c r="M190" s="13">
        <f>IF(H190="","",IF($D$18="LEGAL",0,$D$10))</f>
        <v/>
      </c>
      <c r="N190" s="13">
        <f>IF(H190="","",IF(AND($D$14="Sí",(L190+M190)&lt;0),0,L190+M190))</f>
        <v/>
      </c>
      <c r="O190" s="199">
        <f>IF(H190="","",$D$5*N190*J190/36500)</f>
        <v/>
      </c>
      <c r="P190" s="199">
        <f>IF(H190="","",$D$5+SUM($O$5:O190))</f>
        <v/>
      </c>
    </row>
    <row r="191">
      <c r="G191" s="11">
        <f>IF(H191="","",ROW()-4)</f>
        <v/>
      </c>
      <c r="H191" s="12">
        <f>IF(OR(I190="",I190&gt;=$D$7),"",I190)</f>
        <v/>
      </c>
      <c r="I191" s="12">
        <f>IF(H191="","",MIN(IF($D$18="LEGAL",DATE(YEAR(H191)+1,1,1),EDATE($D$12,$D$11*(INT((((YEAR(H191)-YEAR($D$12))*12+(MONTH(H191)-MONTH($D$12))-IF(DAY(H191)&lt;DAY($D$12),1,0))/$D$11))+1))),$D$7))</f>
        <v/>
      </c>
      <c r="J191" s="11">
        <f>IF(H191="","",I191-H191)</f>
        <v/>
      </c>
      <c r="K191" s="12">
        <f>IF(H191="","",IF($D$18="LEGAL",H191,EDATE(H191,-$D$13)))</f>
        <v/>
      </c>
      <c r="L191" s="13">
        <f>IF(H191="","",IFERROR(INDEX('Tipos BdE'!$B$7:$M$336,MATCH(DATE(YEAR(K191),MONTH(K191),1),'Tipos BdE'!$A$7:$A$336,1),MATCH($D$9,'Tipos BdE'!$B$6:$M$6,0)),0))</f>
        <v/>
      </c>
      <c r="M191" s="13">
        <f>IF(H191="","",IF($D$18="LEGAL",0,$D$10))</f>
        <v/>
      </c>
      <c r="N191" s="13">
        <f>IF(H191="","",IF(AND($D$14="Sí",(L191+M191)&lt;0),0,L191+M191))</f>
        <v/>
      </c>
      <c r="O191" s="199">
        <f>IF(H191="","",$D$5*N191*J191/36500)</f>
        <v/>
      </c>
      <c r="P191" s="199">
        <f>IF(H191="","",$D$5+SUM($O$5:O191))</f>
        <v/>
      </c>
    </row>
    <row r="192">
      <c r="G192" s="11">
        <f>IF(H192="","",ROW()-4)</f>
        <v/>
      </c>
      <c r="H192" s="12">
        <f>IF(OR(I191="",I191&gt;=$D$7),"",I191)</f>
        <v/>
      </c>
      <c r="I192" s="12">
        <f>IF(H192="","",MIN(IF($D$18="LEGAL",DATE(YEAR(H192)+1,1,1),EDATE($D$12,$D$11*(INT((((YEAR(H192)-YEAR($D$12))*12+(MONTH(H192)-MONTH($D$12))-IF(DAY(H192)&lt;DAY($D$12),1,0))/$D$11))+1))),$D$7))</f>
        <v/>
      </c>
      <c r="J192" s="11">
        <f>IF(H192="","",I192-H192)</f>
        <v/>
      </c>
      <c r="K192" s="12">
        <f>IF(H192="","",IF($D$18="LEGAL",H192,EDATE(H192,-$D$13)))</f>
        <v/>
      </c>
      <c r="L192" s="13">
        <f>IF(H192="","",IFERROR(INDEX('Tipos BdE'!$B$7:$M$336,MATCH(DATE(YEAR(K192),MONTH(K192),1),'Tipos BdE'!$A$7:$A$336,1),MATCH($D$9,'Tipos BdE'!$B$6:$M$6,0)),0))</f>
        <v/>
      </c>
      <c r="M192" s="13">
        <f>IF(H192="","",IF($D$18="LEGAL",0,$D$10))</f>
        <v/>
      </c>
      <c r="N192" s="13">
        <f>IF(H192="","",IF(AND($D$14="Sí",(L192+M192)&lt;0),0,L192+M192))</f>
        <v/>
      </c>
      <c r="O192" s="199">
        <f>IF(H192="","",$D$5*N192*J192/36500)</f>
        <v/>
      </c>
      <c r="P192" s="199">
        <f>IF(H192="","",$D$5+SUM($O$5:O192))</f>
        <v/>
      </c>
    </row>
    <row r="193">
      <c r="G193" s="11">
        <f>IF(H193="","",ROW()-4)</f>
        <v/>
      </c>
      <c r="H193" s="12">
        <f>IF(OR(I192="",I192&gt;=$D$7),"",I192)</f>
        <v/>
      </c>
      <c r="I193" s="12">
        <f>IF(H193="","",MIN(IF($D$18="LEGAL",DATE(YEAR(H193)+1,1,1),EDATE($D$12,$D$11*(INT((((YEAR(H193)-YEAR($D$12))*12+(MONTH(H193)-MONTH($D$12))-IF(DAY(H193)&lt;DAY($D$12),1,0))/$D$11))+1))),$D$7))</f>
        <v/>
      </c>
      <c r="J193" s="11">
        <f>IF(H193="","",I193-H193)</f>
        <v/>
      </c>
      <c r="K193" s="12">
        <f>IF(H193="","",IF($D$18="LEGAL",H193,EDATE(H193,-$D$13)))</f>
        <v/>
      </c>
      <c r="L193" s="13">
        <f>IF(H193="","",IFERROR(INDEX('Tipos BdE'!$B$7:$M$336,MATCH(DATE(YEAR(K193),MONTH(K193),1),'Tipos BdE'!$A$7:$A$336,1),MATCH($D$9,'Tipos BdE'!$B$6:$M$6,0)),0))</f>
        <v/>
      </c>
      <c r="M193" s="13">
        <f>IF(H193="","",IF($D$18="LEGAL",0,$D$10))</f>
        <v/>
      </c>
      <c r="N193" s="13">
        <f>IF(H193="","",IF(AND($D$14="Sí",(L193+M193)&lt;0),0,L193+M193))</f>
        <v/>
      </c>
      <c r="O193" s="199">
        <f>IF(H193="","",$D$5*N193*J193/36500)</f>
        <v/>
      </c>
      <c r="P193" s="199">
        <f>IF(H193="","",$D$5+SUM($O$5:O193))</f>
        <v/>
      </c>
    </row>
    <row r="194">
      <c r="G194" s="11">
        <f>IF(H194="","",ROW()-4)</f>
        <v/>
      </c>
      <c r="H194" s="12">
        <f>IF(OR(I193="",I193&gt;=$D$7),"",I193)</f>
        <v/>
      </c>
      <c r="I194" s="12">
        <f>IF(H194="","",MIN(IF($D$18="LEGAL",DATE(YEAR(H194)+1,1,1),EDATE($D$12,$D$11*(INT((((YEAR(H194)-YEAR($D$12))*12+(MONTH(H194)-MONTH($D$12))-IF(DAY(H194)&lt;DAY($D$12),1,0))/$D$11))+1))),$D$7))</f>
        <v/>
      </c>
      <c r="J194" s="11">
        <f>IF(H194="","",I194-H194)</f>
        <v/>
      </c>
      <c r="K194" s="12">
        <f>IF(H194="","",IF($D$18="LEGAL",H194,EDATE(H194,-$D$13)))</f>
        <v/>
      </c>
      <c r="L194" s="13">
        <f>IF(H194="","",IFERROR(INDEX('Tipos BdE'!$B$7:$M$336,MATCH(DATE(YEAR(K194),MONTH(K194),1),'Tipos BdE'!$A$7:$A$336,1),MATCH($D$9,'Tipos BdE'!$B$6:$M$6,0)),0))</f>
        <v/>
      </c>
      <c r="M194" s="13">
        <f>IF(H194="","",IF($D$18="LEGAL",0,$D$10))</f>
        <v/>
      </c>
      <c r="N194" s="13">
        <f>IF(H194="","",IF(AND($D$14="Sí",(L194+M194)&lt;0),0,L194+M194))</f>
        <v/>
      </c>
      <c r="O194" s="199">
        <f>IF(H194="","",$D$5*N194*J194/36500)</f>
        <v/>
      </c>
      <c r="P194" s="199">
        <f>IF(H194="","",$D$5+SUM($O$5:O194))</f>
        <v/>
      </c>
    </row>
    <row r="195">
      <c r="G195" s="11">
        <f>IF(H195="","",ROW()-4)</f>
        <v/>
      </c>
      <c r="H195" s="12">
        <f>IF(OR(I194="",I194&gt;=$D$7),"",I194)</f>
        <v/>
      </c>
      <c r="I195" s="12">
        <f>IF(H195="","",MIN(IF($D$18="LEGAL",DATE(YEAR(H195)+1,1,1),EDATE($D$12,$D$11*(INT((((YEAR(H195)-YEAR($D$12))*12+(MONTH(H195)-MONTH($D$12))-IF(DAY(H195)&lt;DAY($D$12),1,0))/$D$11))+1))),$D$7))</f>
        <v/>
      </c>
      <c r="J195" s="11">
        <f>IF(H195="","",I195-H195)</f>
        <v/>
      </c>
      <c r="K195" s="12">
        <f>IF(H195="","",IF($D$18="LEGAL",H195,EDATE(H195,-$D$13)))</f>
        <v/>
      </c>
      <c r="L195" s="13">
        <f>IF(H195="","",IFERROR(INDEX('Tipos BdE'!$B$7:$M$336,MATCH(DATE(YEAR(K195),MONTH(K195),1),'Tipos BdE'!$A$7:$A$336,1),MATCH($D$9,'Tipos BdE'!$B$6:$M$6,0)),0))</f>
        <v/>
      </c>
      <c r="M195" s="13">
        <f>IF(H195="","",IF($D$18="LEGAL",0,$D$10))</f>
        <v/>
      </c>
      <c r="N195" s="13">
        <f>IF(H195="","",IF(AND($D$14="Sí",(L195+M195)&lt;0),0,L195+M195))</f>
        <v/>
      </c>
      <c r="O195" s="199">
        <f>IF(H195="","",$D$5*N195*J195/36500)</f>
        <v/>
      </c>
      <c r="P195" s="199">
        <f>IF(H195="","",$D$5+SUM($O$5:O195))</f>
        <v/>
      </c>
    </row>
    <row r="196">
      <c r="G196" s="11">
        <f>IF(H196="","",ROW()-4)</f>
        <v/>
      </c>
      <c r="H196" s="12">
        <f>IF(OR(I195="",I195&gt;=$D$7),"",I195)</f>
        <v/>
      </c>
      <c r="I196" s="12">
        <f>IF(H196="","",MIN(IF($D$18="LEGAL",DATE(YEAR(H196)+1,1,1),EDATE($D$12,$D$11*(INT((((YEAR(H196)-YEAR($D$12))*12+(MONTH(H196)-MONTH($D$12))-IF(DAY(H196)&lt;DAY($D$12),1,0))/$D$11))+1))),$D$7))</f>
        <v/>
      </c>
      <c r="J196" s="11">
        <f>IF(H196="","",I196-H196)</f>
        <v/>
      </c>
      <c r="K196" s="12">
        <f>IF(H196="","",IF($D$18="LEGAL",H196,EDATE(H196,-$D$13)))</f>
        <v/>
      </c>
      <c r="L196" s="13">
        <f>IF(H196="","",IFERROR(INDEX('Tipos BdE'!$B$7:$M$336,MATCH(DATE(YEAR(K196),MONTH(K196),1),'Tipos BdE'!$A$7:$A$336,1),MATCH($D$9,'Tipos BdE'!$B$6:$M$6,0)),0))</f>
        <v/>
      </c>
      <c r="M196" s="13">
        <f>IF(H196="","",IF($D$18="LEGAL",0,$D$10))</f>
        <v/>
      </c>
      <c r="N196" s="13">
        <f>IF(H196="","",IF(AND($D$14="Sí",(L196+M196)&lt;0),0,L196+M196))</f>
        <v/>
      </c>
      <c r="O196" s="199">
        <f>IF(H196="","",$D$5*N196*J196/36500)</f>
        <v/>
      </c>
      <c r="P196" s="199">
        <f>IF(H196="","",$D$5+SUM($O$5:O196))</f>
        <v/>
      </c>
    </row>
    <row r="197">
      <c r="G197" s="11">
        <f>IF(H197="","",ROW()-4)</f>
        <v/>
      </c>
      <c r="H197" s="12">
        <f>IF(OR(I196="",I196&gt;=$D$7),"",I196)</f>
        <v/>
      </c>
      <c r="I197" s="12">
        <f>IF(H197="","",MIN(IF($D$18="LEGAL",DATE(YEAR(H197)+1,1,1),EDATE($D$12,$D$11*(INT((((YEAR(H197)-YEAR($D$12))*12+(MONTH(H197)-MONTH($D$12))-IF(DAY(H197)&lt;DAY($D$12),1,0))/$D$11))+1))),$D$7))</f>
        <v/>
      </c>
      <c r="J197" s="11">
        <f>IF(H197="","",I197-H197)</f>
        <v/>
      </c>
      <c r="K197" s="12">
        <f>IF(H197="","",IF($D$18="LEGAL",H197,EDATE(H197,-$D$13)))</f>
        <v/>
      </c>
      <c r="L197" s="13">
        <f>IF(H197="","",IFERROR(INDEX('Tipos BdE'!$B$7:$M$336,MATCH(DATE(YEAR(K197),MONTH(K197),1),'Tipos BdE'!$A$7:$A$336,1),MATCH($D$9,'Tipos BdE'!$B$6:$M$6,0)),0))</f>
        <v/>
      </c>
      <c r="M197" s="13">
        <f>IF(H197="","",IF($D$18="LEGAL",0,$D$10))</f>
        <v/>
      </c>
      <c r="N197" s="13">
        <f>IF(H197="","",IF(AND($D$14="Sí",(L197+M197)&lt;0),0,L197+M197))</f>
        <v/>
      </c>
      <c r="O197" s="199">
        <f>IF(H197="","",$D$5*N197*J197/36500)</f>
        <v/>
      </c>
      <c r="P197" s="199">
        <f>IF(H197="","",$D$5+SUM($O$5:O197))</f>
        <v/>
      </c>
    </row>
    <row r="198">
      <c r="G198" s="11">
        <f>IF(H198="","",ROW()-4)</f>
        <v/>
      </c>
      <c r="H198" s="12">
        <f>IF(OR(I197="",I197&gt;=$D$7),"",I197)</f>
        <v/>
      </c>
      <c r="I198" s="12">
        <f>IF(H198="","",MIN(IF($D$18="LEGAL",DATE(YEAR(H198)+1,1,1),EDATE($D$12,$D$11*(INT((((YEAR(H198)-YEAR($D$12))*12+(MONTH(H198)-MONTH($D$12))-IF(DAY(H198)&lt;DAY($D$12),1,0))/$D$11))+1))),$D$7))</f>
        <v/>
      </c>
      <c r="J198" s="11">
        <f>IF(H198="","",I198-H198)</f>
        <v/>
      </c>
      <c r="K198" s="12">
        <f>IF(H198="","",IF($D$18="LEGAL",H198,EDATE(H198,-$D$13)))</f>
        <v/>
      </c>
      <c r="L198" s="13">
        <f>IF(H198="","",IFERROR(INDEX('Tipos BdE'!$B$7:$M$336,MATCH(DATE(YEAR(K198),MONTH(K198),1),'Tipos BdE'!$A$7:$A$336,1),MATCH($D$9,'Tipos BdE'!$B$6:$M$6,0)),0))</f>
        <v/>
      </c>
      <c r="M198" s="13">
        <f>IF(H198="","",IF($D$18="LEGAL",0,$D$10))</f>
        <v/>
      </c>
      <c r="N198" s="13">
        <f>IF(H198="","",IF(AND($D$14="Sí",(L198+M198)&lt;0),0,L198+M198))</f>
        <v/>
      </c>
      <c r="O198" s="199">
        <f>IF(H198="","",$D$5*N198*J198/36500)</f>
        <v/>
      </c>
      <c r="P198" s="199">
        <f>IF(H198="","",$D$5+SUM($O$5:O198))</f>
        <v/>
      </c>
    </row>
    <row r="199">
      <c r="G199" s="11">
        <f>IF(H199="","",ROW()-4)</f>
        <v/>
      </c>
      <c r="H199" s="12">
        <f>IF(OR(I198="",I198&gt;=$D$7),"",I198)</f>
        <v/>
      </c>
      <c r="I199" s="12">
        <f>IF(H199="","",MIN(IF($D$18="LEGAL",DATE(YEAR(H199)+1,1,1),EDATE($D$12,$D$11*(INT((((YEAR(H199)-YEAR($D$12))*12+(MONTH(H199)-MONTH($D$12))-IF(DAY(H199)&lt;DAY($D$12),1,0))/$D$11))+1))),$D$7))</f>
        <v/>
      </c>
      <c r="J199" s="11">
        <f>IF(H199="","",I199-H199)</f>
        <v/>
      </c>
      <c r="K199" s="12">
        <f>IF(H199="","",IF($D$18="LEGAL",H199,EDATE(H199,-$D$13)))</f>
        <v/>
      </c>
      <c r="L199" s="13">
        <f>IF(H199="","",IFERROR(INDEX('Tipos BdE'!$B$7:$M$336,MATCH(DATE(YEAR(K199),MONTH(K199),1),'Tipos BdE'!$A$7:$A$336,1),MATCH($D$9,'Tipos BdE'!$B$6:$M$6,0)),0))</f>
        <v/>
      </c>
      <c r="M199" s="13">
        <f>IF(H199="","",IF($D$18="LEGAL",0,$D$10))</f>
        <v/>
      </c>
      <c r="N199" s="13">
        <f>IF(H199="","",IF(AND($D$14="Sí",(L199+M199)&lt;0),0,L199+M199))</f>
        <v/>
      </c>
      <c r="O199" s="199">
        <f>IF(H199="","",$D$5*N199*J199/36500)</f>
        <v/>
      </c>
      <c r="P199" s="199">
        <f>IF(H199="","",$D$5+SUM($O$5:O199))</f>
        <v/>
      </c>
    </row>
    <row r="200">
      <c r="G200" s="11">
        <f>IF(H200="","",ROW()-4)</f>
        <v/>
      </c>
      <c r="H200" s="12">
        <f>IF(OR(I199="",I199&gt;=$D$7),"",I199)</f>
        <v/>
      </c>
      <c r="I200" s="12">
        <f>IF(H200="","",MIN(IF($D$18="LEGAL",DATE(YEAR(H200)+1,1,1),EDATE($D$12,$D$11*(INT((((YEAR(H200)-YEAR($D$12))*12+(MONTH(H200)-MONTH($D$12))-IF(DAY(H200)&lt;DAY($D$12),1,0))/$D$11))+1))),$D$7))</f>
        <v/>
      </c>
      <c r="J200" s="11">
        <f>IF(H200="","",I200-H200)</f>
        <v/>
      </c>
      <c r="K200" s="12">
        <f>IF(H200="","",IF($D$18="LEGAL",H200,EDATE(H200,-$D$13)))</f>
        <v/>
      </c>
      <c r="L200" s="13">
        <f>IF(H200="","",IFERROR(INDEX('Tipos BdE'!$B$7:$M$336,MATCH(DATE(YEAR(K200),MONTH(K200),1),'Tipos BdE'!$A$7:$A$336,1),MATCH($D$9,'Tipos BdE'!$B$6:$M$6,0)),0))</f>
        <v/>
      </c>
      <c r="M200" s="13">
        <f>IF(H200="","",IF($D$18="LEGAL",0,$D$10))</f>
        <v/>
      </c>
      <c r="N200" s="13">
        <f>IF(H200="","",IF(AND($D$14="Sí",(L200+M200)&lt;0),0,L200+M200))</f>
        <v/>
      </c>
      <c r="O200" s="199">
        <f>IF(H200="","",$D$5*N200*J200/36500)</f>
        <v/>
      </c>
      <c r="P200" s="199">
        <f>IF(H200="","",$D$5+SUM($O$5:O200))</f>
        <v/>
      </c>
    </row>
    <row r="201">
      <c r="G201" s="11">
        <f>IF(H201="","",ROW()-4)</f>
        <v/>
      </c>
      <c r="H201" s="12">
        <f>IF(OR(I200="",I200&gt;=$D$7),"",I200)</f>
        <v/>
      </c>
      <c r="I201" s="12">
        <f>IF(H201="","",MIN(IF($D$18="LEGAL",DATE(YEAR(H201)+1,1,1),EDATE($D$12,$D$11*(INT((((YEAR(H201)-YEAR($D$12))*12+(MONTH(H201)-MONTH($D$12))-IF(DAY(H201)&lt;DAY($D$12),1,0))/$D$11))+1))),$D$7))</f>
        <v/>
      </c>
      <c r="J201" s="11">
        <f>IF(H201="","",I201-H201)</f>
        <v/>
      </c>
      <c r="K201" s="12">
        <f>IF(H201="","",IF($D$18="LEGAL",H201,EDATE(H201,-$D$13)))</f>
        <v/>
      </c>
      <c r="L201" s="13">
        <f>IF(H201="","",IFERROR(INDEX('Tipos BdE'!$B$7:$M$336,MATCH(DATE(YEAR(K201),MONTH(K201),1),'Tipos BdE'!$A$7:$A$336,1),MATCH($D$9,'Tipos BdE'!$B$6:$M$6,0)),0))</f>
        <v/>
      </c>
      <c r="M201" s="13">
        <f>IF(H201="","",IF($D$18="LEGAL",0,$D$10))</f>
        <v/>
      </c>
      <c r="N201" s="13">
        <f>IF(H201="","",IF(AND($D$14="Sí",(L201+M201)&lt;0),0,L201+M201))</f>
        <v/>
      </c>
      <c r="O201" s="199">
        <f>IF(H201="","",$D$5*N201*J201/36500)</f>
        <v/>
      </c>
      <c r="P201" s="199">
        <f>IF(H201="","",$D$5+SUM($O$5:O201))</f>
        <v/>
      </c>
    </row>
    <row r="202">
      <c r="G202" s="11">
        <f>IF(H202="","",ROW()-4)</f>
        <v/>
      </c>
      <c r="H202" s="12">
        <f>IF(OR(I201="",I201&gt;=$D$7),"",I201)</f>
        <v/>
      </c>
      <c r="I202" s="12">
        <f>IF(H202="","",MIN(IF($D$18="LEGAL",DATE(YEAR(H202)+1,1,1),EDATE($D$12,$D$11*(INT((((YEAR(H202)-YEAR($D$12))*12+(MONTH(H202)-MONTH($D$12))-IF(DAY(H202)&lt;DAY($D$12),1,0))/$D$11))+1))),$D$7))</f>
        <v/>
      </c>
      <c r="J202" s="11">
        <f>IF(H202="","",I202-H202)</f>
        <v/>
      </c>
      <c r="K202" s="12">
        <f>IF(H202="","",IF($D$18="LEGAL",H202,EDATE(H202,-$D$13)))</f>
        <v/>
      </c>
      <c r="L202" s="13">
        <f>IF(H202="","",IFERROR(INDEX('Tipos BdE'!$B$7:$M$336,MATCH(DATE(YEAR(K202),MONTH(K202),1),'Tipos BdE'!$A$7:$A$336,1),MATCH($D$9,'Tipos BdE'!$B$6:$M$6,0)),0))</f>
        <v/>
      </c>
      <c r="M202" s="13">
        <f>IF(H202="","",IF($D$18="LEGAL",0,$D$10))</f>
        <v/>
      </c>
      <c r="N202" s="13">
        <f>IF(H202="","",IF(AND($D$14="Sí",(L202+M202)&lt;0),0,L202+M202))</f>
        <v/>
      </c>
      <c r="O202" s="199">
        <f>IF(H202="","",$D$5*N202*J202/36500)</f>
        <v/>
      </c>
      <c r="P202" s="199">
        <f>IF(H202="","",$D$5+SUM($O$5:O202))</f>
        <v/>
      </c>
    </row>
    <row r="203">
      <c r="G203" s="11">
        <f>IF(H203="","",ROW()-4)</f>
        <v/>
      </c>
      <c r="H203" s="12">
        <f>IF(OR(I202="",I202&gt;=$D$7),"",I202)</f>
        <v/>
      </c>
      <c r="I203" s="12">
        <f>IF(H203="","",MIN(IF($D$18="LEGAL",DATE(YEAR(H203)+1,1,1),EDATE($D$12,$D$11*(INT((((YEAR(H203)-YEAR($D$12))*12+(MONTH(H203)-MONTH($D$12))-IF(DAY(H203)&lt;DAY($D$12),1,0))/$D$11))+1))),$D$7))</f>
        <v/>
      </c>
      <c r="J203" s="11">
        <f>IF(H203="","",I203-H203)</f>
        <v/>
      </c>
      <c r="K203" s="12">
        <f>IF(H203="","",IF($D$18="LEGAL",H203,EDATE(H203,-$D$13)))</f>
        <v/>
      </c>
      <c r="L203" s="13">
        <f>IF(H203="","",IFERROR(INDEX('Tipos BdE'!$B$7:$M$336,MATCH(DATE(YEAR(K203),MONTH(K203),1),'Tipos BdE'!$A$7:$A$336,1),MATCH($D$9,'Tipos BdE'!$B$6:$M$6,0)),0))</f>
        <v/>
      </c>
      <c r="M203" s="13">
        <f>IF(H203="","",IF($D$18="LEGAL",0,$D$10))</f>
        <v/>
      </c>
      <c r="N203" s="13">
        <f>IF(H203="","",IF(AND($D$14="Sí",(L203+M203)&lt;0),0,L203+M203))</f>
        <v/>
      </c>
      <c r="O203" s="199">
        <f>IF(H203="","",$D$5*N203*J203/36500)</f>
        <v/>
      </c>
      <c r="P203" s="199">
        <f>IF(H203="","",$D$5+SUM($O$5:O203))</f>
        <v/>
      </c>
    </row>
    <row r="204">
      <c r="G204" s="11">
        <f>IF(H204="","",ROW()-4)</f>
        <v/>
      </c>
      <c r="H204" s="12">
        <f>IF(OR(I203="",I203&gt;=$D$7),"",I203)</f>
        <v/>
      </c>
      <c r="I204" s="12">
        <f>IF(H204="","",MIN(IF($D$18="LEGAL",DATE(YEAR(H204)+1,1,1),EDATE($D$12,$D$11*(INT((((YEAR(H204)-YEAR($D$12))*12+(MONTH(H204)-MONTH($D$12))-IF(DAY(H204)&lt;DAY($D$12),1,0))/$D$11))+1))),$D$7))</f>
        <v/>
      </c>
      <c r="J204" s="11">
        <f>IF(H204="","",I204-H204)</f>
        <v/>
      </c>
      <c r="K204" s="12">
        <f>IF(H204="","",IF($D$18="LEGAL",H204,EDATE(H204,-$D$13)))</f>
        <v/>
      </c>
      <c r="L204" s="13">
        <f>IF(H204="","",IFERROR(INDEX('Tipos BdE'!$B$7:$M$336,MATCH(DATE(YEAR(K204),MONTH(K204),1),'Tipos BdE'!$A$7:$A$336,1),MATCH($D$9,'Tipos BdE'!$B$6:$M$6,0)),0))</f>
        <v/>
      </c>
      <c r="M204" s="13">
        <f>IF(H204="","",IF($D$18="LEGAL",0,$D$10))</f>
        <v/>
      </c>
      <c r="N204" s="13">
        <f>IF(H204="","",IF(AND($D$14="Sí",(L204+M204)&lt;0),0,L204+M204))</f>
        <v/>
      </c>
      <c r="O204" s="199">
        <f>IF(H204="","",$D$5*N204*J204/36500)</f>
        <v/>
      </c>
      <c r="P204" s="199">
        <f>IF(H204="","",$D$5+SUM($O$5:O204))</f>
        <v/>
      </c>
    </row>
    <row r="205">
      <c r="G205" s="11">
        <f>IF(H205="","",ROW()-4)</f>
        <v/>
      </c>
      <c r="H205" s="12">
        <f>IF(OR(I204="",I204&gt;=$D$7),"",I204)</f>
        <v/>
      </c>
      <c r="I205" s="12">
        <f>IF(H205="","",MIN(IF($D$18="LEGAL",DATE(YEAR(H205)+1,1,1),EDATE($D$12,$D$11*(INT((((YEAR(H205)-YEAR($D$12))*12+(MONTH(H205)-MONTH($D$12))-IF(DAY(H205)&lt;DAY($D$12),1,0))/$D$11))+1))),$D$7))</f>
        <v/>
      </c>
      <c r="J205" s="11">
        <f>IF(H205="","",I205-H205)</f>
        <v/>
      </c>
      <c r="K205" s="12">
        <f>IF(H205="","",IF($D$18="LEGAL",H205,EDATE(H205,-$D$13)))</f>
        <v/>
      </c>
      <c r="L205" s="13">
        <f>IF(H205="","",IFERROR(INDEX('Tipos BdE'!$B$7:$M$336,MATCH(DATE(YEAR(K205),MONTH(K205),1),'Tipos BdE'!$A$7:$A$336,1),MATCH($D$9,'Tipos BdE'!$B$6:$M$6,0)),0))</f>
        <v/>
      </c>
      <c r="M205" s="13">
        <f>IF(H205="","",IF($D$18="LEGAL",0,$D$10))</f>
        <v/>
      </c>
      <c r="N205" s="13">
        <f>IF(H205="","",IF(AND($D$14="Sí",(L205+M205)&lt;0),0,L205+M205))</f>
        <v/>
      </c>
      <c r="O205" s="199">
        <f>IF(H205="","",$D$5*N205*J205/36500)</f>
        <v/>
      </c>
      <c r="P205" s="199">
        <f>IF(H205="","",$D$5+SUM($O$5:O205))</f>
        <v/>
      </c>
    </row>
    <row r="206">
      <c r="G206" s="11">
        <f>IF(H206="","",ROW()-4)</f>
        <v/>
      </c>
      <c r="H206" s="12">
        <f>IF(OR(I205="",I205&gt;=$D$7),"",I205)</f>
        <v/>
      </c>
      <c r="I206" s="12">
        <f>IF(H206="","",MIN(IF($D$18="LEGAL",DATE(YEAR(H206)+1,1,1),EDATE($D$12,$D$11*(INT((((YEAR(H206)-YEAR($D$12))*12+(MONTH(H206)-MONTH($D$12))-IF(DAY(H206)&lt;DAY($D$12),1,0))/$D$11))+1))),$D$7))</f>
        <v/>
      </c>
      <c r="J206" s="11">
        <f>IF(H206="","",I206-H206)</f>
        <v/>
      </c>
      <c r="K206" s="12">
        <f>IF(H206="","",IF($D$18="LEGAL",H206,EDATE(H206,-$D$13)))</f>
        <v/>
      </c>
      <c r="L206" s="13">
        <f>IF(H206="","",IFERROR(INDEX('Tipos BdE'!$B$7:$M$336,MATCH(DATE(YEAR(K206),MONTH(K206),1),'Tipos BdE'!$A$7:$A$336,1),MATCH($D$9,'Tipos BdE'!$B$6:$M$6,0)),0))</f>
        <v/>
      </c>
      <c r="M206" s="13">
        <f>IF(H206="","",IF($D$18="LEGAL",0,$D$10))</f>
        <v/>
      </c>
      <c r="N206" s="13">
        <f>IF(H206="","",IF(AND($D$14="Sí",(L206+M206)&lt;0),0,L206+M206))</f>
        <v/>
      </c>
      <c r="O206" s="199">
        <f>IF(H206="","",$D$5*N206*J206/36500)</f>
        <v/>
      </c>
      <c r="P206" s="199">
        <f>IF(H206="","",$D$5+SUM($O$5:O206))</f>
        <v/>
      </c>
    </row>
    <row r="207">
      <c r="G207" s="11">
        <f>IF(H207="","",ROW()-4)</f>
        <v/>
      </c>
      <c r="H207" s="12">
        <f>IF(OR(I206="",I206&gt;=$D$7),"",I206)</f>
        <v/>
      </c>
      <c r="I207" s="12">
        <f>IF(H207="","",MIN(IF($D$18="LEGAL",DATE(YEAR(H207)+1,1,1),EDATE($D$12,$D$11*(INT((((YEAR(H207)-YEAR($D$12))*12+(MONTH(H207)-MONTH($D$12))-IF(DAY(H207)&lt;DAY($D$12),1,0))/$D$11))+1))),$D$7))</f>
        <v/>
      </c>
      <c r="J207" s="11">
        <f>IF(H207="","",I207-H207)</f>
        <v/>
      </c>
      <c r="K207" s="12">
        <f>IF(H207="","",IF($D$18="LEGAL",H207,EDATE(H207,-$D$13)))</f>
        <v/>
      </c>
      <c r="L207" s="13">
        <f>IF(H207="","",IFERROR(INDEX('Tipos BdE'!$B$7:$M$336,MATCH(DATE(YEAR(K207),MONTH(K207),1),'Tipos BdE'!$A$7:$A$336,1),MATCH($D$9,'Tipos BdE'!$B$6:$M$6,0)),0))</f>
        <v/>
      </c>
      <c r="M207" s="13">
        <f>IF(H207="","",IF($D$18="LEGAL",0,$D$10))</f>
        <v/>
      </c>
      <c r="N207" s="13">
        <f>IF(H207="","",IF(AND($D$14="Sí",(L207+M207)&lt;0),0,L207+M207))</f>
        <v/>
      </c>
      <c r="O207" s="199">
        <f>IF(H207="","",$D$5*N207*J207/36500)</f>
        <v/>
      </c>
      <c r="P207" s="199">
        <f>IF(H207="","",$D$5+SUM($O$5:O207))</f>
        <v/>
      </c>
    </row>
    <row r="208">
      <c r="G208" s="11">
        <f>IF(H208="","",ROW()-4)</f>
        <v/>
      </c>
      <c r="H208" s="12">
        <f>IF(OR(I207="",I207&gt;=$D$7),"",I207)</f>
        <v/>
      </c>
      <c r="I208" s="12">
        <f>IF(H208="","",MIN(IF($D$18="LEGAL",DATE(YEAR(H208)+1,1,1),EDATE($D$12,$D$11*(INT((((YEAR(H208)-YEAR($D$12))*12+(MONTH(H208)-MONTH($D$12))-IF(DAY(H208)&lt;DAY($D$12),1,0))/$D$11))+1))),$D$7))</f>
        <v/>
      </c>
      <c r="J208" s="11">
        <f>IF(H208="","",I208-H208)</f>
        <v/>
      </c>
      <c r="K208" s="12">
        <f>IF(H208="","",IF($D$18="LEGAL",H208,EDATE(H208,-$D$13)))</f>
        <v/>
      </c>
      <c r="L208" s="13">
        <f>IF(H208="","",IFERROR(INDEX('Tipos BdE'!$B$7:$M$336,MATCH(DATE(YEAR(K208),MONTH(K208),1),'Tipos BdE'!$A$7:$A$336,1),MATCH($D$9,'Tipos BdE'!$B$6:$M$6,0)),0))</f>
        <v/>
      </c>
      <c r="M208" s="13">
        <f>IF(H208="","",IF($D$18="LEGAL",0,$D$10))</f>
        <v/>
      </c>
      <c r="N208" s="13">
        <f>IF(H208="","",IF(AND($D$14="Sí",(L208+M208)&lt;0),0,L208+M208))</f>
        <v/>
      </c>
      <c r="O208" s="199">
        <f>IF(H208="","",$D$5*N208*J208/36500)</f>
        <v/>
      </c>
      <c r="P208" s="199">
        <f>IF(H208="","",$D$5+SUM($O$5:O208))</f>
        <v/>
      </c>
    </row>
    <row r="209">
      <c r="G209" s="11">
        <f>IF(H209="","",ROW()-4)</f>
        <v/>
      </c>
      <c r="H209" s="12">
        <f>IF(OR(I208="",I208&gt;=$D$7),"",I208)</f>
        <v/>
      </c>
      <c r="I209" s="12">
        <f>IF(H209="","",MIN(IF($D$18="LEGAL",DATE(YEAR(H209)+1,1,1),EDATE($D$12,$D$11*(INT((((YEAR(H209)-YEAR($D$12))*12+(MONTH(H209)-MONTH($D$12))-IF(DAY(H209)&lt;DAY($D$12),1,0))/$D$11))+1))),$D$7))</f>
        <v/>
      </c>
      <c r="J209" s="11">
        <f>IF(H209="","",I209-H209)</f>
        <v/>
      </c>
      <c r="K209" s="12">
        <f>IF(H209="","",IF($D$18="LEGAL",H209,EDATE(H209,-$D$13)))</f>
        <v/>
      </c>
      <c r="L209" s="13">
        <f>IF(H209="","",IFERROR(INDEX('Tipos BdE'!$B$7:$M$336,MATCH(DATE(YEAR(K209),MONTH(K209),1),'Tipos BdE'!$A$7:$A$336,1),MATCH($D$9,'Tipos BdE'!$B$6:$M$6,0)),0))</f>
        <v/>
      </c>
      <c r="M209" s="13">
        <f>IF(H209="","",IF($D$18="LEGAL",0,$D$10))</f>
        <v/>
      </c>
      <c r="N209" s="13">
        <f>IF(H209="","",IF(AND($D$14="Sí",(L209+M209)&lt;0),0,L209+M209))</f>
        <v/>
      </c>
      <c r="O209" s="199">
        <f>IF(H209="","",$D$5*N209*J209/36500)</f>
        <v/>
      </c>
      <c r="P209" s="199">
        <f>IF(H209="","",$D$5+SUM($O$5:O209))</f>
        <v/>
      </c>
    </row>
    <row r="210">
      <c r="G210" s="11">
        <f>IF(H210="","",ROW()-4)</f>
        <v/>
      </c>
      <c r="H210" s="12">
        <f>IF(OR(I209="",I209&gt;=$D$7),"",I209)</f>
        <v/>
      </c>
      <c r="I210" s="12">
        <f>IF(H210="","",MIN(IF($D$18="LEGAL",DATE(YEAR(H210)+1,1,1),EDATE($D$12,$D$11*(INT((((YEAR(H210)-YEAR($D$12))*12+(MONTH(H210)-MONTH($D$12))-IF(DAY(H210)&lt;DAY($D$12),1,0))/$D$11))+1))),$D$7))</f>
        <v/>
      </c>
      <c r="J210" s="11">
        <f>IF(H210="","",I210-H210)</f>
        <v/>
      </c>
      <c r="K210" s="12">
        <f>IF(H210="","",IF($D$18="LEGAL",H210,EDATE(H210,-$D$13)))</f>
        <v/>
      </c>
      <c r="L210" s="13">
        <f>IF(H210="","",IFERROR(INDEX('Tipos BdE'!$B$7:$M$336,MATCH(DATE(YEAR(K210),MONTH(K210),1),'Tipos BdE'!$A$7:$A$336,1),MATCH($D$9,'Tipos BdE'!$B$6:$M$6,0)),0))</f>
        <v/>
      </c>
      <c r="M210" s="13">
        <f>IF(H210="","",IF($D$18="LEGAL",0,$D$10))</f>
        <v/>
      </c>
      <c r="N210" s="13">
        <f>IF(H210="","",IF(AND($D$14="Sí",(L210+M210)&lt;0),0,L210+M210))</f>
        <v/>
      </c>
      <c r="O210" s="199">
        <f>IF(H210="","",$D$5*N210*J210/36500)</f>
        <v/>
      </c>
      <c r="P210" s="199">
        <f>IF(H210="","",$D$5+SUM($O$5:O210))</f>
        <v/>
      </c>
    </row>
    <row r="211">
      <c r="G211" s="11">
        <f>IF(H211="","",ROW()-4)</f>
        <v/>
      </c>
      <c r="H211" s="12">
        <f>IF(OR(I210="",I210&gt;=$D$7),"",I210)</f>
        <v/>
      </c>
      <c r="I211" s="12">
        <f>IF(H211="","",MIN(IF($D$18="LEGAL",DATE(YEAR(H211)+1,1,1),EDATE($D$12,$D$11*(INT((((YEAR(H211)-YEAR($D$12))*12+(MONTH(H211)-MONTH($D$12))-IF(DAY(H211)&lt;DAY($D$12),1,0))/$D$11))+1))),$D$7))</f>
        <v/>
      </c>
      <c r="J211" s="11">
        <f>IF(H211="","",I211-H211)</f>
        <v/>
      </c>
      <c r="K211" s="12">
        <f>IF(H211="","",IF($D$18="LEGAL",H211,EDATE(H211,-$D$13)))</f>
        <v/>
      </c>
      <c r="L211" s="13">
        <f>IF(H211="","",IFERROR(INDEX('Tipos BdE'!$B$7:$M$336,MATCH(DATE(YEAR(K211),MONTH(K211),1),'Tipos BdE'!$A$7:$A$336,1),MATCH($D$9,'Tipos BdE'!$B$6:$M$6,0)),0))</f>
        <v/>
      </c>
      <c r="M211" s="13">
        <f>IF(H211="","",IF($D$18="LEGAL",0,$D$10))</f>
        <v/>
      </c>
      <c r="N211" s="13">
        <f>IF(H211="","",IF(AND($D$14="Sí",(L211+M211)&lt;0),0,L211+M211))</f>
        <v/>
      </c>
      <c r="O211" s="199">
        <f>IF(H211="","",$D$5*N211*J211/36500)</f>
        <v/>
      </c>
      <c r="P211" s="199">
        <f>IF(H211="","",$D$5+SUM($O$5:O211))</f>
        <v/>
      </c>
    </row>
    <row r="212">
      <c r="G212" s="11">
        <f>IF(H212="","",ROW()-4)</f>
        <v/>
      </c>
      <c r="H212" s="12">
        <f>IF(OR(I211="",I211&gt;=$D$7),"",I211)</f>
        <v/>
      </c>
      <c r="I212" s="12">
        <f>IF(H212="","",MIN(IF($D$18="LEGAL",DATE(YEAR(H212)+1,1,1),EDATE($D$12,$D$11*(INT((((YEAR(H212)-YEAR($D$12))*12+(MONTH(H212)-MONTH($D$12))-IF(DAY(H212)&lt;DAY($D$12),1,0))/$D$11))+1))),$D$7))</f>
        <v/>
      </c>
      <c r="J212" s="11">
        <f>IF(H212="","",I212-H212)</f>
        <v/>
      </c>
      <c r="K212" s="12">
        <f>IF(H212="","",IF($D$18="LEGAL",H212,EDATE(H212,-$D$13)))</f>
        <v/>
      </c>
      <c r="L212" s="13">
        <f>IF(H212="","",IFERROR(INDEX('Tipos BdE'!$B$7:$M$336,MATCH(DATE(YEAR(K212),MONTH(K212),1),'Tipos BdE'!$A$7:$A$336,1),MATCH($D$9,'Tipos BdE'!$B$6:$M$6,0)),0))</f>
        <v/>
      </c>
      <c r="M212" s="13">
        <f>IF(H212="","",IF($D$18="LEGAL",0,$D$10))</f>
        <v/>
      </c>
      <c r="N212" s="13">
        <f>IF(H212="","",IF(AND($D$14="Sí",(L212+M212)&lt;0),0,L212+M212))</f>
        <v/>
      </c>
      <c r="O212" s="199">
        <f>IF(H212="","",$D$5*N212*J212/36500)</f>
        <v/>
      </c>
      <c r="P212" s="199">
        <f>IF(H212="","",$D$5+SUM($O$5:O212))</f>
        <v/>
      </c>
    </row>
    <row r="213">
      <c r="G213" s="11">
        <f>IF(H213="","",ROW()-4)</f>
        <v/>
      </c>
      <c r="H213" s="12">
        <f>IF(OR(I212="",I212&gt;=$D$7),"",I212)</f>
        <v/>
      </c>
      <c r="I213" s="12">
        <f>IF(H213="","",MIN(IF($D$18="LEGAL",DATE(YEAR(H213)+1,1,1),EDATE($D$12,$D$11*(INT((((YEAR(H213)-YEAR($D$12))*12+(MONTH(H213)-MONTH($D$12))-IF(DAY(H213)&lt;DAY($D$12),1,0))/$D$11))+1))),$D$7))</f>
        <v/>
      </c>
      <c r="J213" s="11">
        <f>IF(H213="","",I213-H213)</f>
        <v/>
      </c>
      <c r="K213" s="12">
        <f>IF(H213="","",IF($D$18="LEGAL",H213,EDATE(H213,-$D$13)))</f>
        <v/>
      </c>
      <c r="L213" s="13">
        <f>IF(H213="","",IFERROR(INDEX('Tipos BdE'!$B$7:$M$336,MATCH(DATE(YEAR(K213),MONTH(K213),1),'Tipos BdE'!$A$7:$A$336,1),MATCH($D$9,'Tipos BdE'!$B$6:$M$6,0)),0))</f>
        <v/>
      </c>
      <c r="M213" s="13">
        <f>IF(H213="","",IF($D$18="LEGAL",0,$D$10))</f>
        <v/>
      </c>
      <c r="N213" s="13">
        <f>IF(H213="","",IF(AND($D$14="Sí",(L213+M213)&lt;0),0,L213+M213))</f>
        <v/>
      </c>
      <c r="O213" s="199">
        <f>IF(H213="","",$D$5*N213*J213/36500)</f>
        <v/>
      </c>
      <c r="P213" s="199">
        <f>IF(H213="","",$D$5+SUM($O$5:O213))</f>
        <v/>
      </c>
    </row>
    <row r="214">
      <c r="G214" s="11">
        <f>IF(H214="","",ROW()-4)</f>
        <v/>
      </c>
      <c r="H214" s="12">
        <f>IF(OR(I213="",I213&gt;=$D$7),"",I213)</f>
        <v/>
      </c>
      <c r="I214" s="12">
        <f>IF(H214="","",MIN(IF($D$18="LEGAL",DATE(YEAR(H214)+1,1,1),EDATE($D$12,$D$11*(INT((((YEAR(H214)-YEAR($D$12))*12+(MONTH(H214)-MONTH($D$12))-IF(DAY(H214)&lt;DAY($D$12),1,0))/$D$11))+1))),$D$7))</f>
        <v/>
      </c>
      <c r="J214" s="11">
        <f>IF(H214="","",I214-H214)</f>
        <v/>
      </c>
      <c r="K214" s="12">
        <f>IF(H214="","",IF($D$18="LEGAL",H214,EDATE(H214,-$D$13)))</f>
        <v/>
      </c>
      <c r="L214" s="13">
        <f>IF(H214="","",IFERROR(INDEX('Tipos BdE'!$B$7:$M$336,MATCH(DATE(YEAR(K214),MONTH(K214),1),'Tipos BdE'!$A$7:$A$336,1),MATCH($D$9,'Tipos BdE'!$B$6:$M$6,0)),0))</f>
        <v/>
      </c>
      <c r="M214" s="13">
        <f>IF(H214="","",IF($D$18="LEGAL",0,$D$10))</f>
        <v/>
      </c>
      <c r="N214" s="13">
        <f>IF(H214="","",IF(AND($D$14="Sí",(L214+M214)&lt;0),0,L214+M214))</f>
        <v/>
      </c>
      <c r="O214" s="199">
        <f>IF(H214="","",$D$5*N214*J214/36500)</f>
        <v/>
      </c>
      <c r="P214" s="199">
        <f>IF(H214="","",$D$5+SUM($O$5:O214))</f>
        <v/>
      </c>
    </row>
    <row r="215">
      <c r="G215" s="11">
        <f>IF(H215="","",ROW()-4)</f>
        <v/>
      </c>
      <c r="H215" s="12">
        <f>IF(OR(I214="",I214&gt;=$D$7),"",I214)</f>
        <v/>
      </c>
      <c r="I215" s="12">
        <f>IF(H215="","",MIN(IF($D$18="LEGAL",DATE(YEAR(H215)+1,1,1),EDATE($D$12,$D$11*(INT((((YEAR(H215)-YEAR($D$12))*12+(MONTH(H215)-MONTH($D$12))-IF(DAY(H215)&lt;DAY($D$12),1,0))/$D$11))+1))),$D$7))</f>
        <v/>
      </c>
      <c r="J215" s="11">
        <f>IF(H215="","",I215-H215)</f>
        <v/>
      </c>
      <c r="K215" s="12">
        <f>IF(H215="","",IF($D$18="LEGAL",H215,EDATE(H215,-$D$13)))</f>
        <v/>
      </c>
      <c r="L215" s="13">
        <f>IF(H215="","",IFERROR(INDEX('Tipos BdE'!$B$7:$M$336,MATCH(DATE(YEAR(K215),MONTH(K215),1),'Tipos BdE'!$A$7:$A$336,1),MATCH($D$9,'Tipos BdE'!$B$6:$M$6,0)),0))</f>
        <v/>
      </c>
      <c r="M215" s="13">
        <f>IF(H215="","",IF($D$18="LEGAL",0,$D$10))</f>
        <v/>
      </c>
      <c r="N215" s="13">
        <f>IF(H215="","",IF(AND($D$14="Sí",(L215+M215)&lt;0),0,L215+M215))</f>
        <v/>
      </c>
      <c r="O215" s="199">
        <f>IF(H215="","",$D$5*N215*J215/36500)</f>
        <v/>
      </c>
      <c r="P215" s="199">
        <f>IF(H215="","",$D$5+SUM($O$5:O215))</f>
        <v/>
      </c>
    </row>
    <row r="216">
      <c r="G216" s="11">
        <f>IF(H216="","",ROW()-4)</f>
        <v/>
      </c>
      <c r="H216" s="12">
        <f>IF(OR(I215="",I215&gt;=$D$7),"",I215)</f>
        <v/>
      </c>
      <c r="I216" s="12">
        <f>IF(H216="","",MIN(IF($D$18="LEGAL",DATE(YEAR(H216)+1,1,1),EDATE($D$12,$D$11*(INT((((YEAR(H216)-YEAR($D$12))*12+(MONTH(H216)-MONTH($D$12))-IF(DAY(H216)&lt;DAY($D$12),1,0))/$D$11))+1))),$D$7))</f>
        <v/>
      </c>
      <c r="J216" s="11">
        <f>IF(H216="","",I216-H216)</f>
        <v/>
      </c>
      <c r="K216" s="12">
        <f>IF(H216="","",IF($D$18="LEGAL",H216,EDATE(H216,-$D$13)))</f>
        <v/>
      </c>
      <c r="L216" s="13">
        <f>IF(H216="","",IFERROR(INDEX('Tipos BdE'!$B$7:$M$336,MATCH(DATE(YEAR(K216),MONTH(K216),1),'Tipos BdE'!$A$7:$A$336,1),MATCH($D$9,'Tipos BdE'!$B$6:$M$6,0)),0))</f>
        <v/>
      </c>
      <c r="M216" s="13">
        <f>IF(H216="","",IF($D$18="LEGAL",0,$D$10))</f>
        <v/>
      </c>
      <c r="N216" s="13">
        <f>IF(H216="","",IF(AND($D$14="Sí",(L216+M216)&lt;0),0,L216+M216))</f>
        <v/>
      </c>
      <c r="O216" s="199">
        <f>IF(H216="","",$D$5*N216*J216/36500)</f>
        <v/>
      </c>
      <c r="P216" s="199">
        <f>IF(H216="","",$D$5+SUM($O$5:O216))</f>
        <v/>
      </c>
    </row>
    <row r="217">
      <c r="G217" s="11">
        <f>IF(H217="","",ROW()-4)</f>
        <v/>
      </c>
      <c r="H217" s="12">
        <f>IF(OR(I216="",I216&gt;=$D$7),"",I216)</f>
        <v/>
      </c>
      <c r="I217" s="12">
        <f>IF(H217="","",MIN(IF($D$18="LEGAL",DATE(YEAR(H217)+1,1,1),EDATE($D$12,$D$11*(INT((((YEAR(H217)-YEAR($D$12))*12+(MONTH(H217)-MONTH($D$12))-IF(DAY(H217)&lt;DAY($D$12),1,0))/$D$11))+1))),$D$7))</f>
        <v/>
      </c>
      <c r="J217" s="11">
        <f>IF(H217="","",I217-H217)</f>
        <v/>
      </c>
      <c r="K217" s="12">
        <f>IF(H217="","",IF($D$18="LEGAL",H217,EDATE(H217,-$D$13)))</f>
        <v/>
      </c>
      <c r="L217" s="13">
        <f>IF(H217="","",IFERROR(INDEX('Tipos BdE'!$B$7:$M$336,MATCH(DATE(YEAR(K217),MONTH(K217),1),'Tipos BdE'!$A$7:$A$336,1),MATCH($D$9,'Tipos BdE'!$B$6:$M$6,0)),0))</f>
        <v/>
      </c>
      <c r="M217" s="13">
        <f>IF(H217="","",IF($D$18="LEGAL",0,$D$10))</f>
        <v/>
      </c>
      <c r="N217" s="13">
        <f>IF(H217="","",IF(AND($D$14="Sí",(L217+M217)&lt;0),0,L217+M217))</f>
        <v/>
      </c>
      <c r="O217" s="199">
        <f>IF(H217="","",$D$5*N217*J217/36500)</f>
        <v/>
      </c>
      <c r="P217" s="199">
        <f>IF(H217="","",$D$5+SUM($O$5:O217))</f>
        <v/>
      </c>
    </row>
    <row r="218">
      <c r="G218" s="11">
        <f>IF(H218="","",ROW()-4)</f>
        <v/>
      </c>
      <c r="H218" s="12">
        <f>IF(OR(I217="",I217&gt;=$D$7),"",I217)</f>
        <v/>
      </c>
      <c r="I218" s="12">
        <f>IF(H218="","",MIN(IF($D$18="LEGAL",DATE(YEAR(H218)+1,1,1),EDATE($D$12,$D$11*(INT((((YEAR(H218)-YEAR($D$12))*12+(MONTH(H218)-MONTH($D$12))-IF(DAY(H218)&lt;DAY($D$12),1,0))/$D$11))+1))),$D$7))</f>
        <v/>
      </c>
      <c r="J218" s="11">
        <f>IF(H218="","",I218-H218)</f>
        <v/>
      </c>
      <c r="K218" s="12">
        <f>IF(H218="","",IF($D$18="LEGAL",H218,EDATE(H218,-$D$13)))</f>
        <v/>
      </c>
      <c r="L218" s="13">
        <f>IF(H218="","",IFERROR(INDEX('Tipos BdE'!$B$7:$M$336,MATCH(DATE(YEAR(K218),MONTH(K218),1),'Tipos BdE'!$A$7:$A$336,1),MATCH($D$9,'Tipos BdE'!$B$6:$M$6,0)),0))</f>
        <v/>
      </c>
      <c r="M218" s="13">
        <f>IF(H218="","",IF($D$18="LEGAL",0,$D$10))</f>
        <v/>
      </c>
      <c r="N218" s="13">
        <f>IF(H218="","",IF(AND($D$14="Sí",(L218+M218)&lt;0),0,L218+M218))</f>
        <v/>
      </c>
      <c r="O218" s="199">
        <f>IF(H218="","",$D$5*N218*J218/36500)</f>
        <v/>
      </c>
      <c r="P218" s="199">
        <f>IF(H218="","",$D$5+SUM($O$5:O218))</f>
        <v/>
      </c>
    </row>
    <row r="219">
      <c r="G219" s="11">
        <f>IF(H219="","",ROW()-4)</f>
        <v/>
      </c>
      <c r="H219" s="12">
        <f>IF(OR(I218="",I218&gt;=$D$7),"",I218)</f>
        <v/>
      </c>
      <c r="I219" s="12">
        <f>IF(H219="","",MIN(IF($D$18="LEGAL",DATE(YEAR(H219)+1,1,1),EDATE($D$12,$D$11*(INT((((YEAR(H219)-YEAR($D$12))*12+(MONTH(H219)-MONTH($D$12))-IF(DAY(H219)&lt;DAY($D$12),1,0))/$D$11))+1))),$D$7))</f>
        <v/>
      </c>
      <c r="J219" s="11">
        <f>IF(H219="","",I219-H219)</f>
        <v/>
      </c>
      <c r="K219" s="12">
        <f>IF(H219="","",IF($D$18="LEGAL",H219,EDATE(H219,-$D$13)))</f>
        <v/>
      </c>
      <c r="L219" s="13">
        <f>IF(H219="","",IFERROR(INDEX('Tipos BdE'!$B$7:$M$336,MATCH(DATE(YEAR(K219),MONTH(K219),1),'Tipos BdE'!$A$7:$A$336,1),MATCH($D$9,'Tipos BdE'!$B$6:$M$6,0)),0))</f>
        <v/>
      </c>
      <c r="M219" s="13">
        <f>IF(H219="","",IF($D$18="LEGAL",0,$D$10))</f>
        <v/>
      </c>
      <c r="N219" s="13">
        <f>IF(H219="","",IF(AND($D$14="Sí",(L219+M219)&lt;0),0,L219+M219))</f>
        <v/>
      </c>
      <c r="O219" s="199">
        <f>IF(H219="","",$D$5*N219*J219/36500)</f>
        <v/>
      </c>
      <c r="P219" s="199">
        <f>IF(H219="","",$D$5+SUM($O$5:O219))</f>
        <v/>
      </c>
    </row>
    <row r="220">
      <c r="G220" s="11">
        <f>IF(H220="","",ROW()-4)</f>
        <v/>
      </c>
      <c r="H220" s="12">
        <f>IF(OR(I219="",I219&gt;=$D$7),"",I219)</f>
        <v/>
      </c>
      <c r="I220" s="12">
        <f>IF(H220="","",MIN(IF($D$18="LEGAL",DATE(YEAR(H220)+1,1,1),EDATE($D$12,$D$11*(INT((((YEAR(H220)-YEAR($D$12))*12+(MONTH(H220)-MONTH($D$12))-IF(DAY(H220)&lt;DAY($D$12),1,0))/$D$11))+1))),$D$7))</f>
        <v/>
      </c>
      <c r="J220" s="11">
        <f>IF(H220="","",I220-H220)</f>
        <v/>
      </c>
      <c r="K220" s="12">
        <f>IF(H220="","",IF($D$18="LEGAL",H220,EDATE(H220,-$D$13)))</f>
        <v/>
      </c>
      <c r="L220" s="13">
        <f>IF(H220="","",IFERROR(INDEX('Tipos BdE'!$B$7:$M$336,MATCH(DATE(YEAR(K220),MONTH(K220),1),'Tipos BdE'!$A$7:$A$336,1),MATCH($D$9,'Tipos BdE'!$B$6:$M$6,0)),0))</f>
        <v/>
      </c>
      <c r="M220" s="13">
        <f>IF(H220="","",IF($D$18="LEGAL",0,$D$10))</f>
        <v/>
      </c>
      <c r="N220" s="13">
        <f>IF(H220="","",IF(AND($D$14="Sí",(L220+M220)&lt;0),0,L220+M220))</f>
        <v/>
      </c>
      <c r="O220" s="199">
        <f>IF(H220="","",$D$5*N220*J220/36500)</f>
        <v/>
      </c>
      <c r="P220" s="199">
        <f>IF(H220="","",$D$5+SUM($O$5:O220))</f>
        <v/>
      </c>
    </row>
    <row r="221">
      <c r="G221" s="11">
        <f>IF(H221="","",ROW()-4)</f>
        <v/>
      </c>
      <c r="H221" s="12">
        <f>IF(OR(I220="",I220&gt;=$D$7),"",I220)</f>
        <v/>
      </c>
      <c r="I221" s="12">
        <f>IF(H221="","",MIN(IF($D$18="LEGAL",DATE(YEAR(H221)+1,1,1),EDATE($D$12,$D$11*(INT((((YEAR(H221)-YEAR($D$12))*12+(MONTH(H221)-MONTH($D$12))-IF(DAY(H221)&lt;DAY($D$12),1,0))/$D$11))+1))),$D$7))</f>
        <v/>
      </c>
      <c r="J221" s="11">
        <f>IF(H221="","",I221-H221)</f>
        <v/>
      </c>
      <c r="K221" s="12">
        <f>IF(H221="","",IF($D$18="LEGAL",H221,EDATE(H221,-$D$13)))</f>
        <v/>
      </c>
      <c r="L221" s="13">
        <f>IF(H221="","",IFERROR(INDEX('Tipos BdE'!$B$7:$M$336,MATCH(DATE(YEAR(K221),MONTH(K221),1),'Tipos BdE'!$A$7:$A$336,1),MATCH($D$9,'Tipos BdE'!$B$6:$M$6,0)),0))</f>
        <v/>
      </c>
      <c r="M221" s="13">
        <f>IF(H221="","",IF($D$18="LEGAL",0,$D$10))</f>
        <v/>
      </c>
      <c r="N221" s="13">
        <f>IF(H221="","",IF(AND($D$14="Sí",(L221+M221)&lt;0),0,L221+M221))</f>
        <v/>
      </c>
      <c r="O221" s="199">
        <f>IF(H221="","",$D$5*N221*J221/36500)</f>
        <v/>
      </c>
      <c r="P221" s="199">
        <f>IF(H221="","",$D$5+SUM($O$5:O221))</f>
        <v/>
      </c>
    </row>
    <row r="222">
      <c r="G222" s="11">
        <f>IF(H222="","",ROW()-4)</f>
        <v/>
      </c>
      <c r="H222" s="12">
        <f>IF(OR(I221="",I221&gt;=$D$7),"",I221)</f>
        <v/>
      </c>
      <c r="I222" s="12">
        <f>IF(H222="","",MIN(IF($D$18="LEGAL",DATE(YEAR(H222)+1,1,1),EDATE($D$12,$D$11*(INT((((YEAR(H222)-YEAR($D$12))*12+(MONTH(H222)-MONTH($D$12))-IF(DAY(H222)&lt;DAY($D$12),1,0))/$D$11))+1))),$D$7))</f>
        <v/>
      </c>
      <c r="J222" s="11">
        <f>IF(H222="","",I222-H222)</f>
        <v/>
      </c>
      <c r="K222" s="12">
        <f>IF(H222="","",IF($D$18="LEGAL",H222,EDATE(H222,-$D$13)))</f>
        <v/>
      </c>
      <c r="L222" s="13">
        <f>IF(H222="","",IFERROR(INDEX('Tipos BdE'!$B$7:$M$336,MATCH(DATE(YEAR(K222),MONTH(K222),1),'Tipos BdE'!$A$7:$A$336,1),MATCH($D$9,'Tipos BdE'!$B$6:$M$6,0)),0))</f>
        <v/>
      </c>
      <c r="M222" s="13">
        <f>IF(H222="","",IF($D$18="LEGAL",0,$D$10))</f>
        <v/>
      </c>
      <c r="N222" s="13">
        <f>IF(H222="","",IF(AND($D$14="Sí",(L222+M222)&lt;0),0,L222+M222))</f>
        <v/>
      </c>
      <c r="O222" s="199">
        <f>IF(H222="","",$D$5*N222*J222/36500)</f>
        <v/>
      </c>
      <c r="P222" s="199">
        <f>IF(H222="","",$D$5+SUM($O$5:O222))</f>
        <v/>
      </c>
    </row>
    <row r="223">
      <c r="G223" s="11">
        <f>IF(H223="","",ROW()-4)</f>
        <v/>
      </c>
      <c r="H223" s="12">
        <f>IF(OR(I222="",I222&gt;=$D$7),"",I222)</f>
        <v/>
      </c>
      <c r="I223" s="12">
        <f>IF(H223="","",MIN(IF($D$18="LEGAL",DATE(YEAR(H223)+1,1,1),EDATE($D$12,$D$11*(INT((((YEAR(H223)-YEAR($D$12))*12+(MONTH(H223)-MONTH($D$12))-IF(DAY(H223)&lt;DAY($D$12),1,0))/$D$11))+1))),$D$7))</f>
        <v/>
      </c>
      <c r="J223" s="11">
        <f>IF(H223="","",I223-H223)</f>
        <v/>
      </c>
      <c r="K223" s="12">
        <f>IF(H223="","",IF($D$18="LEGAL",H223,EDATE(H223,-$D$13)))</f>
        <v/>
      </c>
      <c r="L223" s="13">
        <f>IF(H223="","",IFERROR(INDEX('Tipos BdE'!$B$7:$M$336,MATCH(DATE(YEAR(K223),MONTH(K223),1),'Tipos BdE'!$A$7:$A$336,1),MATCH($D$9,'Tipos BdE'!$B$6:$M$6,0)),0))</f>
        <v/>
      </c>
      <c r="M223" s="13">
        <f>IF(H223="","",IF($D$18="LEGAL",0,$D$10))</f>
        <v/>
      </c>
      <c r="N223" s="13">
        <f>IF(H223="","",IF(AND($D$14="Sí",(L223+M223)&lt;0),0,L223+M223))</f>
        <v/>
      </c>
      <c r="O223" s="199">
        <f>IF(H223="","",$D$5*N223*J223/36500)</f>
        <v/>
      </c>
      <c r="P223" s="199">
        <f>IF(H223="","",$D$5+SUM($O$5:O223))</f>
        <v/>
      </c>
    </row>
    <row r="224">
      <c r="G224" s="11">
        <f>IF(H224="","",ROW()-4)</f>
        <v/>
      </c>
      <c r="H224" s="12">
        <f>IF(OR(I223="",I223&gt;=$D$7),"",I223)</f>
        <v/>
      </c>
      <c r="I224" s="12">
        <f>IF(H224="","",MIN(IF($D$18="LEGAL",DATE(YEAR(H224)+1,1,1),EDATE($D$12,$D$11*(INT((((YEAR(H224)-YEAR($D$12))*12+(MONTH(H224)-MONTH($D$12))-IF(DAY(H224)&lt;DAY($D$12),1,0))/$D$11))+1))),$D$7))</f>
        <v/>
      </c>
      <c r="J224" s="11">
        <f>IF(H224="","",I224-H224)</f>
        <v/>
      </c>
      <c r="K224" s="12">
        <f>IF(H224="","",IF($D$18="LEGAL",H224,EDATE(H224,-$D$13)))</f>
        <v/>
      </c>
      <c r="L224" s="13">
        <f>IF(H224="","",IFERROR(INDEX('Tipos BdE'!$B$7:$M$336,MATCH(DATE(YEAR(K224),MONTH(K224),1),'Tipos BdE'!$A$7:$A$336,1),MATCH($D$9,'Tipos BdE'!$B$6:$M$6,0)),0))</f>
        <v/>
      </c>
      <c r="M224" s="13">
        <f>IF(H224="","",IF($D$18="LEGAL",0,$D$10))</f>
        <v/>
      </c>
      <c r="N224" s="13">
        <f>IF(H224="","",IF(AND($D$14="Sí",(L224+M224)&lt;0),0,L224+M224))</f>
        <v/>
      </c>
      <c r="O224" s="199">
        <f>IF(H224="","",$D$5*N224*J224/36500)</f>
        <v/>
      </c>
      <c r="P224" s="199">
        <f>IF(H224="","",$D$5+SUM($O$5:O224))</f>
        <v/>
      </c>
    </row>
    <row r="225">
      <c r="G225" s="11">
        <f>IF(H225="","",ROW()-4)</f>
        <v/>
      </c>
      <c r="H225" s="12">
        <f>IF(OR(I224="",I224&gt;=$D$7),"",I224)</f>
        <v/>
      </c>
      <c r="I225" s="12">
        <f>IF(H225="","",MIN(IF($D$18="LEGAL",DATE(YEAR(H225)+1,1,1),EDATE($D$12,$D$11*(INT((((YEAR(H225)-YEAR($D$12))*12+(MONTH(H225)-MONTH($D$12))-IF(DAY(H225)&lt;DAY($D$12),1,0))/$D$11))+1))),$D$7))</f>
        <v/>
      </c>
      <c r="J225" s="11">
        <f>IF(H225="","",I225-H225)</f>
        <v/>
      </c>
      <c r="K225" s="12">
        <f>IF(H225="","",IF($D$18="LEGAL",H225,EDATE(H225,-$D$13)))</f>
        <v/>
      </c>
      <c r="L225" s="13">
        <f>IF(H225="","",IFERROR(INDEX('Tipos BdE'!$B$7:$M$336,MATCH(DATE(YEAR(K225),MONTH(K225),1),'Tipos BdE'!$A$7:$A$336,1),MATCH($D$9,'Tipos BdE'!$B$6:$M$6,0)),0))</f>
        <v/>
      </c>
      <c r="M225" s="13">
        <f>IF(H225="","",IF($D$18="LEGAL",0,$D$10))</f>
        <v/>
      </c>
      <c r="N225" s="13">
        <f>IF(H225="","",IF(AND($D$14="Sí",(L225+M225)&lt;0),0,L225+M225))</f>
        <v/>
      </c>
      <c r="O225" s="199">
        <f>IF(H225="","",$D$5*N225*J225/36500)</f>
        <v/>
      </c>
      <c r="P225" s="199">
        <f>IF(H225="","",$D$5+SUM($O$5:O225))</f>
        <v/>
      </c>
    </row>
    <row r="226">
      <c r="G226" s="11">
        <f>IF(H226="","",ROW()-4)</f>
        <v/>
      </c>
      <c r="H226" s="12">
        <f>IF(OR(I225="",I225&gt;=$D$7),"",I225)</f>
        <v/>
      </c>
      <c r="I226" s="12">
        <f>IF(H226="","",MIN(IF($D$18="LEGAL",DATE(YEAR(H226)+1,1,1),EDATE($D$12,$D$11*(INT((((YEAR(H226)-YEAR($D$12))*12+(MONTH(H226)-MONTH($D$12))-IF(DAY(H226)&lt;DAY($D$12),1,0))/$D$11))+1))),$D$7))</f>
        <v/>
      </c>
      <c r="J226" s="11">
        <f>IF(H226="","",I226-H226)</f>
        <v/>
      </c>
      <c r="K226" s="12">
        <f>IF(H226="","",IF($D$18="LEGAL",H226,EDATE(H226,-$D$13)))</f>
        <v/>
      </c>
      <c r="L226" s="13">
        <f>IF(H226="","",IFERROR(INDEX('Tipos BdE'!$B$7:$M$336,MATCH(DATE(YEAR(K226),MONTH(K226),1),'Tipos BdE'!$A$7:$A$336,1),MATCH($D$9,'Tipos BdE'!$B$6:$M$6,0)),0))</f>
        <v/>
      </c>
      <c r="M226" s="13">
        <f>IF(H226="","",IF($D$18="LEGAL",0,$D$10))</f>
        <v/>
      </c>
      <c r="N226" s="13">
        <f>IF(H226="","",IF(AND($D$14="Sí",(L226+M226)&lt;0),0,L226+M226))</f>
        <v/>
      </c>
      <c r="O226" s="199">
        <f>IF(H226="","",$D$5*N226*J226/36500)</f>
        <v/>
      </c>
      <c r="P226" s="199">
        <f>IF(H226="","",$D$5+SUM($O$5:O226))</f>
        <v/>
      </c>
    </row>
    <row r="227">
      <c r="G227" s="11">
        <f>IF(H227="","",ROW()-4)</f>
        <v/>
      </c>
      <c r="H227" s="12">
        <f>IF(OR(I226="",I226&gt;=$D$7),"",I226)</f>
        <v/>
      </c>
      <c r="I227" s="12">
        <f>IF(H227="","",MIN(IF($D$18="LEGAL",DATE(YEAR(H227)+1,1,1),EDATE($D$12,$D$11*(INT((((YEAR(H227)-YEAR($D$12))*12+(MONTH(H227)-MONTH($D$12))-IF(DAY(H227)&lt;DAY($D$12),1,0))/$D$11))+1))),$D$7))</f>
        <v/>
      </c>
      <c r="J227" s="11">
        <f>IF(H227="","",I227-H227)</f>
        <v/>
      </c>
      <c r="K227" s="12">
        <f>IF(H227="","",IF($D$18="LEGAL",H227,EDATE(H227,-$D$13)))</f>
        <v/>
      </c>
      <c r="L227" s="13">
        <f>IF(H227="","",IFERROR(INDEX('Tipos BdE'!$B$7:$M$336,MATCH(DATE(YEAR(K227),MONTH(K227),1),'Tipos BdE'!$A$7:$A$336,1),MATCH($D$9,'Tipos BdE'!$B$6:$M$6,0)),0))</f>
        <v/>
      </c>
      <c r="M227" s="13">
        <f>IF(H227="","",IF($D$18="LEGAL",0,$D$10))</f>
        <v/>
      </c>
      <c r="N227" s="13">
        <f>IF(H227="","",IF(AND($D$14="Sí",(L227+M227)&lt;0),0,L227+M227))</f>
        <v/>
      </c>
      <c r="O227" s="199">
        <f>IF(H227="","",$D$5*N227*J227/36500)</f>
        <v/>
      </c>
      <c r="P227" s="199">
        <f>IF(H227="","",$D$5+SUM($O$5:O227))</f>
        <v/>
      </c>
    </row>
    <row r="228">
      <c r="G228" s="11">
        <f>IF(H228="","",ROW()-4)</f>
        <v/>
      </c>
      <c r="H228" s="12">
        <f>IF(OR(I227="",I227&gt;=$D$7),"",I227)</f>
        <v/>
      </c>
      <c r="I228" s="12">
        <f>IF(H228="","",MIN(IF($D$18="LEGAL",DATE(YEAR(H228)+1,1,1),EDATE($D$12,$D$11*(INT((((YEAR(H228)-YEAR($D$12))*12+(MONTH(H228)-MONTH($D$12))-IF(DAY(H228)&lt;DAY($D$12),1,0))/$D$11))+1))),$D$7))</f>
        <v/>
      </c>
      <c r="J228" s="11">
        <f>IF(H228="","",I228-H228)</f>
        <v/>
      </c>
      <c r="K228" s="12">
        <f>IF(H228="","",IF($D$18="LEGAL",H228,EDATE(H228,-$D$13)))</f>
        <v/>
      </c>
      <c r="L228" s="13">
        <f>IF(H228="","",IFERROR(INDEX('Tipos BdE'!$B$7:$M$336,MATCH(DATE(YEAR(K228),MONTH(K228),1),'Tipos BdE'!$A$7:$A$336,1),MATCH($D$9,'Tipos BdE'!$B$6:$M$6,0)),0))</f>
        <v/>
      </c>
      <c r="M228" s="13">
        <f>IF(H228="","",IF($D$18="LEGAL",0,$D$10))</f>
        <v/>
      </c>
      <c r="N228" s="13">
        <f>IF(H228="","",IF(AND($D$14="Sí",(L228+M228)&lt;0),0,L228+M228))</f>
        <v/>
      </c>
      <c r="O228" s="199">
        <f>IF(H228="","",$D$5*N228*J228/36500)</f>
        <v/>
      </c>
      <c r="P228" s="199">
        <f>IF(H228="","",$D$5+SUM($O$5:O228))</f>
        <v/>
      </c>
    </row>
    <row r="229">
      <c r="G229" s="11">
        <f>IF(H229="","",ROW()-4)</f>
        <v/>
      </c>
      <c r="H229" s="12">
        <f>IF(OR(I228="",I228&gt;=$D$7),"",I228)</f>
        <v/>
      </c>
      <c r="I229" s="12">
        <f>IF(H229="","",MIN(IF($D$18="LEGAL",DATE(YEAR(H229)+1,1,1),EDATE($D$12,$D$11*(INT((((YEAR(H229)-YEAR($D$12))*12+(MONTH(H229)-MONTH($D$12))-IF(DAY(H229)&lt;DAY($D$12),1,0))/$D$11))+1))),$D$7))</f>
        <v/>
      </c>
      <c r="J229" s="11">
        <f>IF(H229="","",I229-H229)</f>
        <v/>
      </c>
      <c r="K229" s="12">
        <f>IF(H229="","",IF($D$18="LEGAL",H229,EDATE(H229,-$D$13)))</f>
        <v/>
      </c>
      <c r="L229" s="13">
        <f>IF(H229="","",IFERROR(INDEX('Tipos BdE'!$B$7:$M$336,MATCH(DATE(YEAR(K229),MONTH(K229),1),'Tipos BdE'!$A$7:$A$336,1),MATCH($D$9,'Tipos BdE'!$B$6:$M$6,0)),0))</f>
        <v/>
      </c>
      <c r="M229" s="13">
        <f>IF(H229="","",IF($D$18="LEGAL",0,$D$10))</f>
        <v/>
      </c>
      <c r="N229" s="13">
        <f>IF(H229="","",IF(AND($D$14="Sí",(L229+M229)&lt;0),0,L229+M229))</f>
        <v/>
      </c>
      <c r="O229" s="199">
        <f>IF(H229="","",$D$5*N229*J229/36500)</f>
        <v/>
      </c>
      <c r="P229" s="199">
        <f>IF(H229="","",$D$5+SUM($O$5:O229))</f>
        <v/>
      </c>
    </row>
    <row r="230">
      <c r="G230" s="11">
        <f>IF(H230="","",ROW()-4)</f>
        <v/>
      </c>
      <c r="H230" s="12">
        <f>IF(OR(I229="",I229&gt;=$D$7),"",I229)</f>
        <v/>
      </c>
      <c r="I230" s="12">
        <f>IF(H230="","",MIN(IF($D$18="LEGAL",DATE(YEAR(H230)+1,1,1),EDATE($D$12,$D$11*(INT((((YEAR(H230)-YEAR($D$12))*12+(MONTH(H230)-MONTH($D$12))-IF(DAY(H230)&lt;DAY($D$12),1,0))/$D$11))+1))),$D$7))</f>
        <v/>
      </c>
      <c r="J230" s="11">
        <f>IF(H230="","",I230-H230)</f>
        <v/>
      </c>
      <c r="K230" s="12">
        <f>IF(H230="","",IF($D$18="LEGAL",H230,EDATE(H230,-$D$13)))</f>
        <v/>
      </c>
      <c r="L230" s="13">
        <f>IF(H230="","",IFERROR(INDEX('Tipos BdE'!$B$7:$M$336,MATCH(DATE(YEAR(K230),MONTH(K230),1),'Tipos BdE'!$A$7:$A$336,1),MATCH($D$9,'Tipos BdE'!$B$6:$M$6,0)),0))</f>
        <v/>
      </c>
      <c r="M230" s="13">
        <f>IF(H230="","",IF($D$18="LEGAL",0,$D$10))</f>
        <v/>
      </c>
      <c r="N230" s="13">
        <f>IF(H230="","",IF(AND($D$14="Sí",(L230+M230)&lt;0),0,L230+M230))</f>
        <v/>
      </c>
      <c r="O230" s="199">
        <f>IF(H230="","",$D$5*N230*J230/36500)</f>
        <v/>
      </c>
      <c r="P230" s="199">
        <f>IF(H230="","",$D$5+SUM($O$5:O230))</f>
        <v/>
      </c>
    </row>
    <row r="231">
      <c r="G231" s="11">
        <f>IF(H231="","",ROW()-4)</f>
        <v/>
      </c>
      <c r="H231" s="12">
        <f>IF(OR(I230="",I230&gt;=$D$7),"",I230)</f>
        <v/>
      </c>
      <c r="I231" s="12">
        <f>IF(H231="","",MIN(IF($D$18="LEGAL",DATE(YEAR(H231)+1,1,1),EDATE($D$12,$D$11*(INT((((YEAR(H231)-YEAR($D$12))*12+(MONTH(H231)-MONTH($D$12))-IF(DAY(H231)&lt;DAY($D$12),1,0))/$D$11))+1))),$D$7))</f>
        <v/>
      </c>
      <c r="J231" s="11">
        <f>IF(H231="","",I231-H231)</f>
        <v/>
      </c>
      <c r="K231" s="12">
        <f>IF(H231="","",IF($D$18="LEGAL",H231,EDATE(H231,-$D$13)))</f>
        <v/>
      </c>
      <c r="L231" s="13">
        <f>IF(H231="","",IFERROR(INDEX('Tipos BdE'!$B$7:$M$336,MATCH(DATE(YEAR(K231),MONTH(K231),1),'Tipos BdE'!$A$7:$A$336,1),MATCH($D$9,'Tipos BdE'!$B$6:$M$6,0)),0))</f>
        <v/>
      </c>
      <c r="M231" s="13">
        <f>IF(H231="","",IF($D$18="LEGAL",0,$D$10))</f>
        <v/>
      </c>
      <c r="N231" s="13">
        <f>IF(H231="","",IF(AND($D$14="Sí",(L231+M231)&lt;0),0,L231+M231))</f>
        <v/>
      </c>
      <c r="O231" s="199">
        <f>IF(H231="","",$D$5*N231*J231/36500)</f>
        <v/>
      </c>
      <c r="P231" s="199">
        <f>IF(H231="","",$D$5+SUM($O$5:O231))</f>
        <v/>
      </c>
    </row>
    <row r="232">
      <c r="G232" s="11">
        <f>IF(H232="","",ROW()-4)</f>
        <v/>
      </c>
      <c r="H232" s="12">
        <f>IF(OR(I231="",I231&gt;=$D$7),"",I231)</f>
        <v/>
      </c>
      <c r="I232" s="12">
        <f>IF(H232="","",MIN(IF($D$18="LEGAL",DATE(YEAR(H232)+1,1,1),EDATE($D$12,$D$11*(INT((((YEAR(H232)-YEAR($D$12))*12+(MONTH(H232)-MONTH($D$12))-IF(DAY(H232)&lt;DAY($D$12),1,0))/$D$11))+1))),$D$7))</f>
        <v/>
      </c>
      <c r="J232" s="11">
        <f>IF(H232="","",I232-H232)</f>
        <v/>
      </c>
      <c r="K232" s="12">
        <f>IF(H232="","",IF($D$18="LEGAL",H232,EDATE(H232,-$D$13)))</f>
        <v/>
      </c>
      <c r="L232" s="13">
        <f>IF(H232="","",IFERROR(INDEX('Tipos BdE'!$B$7:$M$336,MATCH(DATE(YEAR(K232),MONTH(K232),1),'Tipos BdE'!$A$7:$A$336,1),MATCH($D$9,'Tipos BdE'!$B$6:$M$6,0)),0))</f>
        <v/>
      </c>
      <c r="M232" s="13">
        <f>IF(H232="","",IF($D$18="LEGAL",0,$D$10))</f>
        <v/>
      </c>
      <c r="N232" s="13">
        <f>IF(H232="","",IF(AND($D$14="Sí",(L232+M232)&lt;0),0,L232+M232))</f>
        <v/>
      </c>
      <c r="O232" s="199">
        <f>IF(H232="","",$D$5*N232*J232/36500)</f>
        <v/>
      </c>
      <c r="P232" s="199">
        <f>IF(H232="","",$D$5+SUM($O$5:O232))</f>
        <v/>
      </c>
    </row>
    <row r="233">
      <c r="G233" s="11">
        <f>IF(H233="","",ROW()-4)</f>
        <v/>
      </c>
      <c r="H233" s="12">
        <f>IF(OR(I232="",I232&gt;=$D$7),"",I232)</f>
        <v/>
      </c>
      <c r="I233" s="12">
        <f>IF(H233="","",MIN(IF($D$18="LEGAL",DATE(YEAR(H233)+1,1,1),EDATE($D$12,$D$11*(INT((((YEAR(H233)-YEAR($D$12))*12+(MONTH(H233)-MONTH($D$12))-IF(DAY(H233)&lt;DAY($D$12),1,0))/$D$11))+1))),$D$7))</f>
        <v/>
      </c>
      <c r="J233" s="11">
        <f>IF(H233="","",I233-H233)</f>
        <v/>
      </c>
      <c r="K233" s="12">
        <f>IF(H233="","",IF($D$18="LEGAL",H233,EDATE(H233,-$D$13)))</f>
        <v/>
      </c>
      <c r="L233" s="13">
        <f>IF(H233="","",IFERROR(INDEX('Tipos BdE'!$B$7:$M$336,MATCH(DATE(YEAR(K233),MONTH(K233),1),'Tipos BdE'!$A$7:$A$336,1),MATCH($D$9,'Tipos BdE'!$B$6:$M$6,0)),0))</f>
        <v/>
      </c>
      <c r="M233" s="13">
        <f>IF(H233="","",IF($D$18="LEGAL",0,$D$10))</f>
        <v/>
      </c>
      <c r="N233" s="13">
        <f>IF(H233="","",IF(AND($D$14="Sí",(L233+M233)&lt;0),0,L233+M233))</f>
        <v/>
      </c>
      <c r="O233" s="199">
        <f>IF(H233="","",$D$5*N233*J233/36500)</f>
        <v/>
      </c>
      <c r="P233" s="199">
        <f>IF(H233="","",$D$5+SUM($O$5:O233))</f>
        <v/>
      </c>
    </row>
    <row r="234">
      <c r="G234" s="11">
        <f>IF(H234="","",ROW()-4)</f>
        <v/>
      </c>
      <c r="H234" s="12">
        <f>IF(OR(I233="",I233&gt;=$D$7),"",I233)</f>
        <v/>
      </c>
      <c r="I234" s="12">
        <f>IF(H234="","",MIN(IF($D$18="LEGAL",DATE(YEAR(H234)+1,1,1),EDATE($D$12,$D$11*(INT((((YEAR(H234)-YEAR($D$12))*12+(MONTH(H234)-MONTH($D$12))-IF(DAY(H234)&lt;DAY($D$12),1,0))/$D$11))+1))),$D$7))</f>
        <v/>
      </c>
      <c r="J234" s="11">
        <f>IF(H234="","",I234-H234)</f>
        <v/>
      </c>
      <c r="K234" s="12">
        <f>IF(H234="","",IF($D$18="LEGAL",H234,EDATE(H234,-$D$13)))</f>
        <v/>
      </c>
      <c r="L234" s="13">
        <f>IF(H234="","",IFERROR(INDEX('Tipos BdE'!$B$7:$M$336,MATCH(DATE(YEAR(K234),MONTH(K234),1),'Tipos BdE'!$A$7:$A$336,1),MATCH($D$9,'Tipos BdE'!$B$6:$M$6,0)),0))</f>
        <v/>
      </c>
      <c r="M234" s="13">
        <f>IF(H234="","",IF($D$18="LEGAL",0,$D$10))</f>
        <v/>
      </c>
      <c r="N234" s="13">
        <f>IF(H234="","",IF(AND($D$14="Sí",(L234+M234)&lt;0),0,L234+M234))</f>
        <v/>
      </c>
      <c r="O234" s="199">
        <f>IF(H234="","",$D$5*N234*J234/36500)</f>
        <v/>
      </c>
      <c r="P234" s="199">
        <f>IF(H234="","",$D$5+SUM($O$5:O234))</f>
        <v/>
      </c>
    </row>
    <row r="235">
      <c r="G235" s="11">
        <f>IF(H235="","",ROW()-4)</f>
        <v/>
      </c>
      <c r="H235" s="12">
        <f>IF(OR(I234="",I234&gt;=$D$7),"",I234)</f>
        <v/>
      </c>
      <c r="I235" s="12">
        <f>IF(H235="","",MIN(IF($D$18="LEGAL",DATE(YEAR(H235)+1,1,1),EDATE($D$12,$D$11*(INT((((YEAR(H235)-YEAR($D$12))*12+(MONTH(H235)-MONTH($D$12))-IF(DAY(H235)&lt;DAY($D$12),1,0))/$D$11))+1))),$D$7))</f>
        <v/>
      </c>
      <c r="J235" s="11">
        <f>IF(H235="","",I235-H235)</f>
        <v/>
      </c>
      <c r="K235" s="12">
        <f>IF(H235="","",IF($D$18="LEGAL",H235,EDATE(H235,-$D$13)))</f>
        <v/>
      </c>
      <c r="L235" s="13">
        <f>IF(H235="","",IFERROR(INDEX('Tipos BdE'!$B$7:$M$336,MATCH(DATE(YEAR(K235),MONTH(K235),1),'Tipos BdE'!$A$7:$A$336,1),MATCH($D$9,'Tipos BdE'!$B$6:$M$6,0)),0))</f>
        <v/>
      </c>
      <c r="M235" s="13">
        <f>IF(H235="","",IF($D$18="LEGAL",0,$D$10))</f>
        <v/>
      </c>
      <c r="N235" s="13">
        <f>IF(H235="","",IF(AND($D$14="Sí",(L235+M235)&lt;0),0,L235+M235))</f>
        <v/>
      </c>
      <c r="O235" s="199">
        <f>IF(H235="","",$D$5*N235*J235/36500)</f>
        <v/>
      </c>
      <c r="P235" s="199">
        <f>IF(H235="","",$D$5+SUM($O$5:O235))</f>
        <v/>
      </c>
    </row>
    <row r="236">
      <c r="G236" s="11">
        <f>IF(H236="","",ROW()-4)</f>
        <v/>
      </c>
      <c r="H236" s="12">
        <f>IF(OR(I235="",I235&gt;=$D$7),"",I235)</f>
        <v/>
      </c>
      <c r="I236" s="12">
        <f>IF(H236="","",MIN(IF($D$18="LEGAL",DATE(YEAR(H236)+1,1,1),EDATE($D$12,$D$11*(INT((((YEAR(H236)-YEAR($D$12))*12+(MONTH(H236)-MONTH($D$12))-IF(DAY(H236)&lt;DAY($D$12),1,0))/$D$11))+1))),$D$7))</f>
        <v/>
      </c>
      <c r="J236" s="11">
        <f>IF(H236="","",I236-H236)</f>
        <v/>
      </c>
      <c r="K236" s="12">
        <f>IF(H236="","",IF($D$18="LEGAL",H236,EDATE(H236,-$D$13)))</f>
        <v/>
      </c>
      <c r="L236" s="13">
        <f>IF(H236="","",IFERROR(INDEX('Tipos BdE'!$B$7:$M$336,MATCH(DATE(YEAR(K236),MONTH(K236),1),'Tipos BdE'!$A$7:$A$336,1),MATCH($D$9,'Tipos BdE'!$B$6:$M$6,0)),0))</f>
        <v/>
      </c>
      <c r="M236" s="13">
        <f>IF(H236="","",IF($D$18="LEGAL",0,$D$10))</f>
        <v/>
      </c>
      <c r="N236" s="13">
        <f>IF(H236="","",IF(AND($D$14="Sí",(L236+M236)&lt;0),0,L236+M236))</f>
        <v/>
      </c>
      <c r="O236" s="199">
        <f>IF(H236="","",$D$5*N236*J236/36500)</f>
        <v/>
      </c>
      <c r="P236" s="199">
        <f>IF(H236="","",$D$5+SUM($O$5:O236))</f>
        <v/>
      </c>
    </row>
    <row r="237">
      <c r="G237" s="11">
        <f>IF(H237="","",ROW()-4)</f>
        <v/>
      </c>
      <c r="H237" s="12">
        <f>IF(OR(I236="",I236&gt;=$D$7),"",I236)</f>
        <v/>
      </c>
      <c r="I237" s="12">
        <f>IF(H237="","",MIN(IF($D$18="LEGAL",DATE(YEAR(H237)+1,1,1),EDATE($D$12,$D$11*(INT((((YEAR(H237)-YEAR($D$12))*12+(MONTH(H237)-MONTH($D$12))-IF(DAY(H237)&lt;DAY($D$12),1,0))/$D$11))+1))),$D$7))</f>
        <v/>
      </c>
      <c r="J237" s="11">
        <f>IF(H237="","",I237-H237)</f>
        <v/>
      </c>
      <c r="K237" s="12">
        <f>IF(H237="","",IF($D$18="LEGAL",H237,EDATE(H237,-$D$13)))</f>
        <v/>
      </c>
      <c r="L237" s="13">
        <f>IF(H237="","",IFERROR(INDEX('Tipos BdE'!$B$7:$M$336,MATCH(DATE(YEAR(K237),MONTH(K237),1),'Tipos BdE'!$A$7:$A$336,1),MATCH($D$9,'Tipos BdE'!$B$6:$M$6,0)),0))</f>
        <v/>
      </c>
      <c r="M237" s="13">
        <f>IF(H237="","",IF($D$18="LEGAL",0,$D$10))</f>
        <v/>
      </c>
      <c r="N237" s="13">
        <f>IF(H237="","",IF(AND($D$14="Sí",(L237+M237)&lt;0),0,L237+M237))</f>
        <v/>
      </c>
      <c r="O237" s="199">
        <f>IF(H237="","",$D$5*N237*J237/36500)</f>
        <v/>
      </c>
      <c r="P237" s="199">
        <f>IF(H237="","",$D$5+SUM($O$5:O237))</f>
        <v/>
      </c>
    </row>
    <row r="238">
      <c r="G238" s="11">
        <f>IF(H238="","",ROW()-4)</f>
        <v/>
      </c>
      <c r="H238" s="12">
        <f>IF(OR(I237="",I237&gt;=$D$7),"",I237)</f>
        <v/>
      </c>
      <c r="I238" s="12">
        <f>IF(H238="","",MIN(IF($D$18="LEGAL",DATE(YEAR(H238)+1,1,1),EDATE($D$12,$D$11*(INT((((YEAR(H238)-YEAR($D$12))*12+(MONTH(H238)-MONTH($D$12))-IF(DAY(H238)&lt;DAY($D$12),1,0))/$D$11))+1))),$D$7))</f>
        <v/>
      </c>
      <c r="J238" s="11">
        <f>IF(H238="","",I238-H238)</f>
        <v/>
      </c>
      <c r="K238" s="12">
        <f>IF(H238="","",IF($D$18="LEGAL",H238,EDATE(H238,-$D$13)))</f>
        <v/>
      </c>
      <c r="L238" s="13">
        <f>IF(H238="","",IFERROR(INDEX('Tipos BdE'!$B$7:$M$336,MATCH(DATE(YEAR(K238),MONTH(K238),1),'Tipos BdE'!$A$7:$A$336,1),MATCH($D$9,'Tipos BdE'!$B$6:$M$6,0)),0))</f>
        <v/>
      </c>
      <c r="M238" s="13">
        <f>IF(H238="","",IF($D$18="LEGAL",0,$D$10))</f>
        <v/>
      </c>
      <c r="N238" s="13">
        <f>IF(H238="","",IF(AND($D$14="Sí",(L238+M238)&lt;0),0,L238+M238))</f>
        <v/>
      </c>
      <c r="O238" s="199">
        <f>IF(H238="","",$D$5*N238*J238/36500)</f>
        <v/>
      </c>
      <c r="P238" s="199">
        <f>IF(H238="","",$D$5+SUM($O$5:O238))</f>
        <v/>
      </c>
    </row>
    <row r="239">
      <c r="G239" s="11">
        <f>IF(H239="","",ROW()-4)</f>
        <v/>
      </c>
      <c r="H239" s="12">
        <f>IF(OR(I238="",I238&gt;=$D$7),"",I238)</f>
        <v/>
      </c>
      <c r="I239" s="12">
        <f>IF(H239="","",MIN(IF($D$18="LEGAL",DATE(YEAR(H239)+1,1,1),EDATE($D$12,$D$11*(INT((((YEAR(H239)-YEAR($D$12))*12+(MONTH(H239)-MONTH($D$12))-IF(DAY(H239)&lt;DAY($D$12),1,0))/$D$11))+1))),$D$7))</f>
        <v/>
      </c>
      <c r="J239" s="11">
        <f>IF(H239="","",I239-H239)</f>
        <v/>
      </c>
      <c r="K239" s="12">
        <f>IF(H239="","",IF($D$18="LEGAL",H239,EDATE(H239,-$D$13)))</f>
        <v/>
      </c>
      <c r="L239" s="13">
        <f>IF(H239="","",IFERROR(INDEX('Tipos BdE'!$B$7:$M$336,MATCH(DATE(YEAR(K239),MONTH(K239),1),'Tipos BdE'!$A$7:$A$336,1),MATCH($D$9,'Tipos BdE'!$B$6:$M$6,0)),0))</f>
        <v/>
      </c>
      <c r="M239" s="13">
        <f>IF(H239="","",IF($D$18="LEGAL",0,$D$10))</f>
        <v/>
      </c>
      <c r="N239" s="13">
        <f>IF(H239="","",IF(AND($D$14="Sí",(L239+M239)&lt;0),0,L239+M239))</f>
        <v/>
      </c>
      <c r="O239" s="199">
        <f>IF(H239="","",$D$5*N239*J239/36500)</f>
        <v/>
      </c>
      <c r="P239" s="199">
        <f>IF(H239="","",$D$5+SUM($O$5:O239))</f>
        <v/>
      </c>
    </row>
    <row r="240">
      <c r="G240" s="11">
        <f>IF(H240="","",ROW()-4)</f>
        <v/>
      </c>
      <c r="H240" s="12">
        <f>IF(OR(I239="",I239&gt;=$D$7),"",I239)</f>
        <v/>
      </c>
      <c r="I240" s="12">
        <f>IF(H240="","",MIN(IF($D$18="LEGAL",DATE(YEAR(H240)+1,1,1),EDATE($D$12,$D$11*(INT((((YEAR(H240)-YEAR($D$12))*12+(MONTH(H240)-MONTH($D$12))-IF(DAY(H240)&lt;DAY($D$12),1,0))/$D$11))+1))),$D$7))</f>
        <v/>
      </c>
      <c r="J240" s="11">
        <f>IF(H240="","",I240-H240)</f>
        <v/>
      </c>
      <c r="K240" s="12">
        <f>IF(H240="","",IF($D$18="LEGAL",H240,EDATE(H240,-$D$13)))</f>
        <v/>
      </c>
      <c r="L240" s="13">
        <f>IF(H240="","",IFERROR(INDEX('Tipos BdE'!$B$7:$M$336,MATCH(DATE(YEAR(K240),MONTH(K240),1),'Tipos BdE'!$A$7:$A$336,1),MATCH($D$9,'Tipos BdE'!$B$6:$M$6,0)),0))</f>
        <v/>
      </c>
      <c r="M240" s="13">
        <f>IF(H240="","",IF($D$18="LEGAL",0,$D$10))</f>
        <v/>
      </c>
      <c r="N240" s="13">
        <f>IF(H240="","",IF(AND($D$14="Sí",(L240+M240)&lt;0),0,L240+M240))</f>
        <v/>
      </c>
      <c r="O240" s="199">
        <f>IF(H240="","",$D$5*N240*J240/36500)</f>
        <v/>
      </c>
      <c r="P240" s="199">
        <f>IF(H240="","",$D$5+SUM($O$5:O240))</f>
        <v/>
      </c>
    </row>
    <row r="241">
      <c r="G241" s="11">
        <f>IF(H241="","",ROW()-4)</f>
        <v/>
      </c>
      <c r="H241" s="12">
        <f>IF(OR(I240="",I240&gt;=$D$7),"",I240)</f>
        <v/>
      </c>
      <c r="I241" s="12">
        <f>IF(H241="","",MIN(IF($D$18="LEGAL",DATE(YEAR(H241)+1,1,1),EDATE($D$12,$D$11*(INT((((YEAR(H241)-YEAR($D$12))*12+(MONTH(H241)-MONTH($D$12))-IF(DAY(H241)&lt;DAY($D$12),1,0))/$D$11))+1))),$D$7))</f>
        <v/>
      </c>
      <c r="J241" s="11">
        <f>IF(H241="","",I241-H241)</f>
        <v/>
      </c>
      <c r="K241" s="12">
        <f>IF(H241="","",IF($D$18="LEGAL",H241,EDATE(H241,-$D$13)))</f>
        <v/>
      </c>
      <c r="L241" s="13">
        <f>IF(H241="","",IFERROR(INDEX('Tipos BdE'!$B$7:$M$336,MATCH(DATE(YEAR(K241),MONTH(K241),1),'Tipos BdE'!$A$7:$A$336,1),MATCH($D$9,'Tipos BdE'!$B$6:$M$6,0)),0))</f>
        <v/>
      </c>
      <c r="M241" s="13">
        <f>IF(H241="","",IF($D$18="LEGAL",0,$D$10))</f>
        <v/>
      </c>
      <c r="N241" s="13">
        <f>IF(H241="","",IF(AND($D$14="Sí",(L241+M241)&lt;0),0,L241+M241))</f>
        <v/>
      </c>
      <c r="O241" s="199">
        <f>IF(H241="","",$D$5*N241*J241/36500)</f>
        <v/>
      </c>
      <c r="P241" s="199">
        <f>IF(H241="","",$D$5+SUM($O$5:O241))</f>
        <v/>
      </c>
    </row>
    <row r="242">
      <c r="G242" s="11">
        <f>IF(H242="","",ROW()-4)</f>
        <v/>
      </c>
      <c r="H242" s="12">
        <f>IF(OR(I241="",I241&gt;=$D$7),"",I241)</f>
        <v/>
      </c>
      <c r="I242" s="12">
        <f>IF(H242="","",MIN(IF($D$18="LEGAL",DATE(YEAR(H242)+1,1,1),EDATE($D$12,$D$11*(INT((((YEAR(H242)-YEAR($D$12))*12+(MONTH(H242)-MONTH($D$12))-IF(DAY(H242)&lt;DAY($D$12),1,0))/$D$11))+1))),$D$7))</f>
        <v/>
      </c>
      <c r="J242" s="11">
        <f>IF(H242="","",I242-H242)</f>
        <v/>
      </c>
      <c r="K242" s="12">
        <f>IF(H242="","",IF($D$18="LEGAL",H242,EDATE(H242,-$D$13)))</f>
        <v/>
      </c>
      <c r="L242" s="13">
        <f>IF(H242="","",IFERROR(INDEX('Tipos BdE'!$B$7:$M$336,MATCH(DATE(YEAR(K242),MONTH(K242),1),'Tipos BdE'!$A$7:$A$336,1),MATCH($D$9,'Tipos BdE'!$B$6:$M$6,0)),0))</f>
        <v/>
      </c>
      <c r="M242" s="13">
        <f>IF(H242="","",IF($D$18="LEGAL",0,$D$10))</f>
        <v/>
      </c>
      <c r="N242" s="13">
        <f>IF(H242="","",IF(AND($D$14="Sí",(L242+M242)&lt;0),0,L242+M242))</f>
        <v/>
      </c>
      <c r="O242" s="199">
        <f>IF(H242="","",$D$5*N242*J242/36500)</f>
        <v/>
      </c>
      <c r="P242" s="199">
        <f>IF(H242="","",$D$5+SUM($O$5:O242))</f>
        <v/>
      </c>
    </row>
    <row r="243">
      <c r="G243" s="11">
        <f>IF(H243="","",ROW()-4)</f>
        <v/>
      </c>
      <c r="H243" s="12">
        <f>IF(OR(I242="",I242&gt;=$D$7),"",I242)</f>
        <v/>
      </c>
      <c r="I243" s="12">
        <f>IF(H243="","",MIN(IF($D$18="LEGAL",DATE(YEAR(H243)+1,1,1),EDATE($D$12,$D$11*(INT((((YEAR(H243)-YEAR($D$12))*12+(MONTH(H243)-MONTH($D$12))-IF(DAY(H243)&lt;DAY($D$12),1,0))/$D$11))+1))),$D$7))</f>
        <v/>
      </c>
      <c r="J243" s="11">
        <f>IF(H243="","",I243-H243)</f>
        <v/>
      </c>
      <c r="K243" s="12">
        <f>IF(H243="","",IF($D$18="LEGAL",H243,EDATE(H243,-$D$13)))</f>
        <v/>
      </c>
      <c r="L243" s="13">
        <f>IF(H243="","",IFERROR(INDEX('Tipos BdE'!$B$7:$M$336,MATCH(DATE(YEAR(K243),MONTH(K243),1),'Tipos BdE'!$A$7:$A$336,1),MATCH($D$9,'Tipos BdE'!$B$6:$M$6,0)),0))</f>
        <v/>
      </c>
      <c r="M243" s="13">
        <f>IF(H243="","",IF($D$18="LEGAL",0,$D$10))</f>
        <v/>
      </c>
      <c r="N243" s="13">
        <f>IF(H243="","",IF(AND($D$14="Sí",(L243+M243)&lt;0),0,L243+M243))</f>
        <v/>
      </c>
      <c r="O243" s="199">
        <f>IF(H243="","",$D$5*N243*J243/36500)</f>
        <v/>
      </c>
      <c r="P243" s="199">
        <f>IF(H243="","",$D$5+SUM($O$5:O243))</f>
        <v/>
      </c>
    </row>
    <row r="244">
      <c r="G244" s="11">
        <f>IF(H244="","",ROW()-4)</f>
        <v/>
      </c>
      <c r="H244" s="12">
        <f>IF(OR(I243="",I243&gt;=$D$7),"",I243)</f>
        <v/>
      </c>
      <c r="I244" s="12">
        <f>IF(H244="","",MIN(IF($D$18="LEGAL",DATE(YEAR(H244)+1,1,1),EDATE($D$12,$D$11*(INT((((YEAR(H244)-YEAR($D$12))*12+(MONTH(H244)-MONTH($D$12))-IF(DAY(H244)&lt;DAY($D$12),1,0))/$D$11))+1))),$D$7))</f>
        <v/>
      </c>
      <c r="J244" s="11">
        <f>IF(H244="","",I244-H244)</f>
        <v/>
      </c>
      <c r="K244" s="12">
        <f>IF(H244="","",IF($D$18="LEGAL",H244,EDATE(H244,-$D$13)))</f>
        <v/>
      </c>
      <c r="L244" s="13">
        <f>IF(H244="","",IFERROR(INDEX('Tipos BdE'!$B$7:$M$336,MATCH(DATE(YEAR(K244),MONTH(K244),1),'Tipos BdE'!$A$7:$A$336,1),MATCH($D$9,'Tipos BdE'!$B$6:$M$6,0)),0))</f>
        <v/>
      </c>
      <c r="M244" s="13">
        <f>IF(H244="","",IF($D$18="LEGAL",0,$D$10))</f>
        <v/>
      </c>
      <c r="N244" s="13">
        <f>IF(H244="","",IF(AND($D$14="Sí",(L244+M244)&lt;0),0,L244+M244))</f>
        <v/>
      </c>
      <c r="O244" s="199">
        <f>IF(H244="","",$D$5*N244*J244/36500)</f>
        <v/>
      </c>
      <c r="P244" s="199">
        <f>IF(H244="","",$D$5+SUM($O$5:O244))</f>
        <v/>
      </c>
    </row>
    <row r="245">
      <c r="G245" s="11">
        <f>IF(H245="","",ROW()-4)</f>
        <v/>
      </c>
      <c r="H245" s="12">
        <f>IF(OR(I244="",I244&gt;=$D$7),"",I244)</f>
        <v/>
      </c>
      <c r="I245" s="12">
        <f>IF(H245="","",MIN(IF($D$18="LEGAL",DATE(YEAR(H245)+1,1,1),EDATE($D$12,$D$11*(INT((((YEAR(H245)-YEAR($D$12))*12+(MONTH(H245)-MONTH($D$12))-IF(DAY(H245)&lt;DAY($D$12),1,0))/$D$11))+1))),$D$7))</f>
        <v/>
      </c>
      <c r="J245" s="11">
        <f>IF(H245="","",I245-H245)</f>
        <v/>
      </c>
      <c r="K245" s="12">
        <f>IF(H245="","",IF($D$18="LEGAL",H245,EDATE(H245,-$D$13)))</f>
        <v/>
      </c>
      <c r="L245" s="13">
        <f>IF(H245="","",IFERROR(INDEX('Tipos BdE'!$B$7:$M$336,MATCH(DATE(YEAR(K245),MONTH(K245),1),'Tipos BdE'!$A$7:$A$336,1),MATCH($D$9,'Tipos BdE'!$B$6:$M$6,0)),0))</f>
        <v/>
      </c>
      <c r="M245" s="13">
        <f>IF(H245="","",IF($D$18="LEGAL",0,$D$10))</f>
        <v/>
      </c>
      <c r="N245" s="13">
        <f>IF(H245="","",IF(AND($D$14="Sí",(L245+M245)&lt;0),0,L245+M245))</f>
        <v/>
      </c>
      <c r="O245" s="199">
        <f>IF(H245="","",$D$5*N245*J245/36500)</f>
        <v/>
      </c>
      <c r="P245" s="199">
        <f>IF(H245="","",$D$5+SUM($O$5:O245))</f>
        <v/>
      </c>
    </row>
    <row r="246">
      <c r="G246" s="11">
        <f>IF(H246="","",ROW()-4)</f>
        <v/>
      </c>
      <c r="H246" s="12">
        <f>IF(OR(I245="",I245&gt;=$D$7),"",I245)</f>
        <v/>
      </c>
      <c r="I246" s="12">
        <f>IF(H246="","",MIN(IF($D$18="LEGAL",DATE(YEAR(H246)+1,1,1),EDATE($D$12,$D$11*(INT((((YEAR(H246)-YEAR($D$12))*12+(MONTH(H246)-MONTH($D$12))-IF(DAY(H246)&lt;DAY($D$12),1,0))/$D$11))+1))),$D$7))</f>
        <v/>
      </c>
      <c r="J246" s="11">
        <f>IF(H246="","",I246-H246)</f>
        <v/>
      </c>
      <c r="K246" s="12">
        <f>IF(H246="","",IF($D$18="LEGAL",H246,EDATE(H246,-$D$13)))</f>
        <v/>
      </c>
      <c r="L246" s="13">
        <f>IF(H246="","",IFERROR(INDEX('Tipos BdE'!$B$7:$M$336,MATCH(DATE(YEAR(K246),MONTH(K246),1),'Tipos BdE'!$A$7:$A$336,1),MATCH($D$9,'Tipos BdE'!$B$6:$M$6,0)),0))</f>
        <v/>
      </c>
      <c r="M246" s="13">
        <f>IF(H246="","",IF($D$18="LEGAL",0,$D$10))</f>
        <v/>
      </c>
      <c r="N246" s="13">
        <f>IF(H246="","",IF(AND($D$14="Sí",(L246+M246)&lt;0),0,L246+M246))</f>
        <v/>
      </c>
      <c r="O246" s="199">
        <f>IF(H246="","",$D$5*N246*J246/36500)</f>
        <v/>
      </c>
      <c r="P246" s="199">
        <f>IF(H246="","",$D$5+SUM($O$5:O246))</f>
        <v/>
      </c>
    </row>
    <row r="247">
      <c r="G247" s="11">
        <f>IF(H247="","",ROW()-4)</f>
        <v/>
      </c>
      <c r="H247" s="12">
        <f>IF(OR(I246="",I246&gt;=$D$7),"",I246)</f>
        <v/>
      </c>
      <c r="I247" s="12">
        <f>IF(H247="","",MIN(IF($D$18="LEGAL",DATE(YEAR(H247)+1,1,1),EDATE($D$12,$D$11*(INT((((YEAR(H247)-YEAR($D$12))*12+(MONTH(H247)-MONTH($D$12))-IF(DAY(H247)&lt;DAY($D$12),1,0))/$D$11))+1))),$D$7))</f>
        <v/>
      </c>
      <c r="J247" s="11">
        <f>IF(H247="","",I247-H247)</f>
        <v/>
      </c>
      <c r="K247" s="12">
        <f>IF(H247="","",IF($D$18="LEGAL",H247,EDATE(H247,-$D$13)))</f>
        <v/>
      </c>
      <c r="L247" s="13">
        <f>IF(H247="","",IFERROR(INDEX('Tipos BdE'!$B$7:$M$336,MATCH(DATE(YEAR(K247),MONTH(K247),1),'Tipos BdE'!$A$7:$A$336,1),MATCH($D$9,'Tipos BdE'!$B$6:$M$6,0)),0))</f>
        <v/>
      </c>
      <c r="M247" s="13">
        <f>IF(H247="","",IF($D$18="LEGAL",0,$D$10))</f>
        <v/>
      </c>
      <c r="N247" s="13">
        <f>IF(H247="","",IF(AND($D$14="Sí",(L247+M247)&lt;0),0,L247+M247))</f>
        <v/>
      </c>
      <c r="O247" s="199">
        <f>IF(H247="","",$D$5*N247*J247/36500)</f>
        <v/>
      </c>
      <c r="P247" s="199">
        <f>IF(H247="","",$D$5+SUM($O$5:O247))</f>
        <v/>
      </c>
    </row>
    <row r="248">
      <c r="G248" s="11">
        <f>IF(H248="","",ROW()-4)</f>
        <v/>
      </c>
      <c r="H248" s="12">
        <f>IF(OR(I247="",I247&gt;=$D$7),"",I247)</f>
        <v/>
      </c>
      <c r="I248" s="12">
        <f>IF(H248="","",MIN(IF($D$18="LEGAL",DATE(YEAR(H248)+1,1,1),EDATE($D$12,$D$11*(INT((((YEAR(H248)-YEAR($D$12))*12+(MONTH(H248)-MONTH($D$12))-IF(DAY(H248)&lt;DAY($D$12),1,0))/$D$11))+1))),$D$7))</f>
        <v/>
      </c>
      <c r="J248" s="11">
        <f>IF(H248="","",I248-H248)</f>
        <v/>
      </c>
      <c r="K248" s="12">
        <f>IF(H248="","",IF($D$18="LEGAL",H248,EDATE(H248,-$D$13)))</f>
        <v/>
      </c>
      <c r="L248" s="13">
        <f>IF(H248="","",IFERROR(INDEX('Tipos BdE'!$B$7:$M$336,MATCH(DATE(YEAR(K248),MONTH(K248),1),'Tipos BdE'!$A$7:$A$336,1),MATCH($D$9,'Tipos BdE'!$B$6:$M$6,0)),0))</f>
        <v/>
      </c>
      <c r="M248" s="13">
        <f>IF(H248="","",IF($D$18="LEGAL",0,$D$10))</f>
        <v/>
      </c>
      <c r="N248" s="13">
        <f>IF(H248="","",IF(AND($D$14="Sí",(L248+M248)&lt;0),0,L248+M248))</f>
        <v/>
      </c>
      <c r="O248" s="199">
        <f>IF(H248="","",$D$5*N248*J248/36500)</f>
        <v/>
      </c>
      <c r="P248" s="199">
        <f>IF(H248="","",$D$5+SUM($O$5:O248))</f>
        <v/>
      </c>
    </row>
    <row r="249">
      <c r="G249" s="11">
        <f>IF(H249="","",ROW()-4)</f>
        <v/>
      </c>
      <c r="H249" s="12">
        <f>IF(OR(I248="",I248&gt;=$D$7),"",I248)</f>
        <v/>
      </c>
      <c r="I249" s="12">
        <f>IF(H249="","",MIN(IF($D$18="LEGAL",DATE(YEAR(H249)+1,1,1),EDATE($D$12,$D$11*(INT((((YEAR(H249)-YEAR($D$12))*12+(MONTH(H249)-MONTH($D$12))-IF(DAY(H249)&lt;DAY($D$12),1,0))/$D$11))+1))),$D$7))</f>
        <v/>
      </c>
      <c r="J249" s="11">
        <f>IF(H249="","",I249-H249)</f>
        <v/>
      </c>
      <c r="K249" s="12">
        <f>IF(H249="","",IF($D$18="LEGAL",H249,EDATE(H249,-$D$13)))</f>
        <v/>
      </c>
      <c r="L249" s="13">
        <f>IF(H249="","",IFERROR(INDEX('Tipos BdE'!$B$7:$M$336,MATCH(DATE(YEAR(K249),MONTH(K249),1),'Tipos BdE'!$A$7:$A$336,1),MATCH($D$9,'Tipos BdE'!$B$6:$M$6,0)),0))</f>
        <v/>
      </c>
      <c r="M249" s="13">
        <f>IF(H249="","",IF($D$18="LEGAL",0,$D$10))</f>
        <v/>
      </c>
      <c r="N249" s="13">
        <f>IF(H249="","",IF(AND($D$14="Sí",(L249+M249)&lt;0),0,L249+M249))</f>
        <v/>
      </c>
      <c r="O249" s="199">
        <f>IF(H249="","",$D$5*N249*J249/36500)</f>
        <v/>
      </c>
      <c r="P249" s="199">
        <f>IF(H249="","",$D$5+SUM($O$5:O249))</f>
        <v/>
      </c>
    </row>
    <row r="250">
      <c r="G250" s="11">
        <f>IF(H250="","",ROW()-4)</f>
        <v/>
      </c>
      <c r="H250" s="12">
        <f>IF(OR(I249="",I249&gt;=$D$7),"",I249)</f>
        <v/>
      </c>
      <c r="I250" s="12">
        <f>IF(H250="","",MIN(IF($D$18="LEGAL",DATE(YEAR(H250)+1,1,1),EDATE($D$12,$D$11*(INT((((YEAR(H250)-YEAR($D$12))*12+(MONTH(H250)-MONTH($D$12))-IF(DAY(H250)&lt;DAY($D$12),1,0))/$D$11))+1))),$D$7))</f>
        <v/>
      </c>
      <c r="J250" s="11">
        <f>IF(H250="","",I250-H250)</f>
        <v/>
      </c>
      <c r="K250" s="12">
        <f>IF(H250="","",IF($D$18="LEGAL",H250,EDATE(H250,-$D$13)))</f>
        <v/>
      </c>
      <c r="L250" s="13">
        <f>IF(H250="","",IFERROR(INDEX('Tipos BdE'!$B$7:$M$336,MATCH(DATE(YEAR(K250),MONTH(K250),1),'Tipos BdE'!$A$7:$A$336,1),MATCH($D$9,'Tipos BdE'!$B$6:$M$6,0)),0))</f>
        <v/>
      </c>
      <c r="M250" s="13">
        <f>IF(H250="","",IF($D$18="LEGAL",0,$D$10))</f>
        <v/>
      </c>
      <c r="N250" s="13">
        <f>IF(H250="","",IF(AND($D$14="Sí",(L250+M250)&lt;0),0,L250+M250))</f>
        <v/>
      </c>
      <c r="O250" s="199">
        <f>IF(H250="","",$D$5*N250*J250/36500)</f>
        <v/>
      </c>
      <c r="P250" s="199">
        <f>IF(H250="","",$D$5+SUM($O$5:O250))</f>
        <v/>
      </c>
    </row>
    <row r="251">
      <c r="G251" s="11">
        <f>IF(H251="","",ROW()-4)</f>
        <v/>
      </c>
      <c r="H251" s="12">
        <f>IF(OR(I250="",I250&gt;=$D$7),"",I250)</f>
        <v/>
      </c>
      <c r="I251" s="12">
        <f>IF(H251="","",MIN(IF($D$18="LEGAL",DATE(YEAR(H251)+1,1,1),EDATE($D$12,$D$11*(INT((((YEAR(H251)-YEAR($D$12))*12+(MONTH(H251)-MONTH($D$12))-IF(DAY(H251)&lt;DAY($D$12),1,0))/$D$11))+1))),$D$7))</f>
        <v/>
      </c>
      <c r="J251" s="11">
        <f>IF(H251="","",I251-H251)</f>
        <v/>
      </c>
      <c r="K251" s="12">
        <f>IF(H251="","",IF($D$18="LEGAL",H251,EDATE(H251,-$D$13)))</f>
        <v/>
      </c>
      <c r="L251" s="13">
        <f>IF(H251="","",IFERROR(INDEX('Tipos BdE'!$B$7:$M$336,MATCH(DATE(YEAR(K251),MONTH(K251),1),'Tipos BdE'!$A$7:$A$336,1),MATCH($D$9,'Tipos BdE'!$B$6:$M$6,0)),0))</f>
        <v/>
      </c>
      <c r="M251" s="13">
        <f>IF(H251="","",IF($D$18="LEGAL",0,$D$10))</f>
        <v/>
      </c>
      <c r="N251" s="13">
        <f>IF(H251="","",IF(AND($D$14="Sí",(L251+M251)&lt;0),0,L251+M251))</f>
        <v/>
      </c>
      <c r="O251" s="199">
        <f>IF(H251="","",$D$5*N251*J251/36500)</f>
        <v/>
      </c>
      <c r="P251" s="199">
        <f>IF(H251="","",$D$5+SUM($O$5:O251))</f>
        <v/>
      </c>
    </row>
    <row r="252">
      <c r="G252" s="11">
        <f>IF(H252="","",ROW()-4)</f>
        <v/>
      </c>
      <c r="H252" s="12">
        <f>IF(OR(I251="",I251&gt;=$D$7),"",I251)</f>
        <v/>
      </c>
      <c r="I252" s="12">
        <f>IF(H252="","",MIN(IF($D$18="LEGAL",DATE(YEAR(H252)+1,1,1),EDATE($D$12,$D$11*(INT((((YEAR(H252)-YEAR($D$12))*12+(MONTH(H252)-MONTH($D$12))-IF(DAY(H252)&lt;DAY($D$12),1,0))/$D$11))+1))),$D$7))</f>
        <v/>
      </c>
      <c r="J252" s="11">
        <f>IF(H252="","",I252-H252)</f>
        <v/>
      </c>
      <c r="K252" s="12">
        <f>IF(H252="","",IF($D$18="LEGAL",H252,EDATE(H252,-$D$13)))</f>
        <v/>
      </c>
      <c r="L252" s="13">
        <f>IF(H252="","",IFERROR(INDEX('Tipos BdE'!$B$7:$M$336,MATCH(DATE(YEAR(K252),MONTH(K252),1),'Tipos BdE'!$A$7:$A$336,1),MATCH($D$9,'Tipos BdE'!$B$6:$M$6,0)),0))</f>
        <v/>
      </c>
      <c r="M252" s="13">
        <f>IF(H252="","",IF($D$18="LEGAL",0,$D$10))</f>
        <v/>
      </c>
      <c r="N252" s="13">
        <f>IF(H252="","",IF(AND($D$14="Sí",(L252+M252)&lt;0),0,L252+M252))</f>
        <v/>
      </c>
      <c r="O252" s="199">
        <f>IF(H252="","",$D$5*N252*J252/36500)</f>
        <v/>
      </c>
      <c r="P252" s="199">
        <f>IF(H252="","",$D$5+SUM($O$5:O252))</f>
        <v/>
      </c>
    </row>
    <row r="253">
      <c r="G253" s="11">
        <f>IF(H253="","",ROW()-4)</f>
        <v/>
      </c>
      <c r="H253" s="12">
        <f>IF(OR(I252="",I252&gt;=$D$7),"",I252)</f>
        <v/>
      </c>
      <c r="I253" s="12">
        <f>IF(H253="","",MIN(IF($D$18="LEGAL",DATE(YEAR(H253)+1,1,1),EDATE($D$12,$D$11*(INT((((YEAR(H253)-YEAR($D$12))*12+(MONTH(H253)-MONTH($D$12))-IF(DAY(H253)&lt;DAY($D$12),1,0))/$D$11))+1))),$D$7))</f>
        <v/>
      </c>
      <c r="J253" s="11">
        <f>IF(H253="","",I253-H253)</f>
        <v/>
      </c>
      <c r="K253" s="12">
        <f>IF(H253="","",IF($D$18="LEGAL",H253,EDATE(H253,-$D$13)))</f>
        <v/>
      </c>
      <c r="L253" s="13">
        <f>IF(H253="","",IFERROR(INDEX('Tipos BdE'!$B$7:$M$336,MATCH(DATE(YEAR(K253),MONTH(K253),1),'Tipos BdE'!$A$7:$A$336,1),MATCH($D$9,'Tipos BdE'!$B$6:$M$6,0)),0))</f>
        <v/>
      </c>
      <c r="M253" s="13">
        <f>IF(H253="","",IF($D$18="LEGAL",0,$D$10))</f>
        <v/>
      </c>
      <c r="N253" s="13">
        <f>IF(H253="","",IF(AND($D$14="Sí",(L253+M253)&lt;0),0,L253+M253))</f>
        <v/>
      </c>
      <c r="O253" s="199">
        <f>IF(H253="","",$D$5*N253*J253/36500)</f>
        <v/>
      </c>
      <c r="P253" s="199">
        <f>IF(H253="","",$D$5+SUM($O$5:O253))</f>
        <v/>
      </c>
    </row>
    <row r="254">
      <c r="G254" s="11">
        <f>IF(H254="","",ROW()-4)</f>
        <v/>
      </c>
      <c r="H254" s="12">
        <f>IF(OR(I253="",I253&gt;=$D$7),"",I253)</f>
        <v/>
      </c>
      <c r="I254" s="12">
        <f>IF(H254="","",MIN(IF($D$18="LEGAL",DATE(YEAR(H254)+1,1,1),EDATE($D$12,$D$11*(INT((((YEAR(H254)-YEAR($D$12))*12+(MONTH(H254)-MONTH($D$12))-IF(DAY(H254)&lt;DAY($D$12),1,0))/$D$11))+1))),$D$7))</f>
        <v/>
      </c>
      <c r="J254" s="11">
        <f>IF(H254="","",I254-H254)</f>
        <v/>
      </c>
      <c r="K254" s="12">
        <f>IF(H254="","",IF($D$18="LEGAL",H254,EDATE(H254,-$D$13)))</f>
        <v/>
      </c>
      <c r="L254" s="13">
        <f>IF(H254="","",IFERROR(INDEX('Tipos BdE'!$B$7:$M$336,MATCH(DATE(YEAR(K254),MONTH(K254),1),'Tipos BdE'!$A$7:$A$336,1),MATCH($D$9,'Tipos BdE'!$B$6:$M$6,0)),0))</f>
        <v/>
      </c>
      <c r="M254" s="13">
        <f>IF(H254="","",IF($D$18="LEGAL",0,$D$10))</f>
        <v/>
      </c>
      <c r="N254" s="13">
        <f>IF(H254="","",IF(AND($D$14="Sí",(L254+M254)&lt;0),0,L254+M254))</f>
        <v/>
      </c>
      <c r="O254" s="199">
        <f>IF(H254="","",$D$5*N254*J254/36500)</f>
        <v/>
      </c>
      <c r="P254" s="199">
        <f>IF(H254="","",$D$5+SUM($O$5:O254))</f>
        <v/>
      </c>
    </row>
    <row r="255">
      <c r="G255" s="11">
        <f>IF(H255="","",ROW()-4)</f>
        <v/>
      </c>
      <c r="H255" s="12">
        <f>IF(OR(I254="",I254&gt;=$D$7),"",I254)</f>
        <v/>
      </c>
      <c r="I255" s="12">
        <f>IF(H255="","",MIN(IF($D$18="LEGAL",DATE(YEAR(H255)+1,1,1),EDATE($D$12,$D$11*(INT((((YEAR(H255)-YEAR($D$12))*12+(MONTH(H255)-MONTH($D$12))-IF(DAY(H255)&lt;DAY($D$12),1,0))/$D$11))+1))),$D$7))</f>
        <v/>
      </c>
      <c r="J255" s="11">
        <f>IF(H255="","",I255-H255)</f>
        <v/>
      </c>
      <c r="K255" s="12">
        <f>IF(H255="","",IF($D$18="LEGAL",H255,EDATE(H255,-$D$13)))</f>
        <v/>
      </c>
      <c r="L255" s="13">
        <f>IF(H255="","",IFERROR(INDEX('Tipos BdE'!$B$7:$M$336,MATCH(DATE(YEAR(K255),MONTH(K255),1),'Tipos BdE'!$A$7:$A$336,1),MATCH($D$9,'Tipos BdE'!$B$6:$M$6,0)),0))</f>
        <v/>
      </c>
      <c r="M255" s="13">
        <f>IF(H255="","",IF($D$18="LEGAL",0,$D$10))</f>
        <v/>
      </c>
      <c r="N255" s="13">
        <f>IF(H255="","",IF(AND($D$14="Sí",(L255+M255)&lt;0),0,L255+M255))</f>
        <v/>
      </c>
      <c r="O255" s="199">
        <f>IF(H255="","",$D$5*N255*J255/36500)</f>
        <v/>
      </c>
      <c r="P255" s="199">
        <f>IF(H255="","",$D$5+SUM($O$5:O255))</f>
        <v/>
      </c>
    </row>
    <row r="256">
      <c r="G256" s="11">
        <f>IF(H256="","",ROW()-4)</f>
        <v/>
      </c>
      <c r="H256" s="12">
        <f>IF(OR(I255="",I255&gt;=$D$7),"",I255)</f>
        <v/>
      </c>
      <c r="I256" s="12">
        <f>IF(H256="","",MIN(IF($D$18="LEGAL",DATE(YEAR(H256)+1,1,1),EDATE($D$12,$D$11*(INT((((YEAR(H256)-YEAR($D$12))*12+(MONTH(H256)-MONTH($D$12))-IF(DAY(H256)&lt;DAY($D$12),1,0))/$D$11))+1))),$D$7))</f>
        <v/>
      </c>
      <c r="J256" s="11">
        <f>IF(H256="","",I256-H256)</f>
        <v/>
      </c>
      <c r="K256" s="12">
        <f>IF(H256="","",IF($D$18="LEGAL",H256,EDATE(H256,-$D$13)))</f>
        <v/>
      </c>
      <c r="L256" s="13">
        <f>IF(H256="","",IFERROR(INDEX('Tipos BdE'!$B$7:$M$336,MATCH(DATE(YEAR(K256),MONTH(K256),1),'Tipos BdE'!$A$7:$A$336,1),MATCH($D$9,'Tipos BdE'!$B$6:$M$6,0)),0))</f>
        <v/>
      </c>
      <c r="M256" s="13">
        <f>IF(H256="","",IF($D$18="LEGAL",0,$D$10))</f>
        <v/>
      </c>
      <c r="N256" s="13">
        <f>IF(H256="","",IF(AND($D$14="Sí",(L256+M256)&lt;0),0,L256+M256))</f>
        <v/>
      </c>
      <c r="O256" s="199">
        <f>IF(H256="","",$D$5*N256*J256/36500)</f>
        <v/>
      </c>
      <c r="P256" s="199">
        <f>IF(H256="","",$D$5+SUM($O$5:O256))</f>
        <v/>
      </c>
    </row>
    <row r="257">
      <c r="G257" s="11">
        <f>IF(H257="","",ROW()-4)</f>
        <v/>
      </c>
      <c r="H257" s="12">
        <f>IF(OR(I256="",I256&gt;=$D$7),"",I256)</f>
        <v/>
      </c>
      <c r="I257" s="12">
        <f>IF(H257="","",MIN(IF($D$18="LEGAL",DATE(YEAR(H257)+1,1,1),EDATE($D$12,$D$11*(INT((((YEAR(H257)-YEAR($D$12))*12+(MONTH(H257)-MONTH($D$12))-IF(DAY(H257)&lt;DAY($D$12),1,0))/$D$11))+1))),$D$7))</f>
        <v/>
      </c>
      <c r="J257" s="11">
        <f>IF(H257="","",I257-H257)</f>
        <v/>
      </c>
      <c r="K257" s="12">
        <f>IF(H257="","",IF($D$18="LEGAL",H257,EDATE(H257,-$D$13)))</f>
        <v/>
      </c>
      <c r="L257" s="13">
        <f>IF(H257="","",IFERROR(INDEX('Tipos BdE'!$B$7:$M$336,MATCH(DATE(YEAR(K257),MONTH(K257),1),'Tipos BdE'!$A$7:$A$336,1),MATCH($D$9,'Tipos BdE'!$B$6:$M$6,0)),0))</f>
        <v/>
      </c>
      <c r="M257" s="13">
        <f>IF(H257="","",IF($D$18="LEGAL",0,$D$10))</f>
        <v/>
      </c>
      <c r="N257" s="13">
        <f>IF(H257="","",IF(AND($D$14="Sí",(L257+M257)&lt;0),0,L257+M257))</f>
        <v/>
      </c>
      <c r="O257" s="199">
        <f>IF(H257="","",$D$5*N257*J257/36500)</f>
        <v/>
      </c>
      <c r="P257" s="199">
        <f>IF(H257="","",$D$5+SUM($O$5:O257))</f>
        <v/>
      </c>
    </row>
    <row r="258">
      <c r="G258" s="11">
        <f>IF(H258="","",ROW()-4)</f>
        <v/>
      </c>
      <c r="H258" s="12">
        <f>IF(OR(I257="",I257&gt;=$D$7),"",I257)</f>
        <v/>
      </c>
      <c r="I258" s="12">
        <f>IF(H258="","",MIN(IF($D$18="LEGAL",DATE(YEAR(H258)+1,1,1),EDATE($D$12,$D$11*(INT((((YEAR(H258)-YEAR($D$12))*12+(MONTH(H258)-MONTH($D$12))-IF(DAY(H258)&lt;DAY($D$12),1,0))/$D$11))+1))),$D$7))</f>
        <v/>
      </c>
      <c r="J258" s="11">
        <f>IF(H258="","",I258-H258)</f>
        <v/>
      </c>
      <c r="K258" s="12">
        <f>IF(H258="","",IF($D$18="LEGAL",H258,EDATE(H258,-$D$13)))</f>
        <v/>
      </c>
      <c r="L258" s="13">
        <f>IF(H258="","",IFERROR(INDEX('Tipos BdE'!$B$7:$M$336,MATCH(DATE(YEAR(K258),MONTH(K258),1),'Tipos BdE'!$A$7:$A$336,1),MATCH($D$9,'Tipos BdE'!$B$6:$M$6,0)),0))</f>
        <v/>
      </c>
      <c r="M258" s="13">
        <f>IF(H258="","",IF($D$18="LEGAL",0,$D$10))</f>
        <v/>
      </c>
      <c r="N258" s="13">
        <f>IF(H258="","",IF(AND($D$14="Sí",(L258+M258)&lt;0),0,L258+M258))</f>
        <v/>
      </c>
      <c r="O258" s="199">
        <f>IF(H258="","",$D$5*N258*J258/36500)</f>
        <v/>
      </c>
      <c r="P258" s="199">
        <f>IF(H258="","",$D$5+SUM($O$5:O258))</f>
        <v/>
      </c>
    </row>
    <row r="259">
      <c r="G259" s="11">
        <f>IF(H259="","",ROW()-4)</f>
        <v/>
      </c>
      <c r="H259" s="12">
        <f>IF(OR(I258="",I258&gt;=$D$7),"",I258)</f>
        <v/>
      </c>
      <c r="I259" s="12">
        <f>IF(H259="","",MIN(IF($D$18="LEGAL",DATE(YEAR(H259)+1,1,1),EDATE($D$12,$D$11*(INT((((YEAR(H259)-YEAR($D$12))*12+(MONTH(H259)-MONTH($D$12))-IF(DAY(H259)&lt;DAY($D$12),1,0))/$D$11))+1))),$D$7))</f>
        <v/>
      </c>
      <c r="J259" s="11">
        <f>IF(H259="","",I259-H259)</f>
        <v/>
      </c>
      <c r="K259" s="12">
        <f>IF(H259="","",IF($D$18="LEGAL",H259,EDATE(H259,-$D$13)))</f>
        <v/>
      </c>
      <c r="L259" s="13">
        <f>IF(H259="","",IFERROR(INDEX('Tipos BdE'!$B$7:$M$336,MATCH(DATE(YEAR(K259),MONTH(K259),1),'Tipos BdE'!$A$7:$A$336,1),MATCH($D$9,'Tipos BdE'!$B$6:$M$6,0)),0))</f>
        <v/>
      </c>
      <c r="M259" s="13">
        <f>IF(H259="","",IF($D$18="LEGAL",0,$D$10))</f>
        <v/>
      </c>
      <c r="N259" s="13">
        <f>IF(H259="","",IF(AND($D$14="Sí",(L259+M259)&lt;0),0,L259+M259))</f>
        <v/>
      </c>
      <c r="O259" s="199">
        <f>IF(H259="","",$D$5*N259*J259/36500)</f>
        <v/>
      </c>
      <c r="P259" s="199">
        <f>IF(H259="","",$D$5+SUM($O$5:O259))</f>
        <v/>
      </c>
    </row>
    <row r="260">
      <c r="G260" s="11">
        <f>IF(H260="","",ROW()-4)</f>
        <v/>
      </c>
      <c r="H260" s="12">
        <f>IF(OR(I259="",I259&gt;=$D$7),"",I259)</f>
        <v/>
      </c>
      <c r="I260" s="12">
        <f>IF(H260="","",MIN(IF($D$18="LEGAL",DATE(YEAR(H260)+1,1,1),EDATE($D$12,$D$11*(INT((((YEAR(H260)-YEAR($D$12))*12+(MONTH(H260)-MONTH($D$12))-IF(DAY(H260)&lt;DAY($D$12),1,0))/$D$11))+1))),$D$7))</f>
        <v/>
      </c>
      <c r="J260" s="11">
        <f>IF(H260="","",I260-H260)</f>
        <v/>
      </c>
      <c r="K260" s="12">
        <f>IF(H260="","",IF($D$18="LEGAL",H260,EDATE(H260,-$D$13)))</f>
        <v/>
      </c>
      <c r="L260" s="13">
        <f>IF(H260="","",IFERROR(INDEX('Tipos BdE'!$B$7:$M$336,MATCH(DATE(YEAR(K260),MONTH(K260),1),'Tipos BdE'!$A$7:$A$336,1),MATCH($D$9,'Tipos BdE'!$B$6:$M$6,0)),0))</f>
        <v/>
      </c>
      <c r="M260" s="13">
        <f>IF(H260="","",IF($D$18="LEGAL",0,$D$10))</f>
        <v/>
      </c>
      <c r="N260" s="13">
        <f>IF(H260="","",IF(AND($D$14="Sí",(L260+M260)&lt;0),0,L260+M260))</f>
        <v/>
      </c>
      <c r="O260" s="199">
        <f>IF(H260="","",$D$5*N260*J260/36500)</f>
        <v/>
      </c>
      <c r="P260" s="199">
        <f>IF(H260="","",$D$5+SUM($O$5:O260))</f>
        <v/>
      </c>
    </row>
    <row r="261">
      <c r="G261" s="11">
        <f>IF(H261="","",ROW()-4)</f>
        <v/>
      </c>
      <c r="H261" s="12">
        <f>IF(OR(I260="",I260&gt;=$D$7),"",I260)</f>
        <v/>
      </c>
      <c r="I261" s="12">
        <f>IF(H261="","",MIN(IF($D$18="LEGAL",DATE(YEAR(H261)+1,1,1),EDATE($D$12,$D$11*(INT((((YEAR(H261)-YEAR($D$12))*12+(MONTH(H261)-MONTH($D$12))-IF(DAY(H261)&lt;DAY($D$12),1,0))/$D$11))+1))),$D$7))</f>
        <v/>
      </c>
      <c r="J261" s="11">
        <f>IF(H261="","",I261-H261)</f>
        <v/>
      </c>
      <c r="K261" s="12">
        <f>IF(H261="","",IF($D$18="LEGAL",H261,EDATE(H261,-$D$13)))</f>
        <v/>
      </c>
      <c r="L261" s="13">
        <f>IF(H261="","",IFERROR(INDEX('Tipos BdE'!$B$7:$M$336,MATCH(DATE(YEAR(K261),MONTH(K261),1),'Tipos BdE'!$A$7:$A$336,1),MATCH($D$9,'Tipos BdE'!$B$6:$M$6,0)),0))</f>
        <v/>
      </c>
      <c r="M261" s="13">
        <f>IF(H261="","",IF($D$18="LEGAL",0,$D$10))</f>
        <v/>
      </c>
      <c r="N261" s="13">
        <f>IF(H261="","",IF(AND($D$14="Sí",(L261+M261)&lt;0),0,L261+M261))</f>
        <v/>
      </c>
      <c r="O261" s="199">
        <f>IF(H261="","",$D$5*N261*J261/36500)</f>
        <v/>
      </c>
      <c r="P261" s="199">
        <f>IF(H261="","",$D$5+SUM($O$5:O261))</f>
        <v/>
      </c>
    </row>
    <row r="262">
      <c r="G262" s="11">
        <f>IF(H262="","",ROW()-4)</f>
        <v/>
      </c>
      <c r="H262" s="12">
        <f>IF(OR(I261="",I261&gt;=$D$7),"",I261)</f>
        <v/>
      </c>
      <c r="I262" s="12">
        <f>IF(H262="","",MIN(IF($D$18="LEGAL",DATE(YEAR(H262)+1,1,1),EDATE($D$12,$D$11*(INT((((YEAR(H262)-YEAR($D$12))*12+(MONTH(H262)-MONTH($D$12))-IF(DAY(H262)&lt;DAY($D$12),1,0))/$D$11))+1))),$D$7))</f>
        <v/>
      </c>
      <c r="J262" s="11">
        <f>IF(H262="","",I262-H262)</f>
        <v/>
      </c>
      <c r="K262" s="12">
        <f>IF(H262="","",IF($D$18="LEGAL",H262,EDATE(H262,-$D$13)))</f>
        <v/>
      </c>
      <c r="L262" s="13">
        <f>IF(H262="","",IFERROR(INDEX('Tipos BdE'!$B$7:$M$336,MATCH(DATE(YEAR(K262),MONTH(K262),1),'Tipos BdE'!$A$7:$A$336,1),MATCH($D$9,'Tipos BdE'!$B$6:$M$6,0)),0))</f>
        <v/>
      </c>
      <c r="M262" s="13">
        <f>IF(H262="","",IF($D$18="LEGAL",0,$D$10))</f>
        <v/>
      </c>
      <c r="N262" s="13">
        <f>IF(H262="","",IF(AND($D$14="Sí",(L262+M262)&lt;0),0,L262+M262))</f>
        <v/>
      </c>
      <c r="O262" s="199">
        <f>IF(H262="","",$D$5*N262*J262/36500)</f>
        <v/>
      </c>
      <c r="P262" s="199">
        <f>IF(H262="","",$D$5+SUM($O$5:O262))</f>
        <v/>
      </c>
    </row>
    <row r="263">
      <c r="G263" s="11">
        <f>IF(H263="","",ROW()-4)</f>
        <v/>
      </c>
      <c r="H263" s="12">
        <f>IF(OR(I262="",I262&gt;=$D$7),"",I262)</f>
        <v/>
      </c>
      <c r="I263" s="12">
        <f>IF(H263="","",MIN(IF($D$18="LEGAL",DATE(YEAR(H263)+1,1,1),EDATE($D$12,$D$11*(INT((((YEAR(H263)-YEAR($D$12))*12+(MONTH(H263)-MONTH($D$12))-IF(DAY(H263)&lt;DAY($D$12),1,0))/$D$11))+1))),$D$7))</f>
        <v/>
      </c>
      <c r="J263" s="11">
        <f>IF(H263="","",I263-H263)</f>
        <v/>
      </c>
      <c r="K263" s="12">
        <f>IF(H263="","",IF($D$18="LEGAL",H263,EDATE(H263,-$D$13)))</f>
        <v/>
      </c>
      <c r="L263" s="13">
        <f>IF(H263="","",IFERROR(INDEX('Tipos BdE'!$B$7:$M$336,MATCH(DATE(YEAR(K263),MONTH(K263),1),'Tipos BdE'!$A$7:$A$336,1),MATCH($D$9,'Tipos BdE'!$B$6:$M$6,0)),0))</f>
        <v/>
      </c>
      <c r="M263" s="13">
        <f>IF(H263="","",IF($D$18="LEGAL",0,$D$10))</f>
        <v/>
      </c>
      <c r="N263" s="13">
        <f>IF(H263="","",IF(AND($D$14="Sí",(L263+M263)&lt;0),0,L263+M263))</f>
        <v/>
      </c>
      <c r="O263" s="199">
        <f>IF(H263="","",$D$5*N263*J263/36500)</f>
        <v/>
      </c>
      <c r="P263" s="199">
        <f>IF(H263="","",$D$5+SUM($O$5:O263))</f>
        <v/>
      </c>
    </row>
    <row r="264">
      <c r="G264" s="11">
        <f>IF(H264="","",ROW()-4)</f>
        <v/>
      </c>
      <c r="H264" s="12">
        <f>IF(OR(I263="",I263&gt;=$D$7),"",I263)</f>
        <v/>
      </c>
      <c r="I264" s="12">
        <f>IF(H264="","",MIN(IF($D$18="LEGAL",DATE(YEAR(H264)+1,1,1),EDATE($D$12,$D$11*(INT((((YEAR(H264)-YEAR($D$12))*12+(MONTH(H264)-MONTH($D$12))-IF(DAY(H264)&lt;DAY($D$12),1,0))/$D$11))+1))),$D$7))</f>
        <v/>
      </c>
      <c r="J264" s="11">
        <f>IF(H264="","",I264-H264)</f>
        <v/>
      </c>
      <c r="K264" s="12">
        <f>IF(H264="","",IF($D$18="LEGAL",H264,EDATE(H264,-$D$13)))</f>
        <v/>
      </c>
      <c r="L264" s="13">
        <f>IF(H264="","",IFERROR(INDEX('Tipos BdE'!$B$7:$M$336,MATCH(DATE(YEAR(K264),MONTH(K264),1),'Tipos BdE'!$A$7:$A$336,1),MATCH($D$9,'Tipos BdE'!$B$6:$M$6,0)),0))</f>
        <v/>
      </c>
      <c r="M264" s="13">
        <f>IF(H264="","",IF($D$18="LEGAL",0,$D$10))</f>
        <v/>
      </c>
      <c r="N264" s="13">
        <f>IF(H264="","",IF(AND($D$14="Sí",(L264+M264)&lt;0),0,L264+M264))</f>
        <v/>
      </c>
      <c r="O264" s="199">
        <f>IF(H264="","",$D$5*N264*J264/36500)</f>
        <v/>
      </c>
      <c r="P264" s="199">
        <f>IF(H264="","",$D$5+SUM($O$5:O264))</f>
        <v/>
      </c>
    </row>
    <row r="265">
      <c r="G265" s="11">
        <f>IF(H265="","",ROW()-4)</f>
        <v/>
      </c>
      <c r="H265" s="12">
        <f>IF(OR(I264="",I264&gt;=$D$7),"",I264)</f>
        <v/>
      </c>
      <c r="I265" s="12">
        <f>IF(H265="","",MIN(IF($D$18="LEGAL",DATE(YEAR(H265)+1,1,1),EDATE($D$12,$D$11*(INT((((YEAR(H265)-YEAR($D$12))*12+(MONTH(H265)-MONTH($D$12))-IF(DAY(H265)&lt;DAY($D$12),1,0))/$D$11))+1))),$D$7))</f>
        <v/>
      </c>
      <c r="J265" s="11">
        <f>IF(H265="","",I265-H265)</f>
        <v/>
      </c>
      <c r="K265" s="12">
        <f>IF(H265="","",IF($D$18="LEGAL",H265,EDATE(H265,-$D$13)))</f>
        <v/>
      </c>
      <c r="L265" s="13">
        <f>IF(H265="","",IFERROR(INDEX('Tipos BdE'!$B$7:$M$336,MATCH(DATE(YEAR(K265),MONTH(K265),1),'Tipos BdE'!$A$7:$A$336,1),MATCH($D$9,'Tipos BdE'!$B$6:$M$6,0)),0))</f>
        <v/>
      </c>
      <c r="M265" s="13">
        <f>IF(H265="","",IF($D$18="LEGAL",0,$D$10))</f>
        <v/>
      </c>
      <c r="N265" s="13">
        <f>IF(H265="","",IF(AND($D$14="Sí",(L265+M265)&lt;0),0,L265+M265))</f>
        <v/>
      </c>
      <c r="O265" s="199">
        <f>IF(H265="","",$D$5*N265*J265/36500)</f>
        <v/>
      </c>
      <c r="P265" s="199">
        <f>IF(H265="","",$D$5+SUM($O$5:O265))</f>
        <v/>
      </c>
    </row>
    <row r="266">
      <c r="G266" s="11">
        <f>IF(H266="","",ROW()-4)</f>
        <v/>
      </c>
      <c r="H266" s="12">
        <f>IF(OR(I265="",I265&gt;=$D$7),"",I265)</f>
        <v/>
      </c>
      <c r="I266" s="12">
        <f>IF(H266="","",MIN(IF($D$18="LEGAL",DATE(YEAR(H266)+1,1,1),EDATE($D$12,$D$11*(INT((((YEAR(H266)-YEAR($D$12))*12+(MONTH(H266)-MONTH($D$12))-IF(DAY(H266)&lt;DAY($D$12),1,0))/$D$11))+1))),$D$7))</f>
        <v/>
      </c>
      <c r="J266" s="11">
        <f>IF(H266="","",I266-H266)</f>
        <v/>
      </c>
      <c r="K266" s="12">
        <f>IF(H266="","",IF($D$18="LEGAL",H266,EDATE(H266,-$D$13)))</f>
        <v/>
      </c>
      <c r="L266" s="13">
        <f>IF(H266="","",IFERROR(INDEX('Tipos BdE'!$B$7:$M$336,MATCH(DATE(YEAR(K266),MONTH(K266),1),'Tipos BdE'!$A$7:$A$336,1),MATCH($D$9,'Tipos BdE'!$B$6:$M$6,0)),0))</f>
        <v/>
      </c>
      <c r="M266" s="13">
        <f>IF(H266="","",IF($D$18="LEGAL",0,$D$10))</f>
        <v/>
      </c>
      <c r="N266" s="13">
        <f>IF(H266="","",IF(AND($D$14="Sí",(L266+M266)&lt;0),0,L266+M266))</f>
        <v/>
      </c>
      <c r="O266" s="199">
        <f>IF(H266="","",$D$5*N266*J266/36500)</f>
        <v/>
      </c>
      <c r="P266" s="199">
        <f>IF(H266="","",$D$5+SUM($O$5:O266))</f>
        <v/>
      </c>
    </row>
    <row r="267">
      <c r="G267" s="11">
        <f>IF(H267="","",ROW()-4)</f>
        <v/>
      </c>
      <c r="H267" s="12">
        <f>IF(OR(I266="",I266&gt;=$D$7),"",I266)</f>
        <v/>
      </c>
      <c r="I267" s="12">
        <f>IF(H267="","",MIN(IF($D$18="LEGAL",DATE(YEAR(H267)+1,1,1),EDATE($D$12,$D$11*(INT((((YEAR(H267)-YEAR($D$12))*12+(MONTH(H267)-MONTH($D$12))-IF(DAY(H267)&lt;DAY($D$12),1,0))/$D$11))+1))),$D$7))</f>
        <v/>
      </c>
      <c r="J267" s="11">
        <f>IF(H267="","",I267-H267)</f>
        <v/>
      </c>
      <c r="K267" s="12">
        <f>IF(H267="","",IF($D$18="LEGAL",H267,EDATE(H267,-$D$13)))</f>
        <v/>
      </c>
      <c r="L267" s="13">
        <f>IF(H267="","",IFERROR(INDEX('Tipos BdE'!$B$7:$M$336,MATCH(DATE(YEAR(K267),MONTH(K267),1),'Tipos BdE'!$A$7:$A$336,1),MATCH($D$9,'Tipos BdE'!$B$6:$M$6,0)),0))</f>
        <v/>
      </c>
      <c r="M267" s="13">
        <f>IF(H267="","",IF($D$18="LEGAL",0,$D$10))</f>
        <v/>
      </c>
      <c r="N267" s="13">
        <f>IF(H267="","",IF(AND($D$14="Sí",(L267+M267)&lt;0),0,L267+M267))</f>
        <v/>
      </c>
      <c r="O267" s="199">
        <f>IF(H267="","",$D$5*N267*J267/36500)</f>
        <v/>
      </c>
      <c r="P267" s="199">
        <f>IF(H267="","",$D$5+SUM($O$5:O267))</f>
        <v/>
      </c>
    </row>
    <row r="268">
      <c r="G268" s="11">
        <f>IF(H268="","",ROW()-4)</f>
        <v/>
      </c>
      <c r="H268" s="12">
        <f>IF(OR(I267="",I267&gt;=$D$7),"",I267)</f>
        <v/>
      </c>
      <c r="I268" s="12">
        <f>IF(H268="","",MIN(IF($D$18="LEGAL",DATE(YEAR(H268)+1,1,1),EDATE($D$12,$D$11*(INT((((YEAR(H268)-YEAR($D$12))*12+(MONTH(H268)-MONTH($D$12))-IF(DAY(H268)&lt;DAY($D$12),1,0))/$D$11))+1))),$D$7))</f>
        <v/>
      </c>
      <c r="J268" s="11">
        <f>IF(H268="","",I268-H268)</f>
        <v/>
      </c>
      <c r="K268" s="12">
        <f>IF(H268="","",IF($D$18="LEGAL",H268,EDATE(H268,-$D$13)))</f>
        <v/>
      </c>
      <c r="L268" s="13">
        <f>IF(H268="","",IFERROR(INDEX('Tipos BdE'!$B$7:$M$336,MATCH(DATE(YEAR(K268),MONTH(K268),1),'Tipos BdE'!$A$7:$A$336,1),MATCH($D$9,'Tipos BdE'!$B$6:$M$6,0)),0))</f>
        <v/>
      </c>
      <c r="M268" s="13">
        <f>IF(H268="","",IF($D$18="LEGAL",0,$D$10))</f>
        <v/>
      </c>
      <c r="N268" s="13">
        <f>IF(H268="","",IF(AND($D$14="Sí",(L268+M268)&lt;0),0,L268+M268))</f>
        <v/>
      </c>
      <c r="O268" s="199">
        <f>IF(H268="","",$D$5*N268*J268/36500)</f>
        <v/>
      </c>
      <c r="P268" s="199">
        <f>IF(H268="","",$D$5+SUM($O$5:O268))</f>
        <v/>
      </c>
    </row>
    <row r="269">
      <c r="G269" s="11">
        <f>IF(H269="","",ROW()-4)</f>
        <v/>
      </c>
      <c r="H269" s="12">
        <f>IF(OR(I268="",I268&gt;=$D$7),"",I268)</f>
        <v/>
      </c>
      <c r="I269" s="12">
        <f>IF(H269="","",MIN(IF($D$18="LEGAL",DATE(YEAR(H269)+1,1,1),EDATE($D$12,$D$11*(INT((((YEAR(H269)-YEAR($D$12))*12+(MONTH(H269)-MONTH($D$12))-IF(DAY(H269)&lt;DAY($D$12),1,0))/$D$11))+1))),$D$7))</f>
        <v/>
      </c>
      <c r="J269" s="11">
        <f>IF(H269="","",I269-H269)</f>
        <v/>
      </c>
      <c r="K269" s="12">
        <f>IF(H269="","",IF($D$18="LEGAL",H269,EDATE(H269,-$D$13)))</f>
        <v/>
      </c>
      <c r="L269" s="13">
        <f>IF(H269="","",IFERROR(INDEX('Tipos BdE'!$B$7:$M$336,MATCH(DATE(YEAR(K269),MONTH(K269),1),'Tipos BdE'!$A$7:$A$336,1),MATCH($D$9,'Tipos BdE'!$B$6:$M$6,0)),0))</f>
        <v/>
      </c>
      <c r="M269" s="13">
        <f>IF(H269="","",IF($D$18="LEGAL",0,$D$10))</f>
        <v/>
      </c>
      <c r="N269" s="13">
        <f>IF(H269="","",IF(AND($D$14="Sí",(L269+M269)&lt;0),0,L269+M269))</f>
        <v/>
      </c>
      <c r="O269" s="199">
        <f>IF(H269="","",$D$5*N269*J269/36500)</f>
        <v/>
      </c>
      <c r="P269" s="199">
        <f>IF(H269="","",$D$5+SUM($O$5:O269))</f>
        <v/>
      </c>
    </row>
    <row r="270">
      <c r="G270" s="11">
        <f>IF(H270="","",ROW()-4)</f>
        <v/>
      </c>
      <c r="H270" s="12">
        <f>IF(OR(I269="",I269&gt;=$D$7),"",I269)</f>
        <v/>
      </c>
      <c r="I270" s="12">
        <f>IF(H270="","",MIN(IF($D$18="LEGAL",DATE(YEAR(H270)+1,1,1),EDATE($D$12,$D$11*(INT((((YEAR(H270)-YEAR($D$12))*12+(MONTH(H270)-MONTH($D$12))-IF(DAY(H270)&lt;DAY($D$12),1,0))/$D$11))+1))),$D$7))</f>
        <v/>
      </c>
      <c r="J270" s="11">
        <f>IF(H270="","",I270-H270)</f>
        <v/>
      </c>
      <c r="K270" s="12">
        <f>IF(H270="","",IF($D$18="LEGAL",H270,EDATE(H270,-$D$13)))</f>
        <v/>
      </c>
      <c r="L270" s="13">
        <f>IF(H270="","",IFERROR(INDEX('Tipos BdE'!$B$7:$M$336,MATCH(DATE(YEAR(K270),MONTH(K270),1),'Tipos BdE'!$A$7:$A$336,1),MATCH($D$9,'Tipos BdE'!$B$6:$M$6,0)),0))</f>
        <v/>
      </c>
      <c r="M270" s="13">
        <f>IF(H270="","",IF($D$18="LEGAL",0,$D$10))</f>
        <v/>
      </c>
      <c r="N270" s="13">
        <f>IF(H270="","",IF(AND($D$14="Sí",(L270+M270)&lt;0),0,L270+M270))</f>
        <v/>
      </c>
      <c r="O270" s="199">
        <f>IF(H270="","",$D$5*N270*J270/36500)</f>
        <v/>
      </c>
      <c r="P270" s="199">
        <f>IF(H270="","",$D$5+SUM($O$5:O270))</f>
        <v/>
      </c>
    </row>
    <row r="271">
      <c r="G271" s="11">
        <f>IF(H271="","",ROW()-4)</f>
        <v/>
      </c>
      <c r="H271" s="12">
        <f>IF(OR(I270="",I270&gt;=$D$7),"",I270)</f>
        <v/>
      </c>
      <c r="I271" s="12">
        <f>IF(H271="","",MIN(IF($D$18="LEGAL",DATE(YEAR(H271)+1,1,1),EDATE($D$12,$D$11*(INT((((YEAR(H271)-YEAR($D$12))*12+(MONTH(H271)-MONTH($D$12))-IF(DAY(H271)&lt;DAY($D$12),1,0))/$D$11))+1))),$D$7))</f>
        <v/>
      </c>
      <c r="J271" s="11">
        <f>IF(H271="","",I271-H271)</f>
        <v/>
      </c>
      <c r="K271" s="12">
        <f>IF(H271="","",IF($D$18="LEGAL",H271,EDATE(H271,-$D$13)))</f>
        <v/>
      </c>
      <c r="L271" s="13">
        <f>IF(H271="","",IFERROR(INDEX('Tipos BdE'!$B$7:$M$336,MATCH(DATE(YEAR(K271),MONTH(K271),1),'Tipos BdE'!$A$7:$A$336,1),MATCH($D$9,'Tipos BdE'!$B$6:$M$6,0)),0))</f>
        <v/>
      </c>
      <c r="M271" s="13">
        <f>IF(H271="","",IF($D$18="LEGAL",0,$D$10))</f>
        <v/>
      </c>
      <c r="N271" s="13">
        <f>IF(H271="","",IF(AND($D$14="Sí",(L271+M271)&lt;0),0,L271+M271))</f>
        <v/>
      </c>
      <c r="O271" s="199">
        <f>IF(H271="","",$D$5*N271*J271/36500)</f>
        <v/>
      </c>
      <c r="P271" s="199">
        <f>IF(H271="","",$D$5+SUM($O$5:O271))</f>
        <v/>
      </c>
    </row>
    <row r="272">
      <c r="G272" s="11">
        <f>IF(H272="","",ROW()-4)</f>
        <v/>
      </c>
      <c r="H272" s="12">
        <f>IF(OR(I271="",I271&gt;=$D$7),"",I271)</f>
        <v/>
      </c>
      <c r="I272" s="12">
        <f>IF(H272="","",MIN(IF($D$18="LEGAL",DATE(YEAR(H272)+1,1,1),EDATE($D$12,$D$11*(INT((((YEAR(H272)-YEAR($D$12))*12+(MONTH(H272)-MONTH($D$12))-IF(DAY(H272)&lt;DAY($D$12),1,0))/$D$11))+1))),$D$7))</f>
        <v/>
      </c>
      <c r="J272" s="11">
        <f>IF(H272="","",I272-H272)</f>
        <v/>
      </c>
      <c r="K272" s="12">
        <f>IF(H272="","",IF($D$18="LEGAL",H272,EDATE(H272,-$D$13)))</f>
        <v/>
      </c>
      <c r="L272" s="13">
        <f>IF(H272="","",IFERROR(INDEX('Tipos BdE'!$B$7:$M$336,MATCH(DATE(YEAR(K272),MONTH(K272),1),'Tipos BdE'!$A$7:$A$336,1),MATCH($D$9,'Tipos BdE'!$B$6:$M$6,0)),0))</f>
        <v/>
      </c>
      <c r="M272" s="13">
        <f>IF(H272="","",IF($D$18="LEGAL",0,$D$10))</f>
        <v/>
      </c>
      <c r="N272" s="13">
        <f>IF(H272="","",IF(AND($D$14="Sí",(L272+M272)&lt;0),0,L272+M272))</f>
        <v/>
      </c>
      <c r="O272" s="199">
        <f>IF(H272="","",$D$5*N272*J272/36500)</f>
        <v/>
      </c>
      <c r="P272" s="199">
        <f>IF(H272="","",$D$5+SUM($O$5:O272))</f>
        <v/>
      </c>
    </row>
    <row r="273">
      <c r="G273" s="11">
        <f>IF(H273="","",ROW()-4)</f>
        <v/>
      </c>
      <c r="H273" s="12">
        <f>IF(OR(I272="",I272&gt;=$D$7),"",I272)</f>
        <v/>
      </c>
      <c r="I273" s="12">
        <f>IF(H273="","",MIN(IF($D$18="LEGAL",DATE(YEAR(H273)+1,1,1),EDATE($D$12,$D$11*(INT((((YEAR(H273)-YEAR($D$12))*12+(MONTH(H273)-MONTH($D$12))-IF(DAY(H273)&lt;DAY($D$12),1,0))/$D$11))+1))),$D$7))</f>
        <v/>
      </c>
      <c r="J273" s="11">
        <f>IF(H273="","",I273-H273)</f>
        <v/>
      </c>
      <c r="K273" s="12">
        <f>IF(H273="","",IF($D$18="LEGAL",H273,EDATE(H273,-$D$13)))</f>
        <v/>
      </c>
      <c r="L273" s="13">
        <f>IF(H273="","",IFERROR(INDEX('Tipos BdE'!$B$7:$M$336,MATCH(DATE(YEAR(K273),MONTH(K273),1),'Tipos BdE'!$A$7:$A$336,1),MATCH($D$9,'Tipos BdE'!$B$6:$M$6,0)),0))</f>
        <v/>
      </c>
      <c r="M273" s="13">
        <f>IF(H273="","",IF($D$18="LEGAL",0,$D$10))</f>
        <v/>
      </c>
      <c r="N273" s="13">
        <f>IF(H273="","",IF(AND($D$14="Sí",(L273+M273)&lt;0),0,L273+M273))</f>
        <v/>
      </c>
      <c r="O273" s="199">
        <f>IF(H273="","",$D$5*N273*J273/36500)</f>
        <v/>
      </c>
      <c r="P273" s="199">
        <f>IF(H273="","",$D$5+SUM($O$5:O273))</f>
        <v/>
      </c>
    </row>
    <row r="274">
      <c r="G274" s="11">
        <f>IF(H274="","",ROW()-4)</f>
        <v/>
      </c>
      <c r="H274" s="12">
        <f>IF(OR(I273="",I273&gt;=$D$7),"",I273)</f>
        <v/>
      </c>
      <c r="I274" s="12">
        <f>IF(H274="","",MIN(IF($D$18="LEGAL",DATE(YEAR(H274)+1,1,1),EDATE($D$12,$D$11*(INT((((YEAR(H274)-YEAR($D$12))*12+(MONTH(H274)-MONTH($D$12))-IF(DAY(H274)&lt;DAY($D$12),1,0))/$D$11))+1))),$D$7))</f>
        <v/>
      </c>
      <c r="J274" s="11">
        <f>IF(H274="","",I274-H274)</f>
        <v/>
      </c>
      <c r="K274" s="12">
        <f>IF(H274="","",IF($D$18="LEGAL",H274,EDATE(H274,-$D$13)))</f>
        <v/>
      </c>
      <c r="L274" s="13">
        <f>IF(H274="","",IFERROR(INDEX('Tipos BdE'!$B$7:$M$336,MATCH(DATE(YEAR(K274),MONTH(K274),1),'Tipos BdE'!$A$7:$A$336,1),MATCH($D$9,'Tipos BdE'!$B$6:$M$6,0)),0))</f>
        <v/>
      </c>
      <c r="M274" s="13">
        <f>IF(H274="","",IF($D$18="LEGAL",0,$D$10))</f>
        <v/>
      </c>
      <c r="N274" s="13">
        <f>IF(H274="","",IF(AND($D$14="Sí",(L274+M274)&lt;0),0,L274+M274))</f>
        <v/>
      </c>
      <c r="O274" s="199">
        <f>IF(H274="","",$D$5*N274*J274/36500)</f>
        <v/>
      </c>
      <c r="P274" s="199">
        <f>IF(H274="","",$D$5+SUM($O$5:O274))</f>
        <v/>
      </c>
    </row>
    <row r="275">
      <c r="G275" s="11">
        <f>IF(H275="","",ROW()-4)</f>
        <v/>
      </c>
      <c r="H275" s="12">
        <f>IF(OR(I274="",I274&gt;=$D$7),"",I274)</f>
        <v/>
      </c>
      <c r="I275" s="12">
        <f>IF(H275="","",MIN(IF($D$18="LEGAL",DATE(YEAR(H275)+1,1,1),EDATE($D$12,$D$11*(INT((((YEAR(H275)-YEAR($D$12))*12+(MONTH(H275)-MONTH($D$12))-IF(DAY(H275)&lt;DAY($D$12),1,0))/$D$11))+1))),$D$7))</f>
        <v/>
      </c>
      <c r="J275" s="11">
        <f>IF(H275="","",I275-H275)</f>
        <v/>
      </c>
      <c r="K275" s="12">
        <f>IF(H275="","",IF($D$18="LEGAL",H275,EDATE(H275,-$D$13)))</f>
        <v/>
      </c>
      <c r="L275" s="13">
        <f>IF(H275="","",IFERROR(INDEX('Tipos BdE'!$B$7:$M$336,MATCH(DATE(YEAR(K275),MONTH(K275),1),'Tipos BdE'!$A$7:$A$336,1),MATCH($D$9,'Tipos BdE'!$B$6:$M$6,0)),0))</f>
        <v/>
      </c>
      <c r="M275" s="13">
        <f>IF(H275="","",IF($D$18="LEGAL",0,$D$10))</f>
        <v/>
      </c>
      <c r="N275" s="13">
        <f>IF(H275="","",IF(AND($D$14="Sí",(L275+M275)&lt;0),0,L275+M275))</f>
        <v/>
      </c>
      <c r="O275" s="199">
        <f>IF(H275="","",$D$5*N275*J275/36500)</f>
        <v/>
      </c>
      <c r="P275" s="199">
        <f>IF(H275="","",$D$5+SUM($O$5:O275))</f>
        <v/>
      </c>
    </row>
    <row r="276">
      <c r="G276" s="11">
        <f>IF(H276="","",ROW()-4)</f>
        <v/>
      </c>
      <c r="H276" s="12">
        <f>IF(OR(I275="",I275&gt;=$D$7),"",I275)</f>
        <v/>
      </c>
      <c r="I276" s="12">
        <f>IF(H276="","",MIN(IF($D$18="LEGAL",DATE(YEAR(H276)+1,1,1),EDATE($D$12,$D$11*(INT((((YEAR(H276)-YEAR($D$12))*12+(MONTH(H276)-MONTH($D$12))-IF(DAY(H276)&lt;DAY($D$12),1,0))/$D$11))+1))),$D$7))</f>
        <v/>
      </c>
      <c r="J276" s="11">
        <f>IF(H276="","",I276-H276)</f>
        <v/>
      </c>
      <c r="K276" s="12">
        <f>IF(H276="","",IF($D$18="LEGAL",H276,EDATE(H276,-$D$13)))</f>
        <v/>
      </c>
      <c r="L276" s="13">
        <f>IF(H276="","",IFERROR(INDEX('Tipos BdE'!$B$7:$M$336,MATCH(DATE(YEAR(K276),MONTH(K276),1),'Tipos BdE'!$A$7:$A$336,1),MATCH($D$9,'Tipos BdE'!$B$6:$M$6,0)),0))</f>
        <v/>
      </c>
      <c r="M276" s="13">
        <f>IF(H276="","",IF($D$18="LEGAL",0,$D$10))</f>
        <v/>
      </c>
      <c r="N276" s="13">
        <f>IF(H276="","",IF(AND($D$14="Sí",(L276+M276)&lt;0),0,L276+M276))</f>
        <v/>
      </c>
      <c r="O276" s="199">
        <f>IF(H276="","",$D$5*N276*J276/36500)</f>
        <v/>
      </c>
      <c r="P276" s="199">
        <f>IF(H276="","",$D$5+SUM($O$5:O276))</f>
        <v/>
      </c>
    </row>
    <row r="277">
      <c r="G277" s="11">
        <f>IF(H277="","",ROW()-4)</f>
        <v/>
      </c>
      <c r="H277" s="12">
        <f>IF(OR(I276="",I276&gt;=$D$7),"",I276)</f>
        <v/>
      </c>
      <c r="I277" s="12">
        <f>IF(H277="","",MIN(IF($D$18="LEGAL",DATE(YEAR(H277)+1,1,1),EDATE($D$12,$D$11*(INT((((YEAR(H277)-YEAR($D$12))*12+(MONTH(H277)-MONTH($D$12))-IF(DAY(H277)&lt;DAY($D$12),1,0))/$D$11))+1))),$D$7))</f>
        <v/>
      </c>
      <c r="J277" s="11">
        <f>IF(H277="","",I277-H277)</f>
        <v/>
      </c>
      <c r="K277" s="12">
        <f>IF(H277="","",IF($D$18="LEGAL",H277,EDATE(H277,-$D$13)))</f>
        <v/>
      </c>
      <c r="L277" s="13">
        <f>IF(H277="","",IFERROR(INDEX('Tipos BdE'!$B$7:$M$336,MATCH(DATE(YEAR(K277),MONTH(K277),1),'Tipos BdE'!$A$7:$A$336,1),MATCH($D$9,'Tipos BdE'!$B$6:$M$6,0)),0))</f>
        <v/>
      </c>
      <c r="M277" s="13">
        <f>IF(H277="","",IF($D$18="LEGAL",0,$D$10))</f>
        <v/>
      </c>
      <c r="N277" s="13">
        <f>IF(H277="","",IF(AND($D$14="Sí",(L277+M277)&lt;0),0,L277+M277))</f>
        <v/>
      </c>
      <c r="O277" s="199">
        <f>IF(H277="","",$D$5*N277*J277/36500)</f>
        <v/>
      </c>
      <c r="P277" s="199">
        <f>IF(H277="","",$D$5+SUM($O$5:O277))</f>
        <v/>
      </c>
    </row>
    <row r="278">
      <c r="G278" s="11">
        <f>IF(H278="","",ROW()-4)</f>
        <v/>
      </c>
      <c r="H278" s="12">
        <f>IF(OR(I277="",I277&gt;=$D$7),"",I277)</f>
        <v/>
      </c>
      <c r="I278" s="12">
        <f>IF(H278="","",MIN(IF($D$18="LEGAL",DATE(YEAR(H278)+1,1,1),EDATE($D$12,$D$11*(INT((((YEAR(H278)-YEAR($D$12))*12+(MONTH(H278)-MONTH($D$12))-IF(DAY(H278)&lt;DAY($D$12),1,0))/$D$11))+1))),$D$7))</f>
        <v/>
      </c>
      <c r="J278" s="11">
        <f>IF(H278="","",I278-H278)</f>
        <v/>
      </c>
      <c r="K278" s="12">
        <f>IF(H278="","",IF($D$18="LEGAL",H278,EDATE(H278,-$D$13)))</f>
        <v/>
      </c>
      <c r="L278" s="13">
        <f>IF(H278="","",IFERROR(INDEX('Tipos BdE'!$B$7:$M$336,MATCH(DATE(YEAR(K278),MONTH(K278),1),'Tipos BdE'!$A$7:$A$336,1),MATCH($D$9,'Tipos BdE'!$B$6:$M$6,0)),0))</f>
        <v/>
      </c>
      <c r="M278" s="13">
        <f>IF(H278="","",IF($D$18="LEGAL",0,$D$10))</f>
        <v/>
      </c>
      <c r="N278" s="13">
        <f>IF(H278="","",IF(AND($D$14="Sí",(L278+M278)&lt;0),0,L278+M278))</f>
        <v/>
      </c>
      <c r="O278" s="199">
        <f>IF(H278="","",$D$5*N278*J278/36500)</f>
        <v/>
      </c>
      <c r="P278" s="199">
        <f>IF(H278="","",$D$5+SUM($O$5:O278))</f>
        <v/>
      </c>
    </row>
    <row r="279">
      <c r="G279" s="11">
        <f>IF(H279="","",ROW()-4)</f>
        <v/>
      </c>
      <c r="H279" s="12">
        <f>IF(OR(I278="",I278&gt;=$D$7),"",I278)</f>
        <v/>
      </c>
      <c r="I279" s="12">
        <f>IF(H279="","",MIN(IF($D$18="LEGAL",DATE(YEAR(H279)+1,1,1),EDATE($D$12,$D$11*(INT((((YEAR(H279)-YEAR($D$12))*12+(MONTH(H279)-MONTH($D$12))-IF(DAY(H279)&lt;DAY($D$12),1,0))/$D$11))+1))),$D$7))</f>
        <v/>
      </c>
      <c r="J279" s="11">
        <f>IF(H279="","",I279-H279)</f>
        <v/>
      </c>
      <c r="K279" s="12">
        <f>IF(H279="","",IF($D$18="LEGAL",H279,EDATE(H279,-$D$13)))</f>
        <v/>
      </c>
      <c r="L279" s="13">
        <f>IF(H279="","",IFERROR(INDEX('Tipos BdE'!$B$7:$M$336,MATCH(DATE(YEAR(K279),MONTH(K279),1),'Tipos BdE'!$A$7:$A$336,1),MATCH($D$9,'Tipos BdE'!$B$6:$M$6,0)),0))</f>
        <v/>
      </c>
      <c r="M279" s="13">
        <f>IF(H279="","",IF($D$18="LEGAL",0,$D$10))</f>
        <v/>
      </c>
      <c r="N279" s="13">
        <f>IF(H279="","",IF(AND($D$14="Sí",(L279+M279)&lt;0),0,L279+M279))</f>
        <v/>
      </c>
      <c r="O279" s="199">
        <f>IF(H279="","",$D$5*N279*J279/36500)</f>
        <v/>
      </c>
      <c r="P279" s="199">
        <f>IF(H279="","",$D$5+SUM($O$5:O279))</f>
        <v/>
      </c>
    </row>
    <row r="280">
      <c r="G280" s="11">
        <f>IF(H280="","",ROW()-4)</f>
        <v/>
      </c>
      <c r="H280" s="12">
        <f>IF(OR(I279="",I279&gt;=$D$7),"",I279)</f>
        <v/>
      </c>
      <c r="I280" s="12">
        <f>IF(H280="","",MIN(IF($D$18="LEGAL",DATE(YEAR(H280)+1,1,1),EDATE($D$12,$D$11*(INT((((YEAR(H280)-YEAR($D$12))*12+(MONTH(H280)-MONTH($D$12))-IF(DAY(H280)&lt;DAY($D$12),1,0))/$D$11))+1))),$D$7))</f>
        <v/>
      </c>
      <c r="J280" s="11">
        <f>IF(H280="","",I280-H280)</f>
        <v/>
      </c>
      <c r="K280" s="12">
        <f>IF(H280="","",IF($D$18="LEGAL",H280,EDATE(H280,-$D$13)))</f>
        <v/>
      </c>
      <c r="L280" s="13">
        <f>IF(H280="","",IFERROR(INDEX('Tipos BdE'!$B$7:$M$336,MATCH(DATE(YEAR(K280),MONTH(K280),1),'Tipos BdE'!$A$7:$A$336,1),MATCH($D$9,'Tipos BdE'!$B$6:$M$6,0)),0))</f>
        <v/>
      </c>
      <c r="M280" s="13">
        <f>IF(H280="","",IF($D$18="LEGAL",0,$D$10))</f>
        <v/>
      </c>
      <c r="N280" s="13">
        <f>IF(H280="","",IF(AND($D$14="Sí",(L280+M280)&lt;0),0,L280+M280))</f>
        <v/>
      </c>
      <c r="O280" s="199">
        <f>IF(H280="","",$D$5*N280*J280/36500)</f>
        <v/>
      </c>
      <c r="P280" s="199">
        <f>IF(H280="","",$D$5+SUM($O$5:O280))</f>
        <v/>
      </c>
    </row>
    <row r="281">
      <c r="G281" s="11">
        <f>IF(H281="","",ROW()-4)</f>
        <v/>
      </c>
      <c r="H281" s="12">
        <f>IF(OR(I280="",I280&gt;=$D$7),"",I280)</f>
        <v/>
      </c>
      <c r="I281" s="12">
        <f>IF(H281="","",MIN(IF($D$18="LEGAL",DATE(YEAR(H281)+1,1,1),EDATE($D$12,$D$11*(INT((((YEAR(H281)-YEAR($D$12))*12+(MONTH(H281)-MONTH($D$12))-IF(DAY(H281)&lt;DAY($D$12),1,0))/$D$11))+1))),$D$7))</f>
        <v/>
      </c>
      <c r="J281" s="11">
        <f>IF(H281="","",I281-H281)</f>
        <v/>
      </c>
      <c r="K281" s="12">
        <f>IF(H281="","",IF($D$18="LEGAL",H281,EDATE(H281,-$D$13)))</f>
        <v/>
      </c>
      <c r="L281" s="13">
        <f>IF(H281="","",IFERROR(INDEX('Tipos BdE'!$B$7:$M$336,MATCH(DATE(YEAR(K281),MONTH(K281),1),'Tipos BdE'!$A$7:$A$336,1),MATCH($D$9,'Tipos BdE'!$B$6:$M$6,0)),0))</f>
        <v/>
      </c>
      <c r="M281" s="13">
        <f>IF(H281="","",IF($D$18="LEGAL",0,$D$10))</f>
        <v/>
      </c>
      <c r="N281" s="13">
        <f>IF(H281="","",IF(AND($D$14="Sí",(L281+M281)&lt;0),0,L281+M281))</f>
        <v/>
      </c>
      <c r="O281" s="199">
        <f>IF(H281="","",$D$5*N281*J281/36500)</f>
        <v/>
      </c>
      <c r="P281" s="199">
        <f>IF(H281="","",$D$5+SUM($O$5:O281))</f>
        <v/>
      </c>
    </row>
    <row r="282">
      <c r="G282" s="11">
        <f>IF(H282="","",ROW()-4)</f>
        <v/>
      </c>
      <c r="H282" s="12">
        <f>IF(OR(I281="",I281&gt;=$D$7),"",I281)</f>
        <v/>
      </c>
      <c r="I282" s="12">
        <f>IF(H282="","",MIN(IF($D$18="LEGAL",DATE(YEAR(H282)+1,1,1),EDATE($D$12,$D$11*(INT((((YEAR(H282)-YEAR($D$12))*12+(MONTH(H282)-MONTH($D$12))-IF(DAY(H282)&lt;DAY($D$12),1,0))/$D$11))+1))),$D$7))</f>
        <v/>
      </c>
      <c r="J282" s="11">
        <f>IF(H282="","",I282-H282)</f>
        <v/>
      </c>
      <c r="K282" s="12">
        <f>IF(H282="","",IF($D$18="LEGAL",H282,EDATE(H282,-$D$13)))</f>
        <v/>
      </c>
      <c r="L282" s="13">
        <f>IF(H282="","",IFERROR(INDEX('Tipos BdE'!$B$7:$M$336,MATCH(DATE(YEAR(K282),MONTH(K282),1),'Tipos BdE'!$A$7:$A$336,1),MATCH($D$9,'Tipos BdE'!$B$6:$M$6,0)),0))</f>
        <v/>
      </c>
      <c r="M282" s="13">
        <f>IF(H282="","",IF($D$18="LEGAL",0,$D$10))</f>
        <v/>
      </c>
      <c r="N282" s="13">
        <f>IF(H282="","",IF(AND($D$14="Sí",(L282+M282)&lt;0),0,L282+M282))</f>
        <v/>
      </c>
      <c r="O282" s="199">
        <f>IF(H282="","",$D$5*N282*J282/36500)</f>
        <v/>
      </c>
      <c r="P282" s="199">
        <f>IF(H282="","",$D$5+SUM($O$5:O282))</f>
        <v/>
      </c>
    </row>
    <row r="283">
      <c r="G283" s="11">
        <f>IF(H283="","",ROW()-4)</f>
        <v/>
      </c>
      <c r="H283" s="12">
        <f>IF(OR(I282="",I282&gt;=$D$7),"",I282)</f>
        <v/>
      </c>
      <c r="I283" s="12">
        <f>IF(H283="","",MIN(IF($D$18="LEGAL",DATE(YEAR(H283)+1,1,1),EDATE($D$12,$D$11*(INT((((YEAR(H283)-YEAR($D$12))*12+(MONTH(H283)-MONTH($D$12))-IF(DAY(H283)&lt;DAY($D$12),1,0))/$D$11))+1))),$D$7))</f>
        <v/>
      </c>
      <c r="J283" s="11">
        <f>IF(H283="","",I283-H283)</f>
        <v/>
      </c>
      <c r="K283" s="12">
        <f>IF(H283="","",IF($D$18="LEGAL",H283,EDATE(H283,-$D$13)))</f>
        <v/>
      </c>
      <c r="L283" s="13">
        <f>IF(H283="","",IFERROR(INDEX('Tipos BdE'!$B$7:$M$336,MATCH(DATE(YEAR(K283),MONTH(K283),1),'Tipos BdE'!$A$7:$A$336,1),MATCH($D$9,'Tipos BdE'!$B$6:$M$6,0)),0))</f>
        <v/>
      </c>
      <c r="M283" s="13">
        <f>IF(H283="","",IF($D$18="LEGAL",0,$D$10))</f>
        <v/>
      </c>
      <c r="N283" s="13">
        <f>IF(H283="","",IF(AND($D$14="Sí",(L283+M283)&lt;0),0,L283+M283))</f>
        <v/>
      </c>
      <c r="O283" s="199">
        <f>IF(H283="","",$D$5*N283*J283/36500)</f>
        <v/>
      </c>
      <c r="P283" s="199">
        <f>IF(H283="","",$D$5+SUM($O$5:O283))</f>
        <v/>
      </c>
    </row>
    <row r="284">
      <c r="G284" s="11">
        <f>IF(H284="","",ROW()-4)</f>
        <v/>
      </c>
      <c r="H284" s="12">
        <f>IF(OR(I283="",I283&gt;=$D$7),"",I283)</f>
        <v/>
      </c>
      <c r="I284" s="12">
        <f>IF(H284="","",MIN(IF($D$18="LEGAL",DATE(YEAR(H284)+1,1,1),EDATE($D$12,$D$11*(INT((((YEAR(H284)-YEAR($D$12))*12+(MONTH(H284)-MONTH($D$12))-IF(DAY(H284)&lt;DAY($D$12),1,0))/$D$11))+1))),$D$7))</f>
        <v/>
      </c>
      <c r="J284" s="11">
        <f>IF(H284="","",I284-H284)</f>
        <v/>
      </c>
      <c r="K284" s="12">
        <f>IF(H284="","",IF($D$18="LEGAL",H284,EDATE(H284,-$D$13)))</f>
        <v/>
      </c>
      <c r="L284" s="13">
        <f>IF(H284="","",IFERROR(INDEX('Tipos BdE'!$B$7:$M$336,MATCH(DATE(YEAR(K284),MONTH(K284),1),'Tipos BdE'!$A$7:$A$336,1),MATCH($D$9,'Tipos BdE'!$B$6:$M$6,0)),0))</f>
        <v/>
      </c>
      <c r="M284" s="13">
        <f>IF(H284="","",IF($D$18="LEGAL",0,$D$10))</f>
        <v/>
      </c>
      <c r="N284" s="13">
        <f>IF(H284="","",IF(AND($D$14="Sí",(L284+M284)&lt;0),0,L284+M284))</f>
        <v/>
      </c>
      <c r="O284" s="199">
        <f>IF(H284="","",$D$5*N284*J284/36500)</f>
        <v/>
      </c>
      <c r="P284" s="199">
        <f>IF(H284="","",$D$5+SUM($O$5:O284))</f>
        <v/>
      </c>
    </row>
    <row r="285">
      <c r="G285" s="11">
        <f>IF(H285="","",ROW()-4)</f>
        <v/>
      </c>
      <c r="H285" s="12">
        <f>IF(OR(I284="",I284&gt;=$D$7),"",I284)</f>
        <v/>
      </c>
      <c r="I285" s="12">
        <f>IF(H285="","",MIN(IF($D$18="LEGAL",DATE(YEAR(H285)+1,1,1),EDATE($D$12,$D$11*(INT((((YEAR(H285)-YEAR($D$12))*12+(MONTH(H285)-MONTH($D$12))-IF(DAY(H285)&lt;DAY($D$12),1,0))/$D$11))+1))),$D$7))</f>
        <v/>
      </c>
      <c r="J285" s="11">
        <f>IF(H285="","",I285-H285)</f>
        <v/>
      </c>
      <c r="K285" s="12">
        <f>IF(H285="","",IF($D$18="LEGAL",H285,EDATE(H285,-$D$13)))</f>
        <v/>
      </c>
      <c r="L285" s="13">
        <f>IF(H285="","",IFERROR(INDEX('Tipos BdE'!$B$7:$M$336,MATCH(DATE(YEAR(K285),MONTH(K285),1),'Tipos BdE'!$A$7:$A$336,1),MATCH($D$9,'Tipos BdE'!$B$6:$M$6,0)),0))</f>
        <v/>
      </c>
      <c r="M285" s="13">
        <f>IF(H285="","",IF($D$18="LEGAL",0,$D$10))</f>
        <v/>
      </c>
      <c r="N285" s="13">
        <f>IF(H285="","",IF(AND($D$14="Sí",(L285+M285)&lt;0),0,L285+M285))</f>
        <v/>
      </c>
      <c r="O285" s="199">
        <f>IF(H285="","",$D$5*N285*J285/36500)</f>
        <v/>
      </c>
      <c r="P285" s="199">
        <f>IF(H285="","",$D$5+SUM($O$5:O285))</f>
        <v/>
      </c>
    </row>
    <row r="286">
      <c r="G286" s="11">
        <f>IF(H286="","",ROW()-4)</f>
        <v/>
      </c>
      <c r="H286" s="12">
        <f>IF(OR(I285="",I285&gt;=$D$7),"",I285)</f>
        <v/>
      </c>
      <c r="I286" s="12">
        <f>IF(H286="","",MIN(IF($D$18="LEGAL",DATE(YEAR(H286)+1,1,1),EDATE($D$12,$D$11*(INT((((YEAR(H286)-YEAR($D$12))*12+(MONTH(H286)-MONTH($D$12))-IF(DAY(H286)&lt;DAY($D$12),1,0))/$D$11))+1))),$D$7))</f>
        <v/>
      </c>
      <c r="J286" s="11">
        <f>IF(H286="","",I286-H286)</f>
        <v/>
      </c>
      <c r="K286" s="12">
        <f>IF(H286="","",IF($D$18="LEGAL",H286,EDATE(H286,-$D$13)))</f>
        <v/>
      </c>
      <c r="L286" s="13">
        <f>IF(H286="","",IFERROR(INDEX('Tipos BdE'!$B$7:$M$336,MATCH(DATE(YEAR(K286),MONTH(K286),1),'Tipos BdE'!$A$7:$A$336,1),MATCH($D$9,'Tipos BdE'!$B$6:$M$6,0)),0))</f>
        <v/>
      </c>
      <c r="M286" s="13">
        <f>IF(H286="","",IF($D$18="LEGAL",0,$D$10))</f>
        <v/>
      </c>
      <c r="N286" s="13">
        <f>IF(H286="","",IF(AND($D$14="Sí",(L286+M286)&lt;0),0,L286+M286))</f>
        <v/>
      </c>
      <c r="O286" s="199">
        <f>IF(H286="","",$D$5*N286*J286/36500)</f>
        <v/>
      </c>
      <c r="P286" s="199">
        <f>IF(H286="","",$D$5+SUM($O$5:O286))</f>
        <v/>
      </c>
    </row>
    <row r="287">
      <c r="G287" s="11">
        <f>IF(H287="","",ROW()-4)</f>
        <v/>
      </c>
      <c r="H287" s="12">
        <f>IF(OR(I286="",I286&gt;=$D$7),"",I286)</f>
        <v/>
      </c>
      <c r="I287" s="12">
        <f>IF(H287="","",MIN(IF($D$18="LEGAL",DATE(YEAR(H287)+1,1,1),EDATE($D$12,$D$11*(INT((((YEAR(H287)-YEAR($D$12))*12+(MONTH(H287)-MONTH($D$12))-IF(DAY(H287)&lt;DAY($D$12),1,0))/$D$11))+1))),$D$7))</f>
        <v/>
      </c>
      <c r="J287" s="11">
        <f>IF(H287="","",I287-H287)</f>
        <v/>
      </c>
      <c r="K287" s="12">
        <f>IF(H287="","",IF($D$18="LEGAL",H287,EDATE(H287,-$D$13)))</f>
        <v/>
      </c>
      <c r="L287" s="13">
        <f>IF(H287="","",IFERROR(INDEX('Tipos BdE'!$B$7:$M$336,MATCH(DATE(YEAR(K287),MONTH(K287),1),'Tipos BdE'!$A$7:$A$336,1),MATCH($D$9,'Tipos BdE'!$B$6:$M$6,0)),0))</f>
        <v/>
      </c>
      <c r="M287" s="13">
        <f>IF(H287="","",IF($D$18="LEGAL",0,$D$10))</f>
        <v/>
      </c>
      <c r="N287" s="13">
        <f>IF(H287="","",IF(AND($D$14="Sí",(L287+M287)&lt;0),0,L287+M287))</f>
        <v/>
      </c>
      <c r="O287" s="199">
        <f>IF(H287="","",$D$5*N287*J287/36500)</f>
        <v/>
      </c>
      <c r="P287" s="199">
        <f>IF(H287="","",$D$5+SUM($O$5:O287))</f>
        <v/>
      </c>
    </row>
    <row r="288">
      <c r="G288" s="11">
        <f>IF(H288="","",ROW()-4)</f>
        <v/>
      </c>
      <c r="H288" s="12">
        <f>IF(OR(I287="",I287&gt;=$D$7),"",I287)</f>
        <v/>
      </c>
      <c r="I288" s="12">
        <f>IF(H288="","",MIN(IF($D$18="LEGAL",DATE(YEAR(H288)+1,1,1),EDATE($D$12,$D$11*(INT((((YEAR(H288)-YEAR($D$12))*12+(MONTH(H288)-MONTH($D$12))-IF(DAY(H288)&lt;DAY($D$12),1,0))/$D$11))+1))),$D$7))</f>
        <v/>
      </c>
      <c r="J288" s="11">
        <f>IF(H288="","",I288-H288)</f>
        <v/>
      </c>
      <c r="K288" s="12">
        <f>IF(H288="","",IF($D$18="LEGAL",H288,EDATE(H288,-$D$13)))</f>
        <v/>
      </c>
      <c r="L288" s="13">
        <f>IF(H288="","",IFERROR(INDEX('Tipos BdE'!$B$7:$M$336,MATCH(DATE(YEAR(K288),MONTH(K288),1),'Tipos BdE'!$A$7:$A$336,1),MATCH($D$9,'Tipos BdE'!$B$6:$M$6,0)),0))</f>
        <v/>
      </c>
      <c r="M288" s="13">
        <f>IF(H288="","",IF($D$18="LEGAL",0,$D$10))</f>
        <v/>
      </c>
      <c r="N288" s="13">
        <f>IF(H288="","",IF(AND($D$14="Sí",(L288+M288)&lt;0),0,L288+M288))</f>
        <v/>
      </c>
      <c r="O288" s="199">
        <f>IF(H288="","",$D$5*N288*J288/36500)</f>
        <v/>
      </c>
      <c r="P288" s="199">
        <f>IF(H288="","",$D$5+SUM($O$5:O288))</f>
        <v/>
      </c>
    </row>
    <row r="289">
      <c r="G289" s="11">
        <f>IF(H289="","",ROW()-4)</f>
        <v/>
      </c>
      <c r="H289" s="12">
        <f>IF(OR(I288="",I288&gt;=$D$7),"",I288)</f>
        <v/>
      </c>
      <c r="I289" s="12">
        <f>IF(H289="","",MIN(IF($D$18="LEGAL",DATE(YEAR(H289)+1,1,1),EDATE($D$12,$D$11*(INT((((YEAR(H289)-YEAR($D$12))*12+(MONTH(H289)-MONTH($D$12))-IF(DAY(H289)&lt;DAY($D$12),1,0))/$D$11))+1))),$D$7))</f>
        <v/>
      </c>
      <c r="J289" s="11">
        <f>IF(H289="","",I289-H289)</f>
        <v/>
      </c>
      <c r="K289" s="12">
        <f>IF(H289="","",IF($D$18="LEGAL",H289,EDATE(H289,-$D$13)))</f>
        <v/>
      </c>
      <c r="L289" s="13">
        <f>IF(H289="","",IFERROR(INDEX('Tipos BdE'!$B$7:$M$336,MATCH(DATE(YEAR(K289),MONTH(K289),1),'Tipos BdE'!$A$7:$A$336,1),MATCH($D$9,'Tipos BdE'!$B$6:$M$6,0)),0))</f>
        <v/>
      </c>
      <c r="M289" s="13">
        <f>IF(H289="","",IF($D$18="LEGAL",0,$D$10))</f>
        <v/>
      </c>
      <c r="N289" s="13">
        <f>IF(H289="","",IF(AND($D$14="Sí",(L289+M289)&lt;0),0,L289+M289))</f>
        <v/>
      </c>
      <c r="O289" s="199">
        <f>IF(H289="","",$D$5*N289*J289/36500)</f>
        <v/>
      </c>
      <c r="P289" s="199">
        <f>IF(H289="","",$D$5+SUM($O$5:O289))</f>
        <v/>
      </c>
    </row>
    <row r="290">
      <c r="G290" s="11">
        <f>IF(H290="","",ROW()-4)</f>
        <v/>
      </c>
      <c r="H290" s="12">
        <f>IF(OR(I289="",I289&gt;=$D$7),"",I289)</f>
        <v/>
      </c>
      <c r="I290" s="12">
        <f>IF(H290="","",MIN(IF($D$18="LEGAL",DATE(YEAR(H290)+1,1,1),EDATE($D$12,$D$11*(INT((((YEAR(H290)-YEAR($D$12))*12+(MONTH(H290)-MONTH($D$12))-IF(DAY(H290)&lt;DAY($D$12),1,0))/$D$11))+1))),$D$7))</f>
        <v/>
      </c>
      <c r="J290" s="11">
        <f>IF(H290="","",I290-H290)</f>
        <v/>
      </c>
      <c r="K290" s="12">
        <f>IF(H290="","",IF($D$18="LEGAL",H290,EDATE(H290,-$D$13)))</f>
        <v/>
      </c>
      <c r="L290" s="13">
        <f>IF(H290="","",IFERROR(INDEX('Tipos BdE'!$B$7:$M$336,MATCH(DATE(YEAR(K290),MONTH(K290),1),'Tipos BdE'!$A$7:$A$336,1),MATCH($D$9,'Tipos BdE'!$B$6:$M$6,0)),0))</f>
        <v/>
      </c>
      <c r="M290" s="13">
        <f>IF(H290="","",IF($D$18="LEGAL",0,$D$10))</f>
        <v/>
      </c>
      <c r="N290" s="13">
        <f>IF(H290="","",IF(AND($D$14="Sí",(L290+M290)&lt;0),0,L290+M290))</f>
        <v/>
      </c>
      <c r="O290" s="199">
        <f>IF(H290="","",$D$5*N290*J290/36500)</f>
        <v/>
      </c>
      <c r="P290" s="199">
        <f>IF(H290="","",$D$5+SUM($O$5:O290))</f>
        <v/>
      </c>
    </row>
    <row r="291">
      <c r="G291" s="11">
        <f>IF(H291="","",ROW()-4)</f>
        <v/>
      </c>
      <c r="H291" s="12">
        <f>IF(OR(I290="",I290&gt;=$D$7),"",I290)</f>
        <v/>
      </c>
      <c r="I291" s="12">
        <f>IF(H291="","",MIN(IF($D$18="LEGAL",DATE(YEAR(H291)+1,1,1),EDATE($D$12,$D$11*(INT((((YEAR(H291)-YEAR($D$12))*12+(MONTH(H291)-MONTH($D$12))-IF(DAY(H291)&lt;DAY($D$12),1,0))/$D$11))+1))),$D$7))</f>
        <v/>
      </c>
      <c r="J291" s="11">
        <f>IF(H291="","",I291-H291)</f>
        <v/>
      </c>
      <c r="K291" s="12">
        <f>IF(H291="","",IF($D$18="LEGAL",H291,EDATE(H291,-$D$13)))</f>
        <v/>
      </c>
      <c r="L291" s="13">
        <f>IF(H291="","",IFERROR(INDEX('Tipos BdE'!$B$7:$M$336,MATCH(DATE(YEAR(K291),MONTH(K291),1),'Tipos BdE'!$A$7:$A$336,1),MATCH($D$9,'Tipos BdE'!$B$6:$M$6,0)),0))</f>
        <v/>
      </c>
      <c r="M291" s="13">
        <f>IF(H291="","",IF($D$18="LEGAL",0,$D$10))</f>
        <v/>
      </c>
      <c r="N291" s="13">
        <f>IF(H291="","",IF(AND($D$14="Sí",(L291+M291)&lt;0),0,L291+M291))</f>
        <v/>
      </c>
      <c r="O291" s="199">
        <f>IF(H291="","",$D$5*N291*J291/36500)</f>
        <v/>
      </c>
      <c r="P291" s="199">
        <f>IF(H291="","",$D$5+SUM($O$5:O291))</f>
        <v/>
      </c>
    </row>
    <row r="292">
      <c r="G292" s="11">
        <f>IF(H292="","",ROW()-4)</f>
        <v/>
      </c>
      <c r="H292" s="12">
        <f>IF(OR(I291="",I291&gt;=$D$7),"",I291)</f>
        <v/>
      </c>
      <c r="I292" s="12">
        <f>IF(H292="","",MIN(IF($D$18="LEGAL",DATE(YEAR(H292)+1,1,1),EDATE($D$12,$D$11*(INT((((YEAR(H292)-YEAR($D$12))*12+(MONTH(H292)-MONTH($D$12))-IF(DAY(H292)&lt;DAY($D$12),1,0))/$D$11))+1))),$D$7))</f>
        <v/>
      </c>
      <c r="J292" s="11">
        <f>IF(H292="","",I292-H292)</f>
        <v/>
      </c>
      <c r="K292" s="12">
        <f>IF(H292="","",IF($D$18="LEGAL",H292,EDATE(H292,-$D$13)))</f>
        <v/>
      </c>
      <c r="L292" s="13">
        <f>IF(H292="","",IFERROR(INDEX('Tipos BdE'!$B$7:$M$336,MATCH(DATE(YEAR(K292),MONTH(K292),1),'Tipos BdE'!$A$7:$A$336,1),MATCH($D$9,'Tipos BdE'!$B$6:$M$6,0)),0))</f>
        <v/>
      </c>
      <c r="M292" s="13">
        <f>IF(H292="","",IF($D$18="LEGAL",0,$D$10))</f>
        <v/>
      </c>
      <c r="N292" s="13">
        <f>IF(H292="","",IF(AND($D$14="Sí",(L292+M292)&lt;0),0,L292+M292))</f>
        <v/>
      </c>
      <c r="O292" s="199">
        <f>IF(H292="","",$D$5*N292*J292/36500)</f>
        <v/>
      </c>
      <c r="P292" s="199">
        <f>IF(H292="","",$D$5+SUM($O$5:O292))</f>
        <v/>
      </c>
    </row>
    <row r="293">
      <c r="G293" s="11">
        <f>IF(H293="","",ROW()-4)</f>
        <v/>
      </c>
      <c r="H293" s="12">
        <f>IF(OR(I292="",I292&gt;=$D$7),"",I292)</f>
        <v/>
      </c>
      <c r="I293" s="12">
        <f>IF(H293="","",MIN(IF($D$18="LEGAL",DATE(YEAR(H293)+1,1,1),EDATE($D$12,$D$11*(INT((((YEAR(H293)-YEAR($D$12))*12+(MONTH(H293)-MONTH($D$12))-IF(DAY(H293)&lt;DAY($D$12),1,0))/$D$11))+1))),$D$7))</f>
        <v/>
      </c>
      <c r="J293" s="11">
        <f>IF(H293="","",I293-H293)</f>
        <v/>
      </c>
      <c r="K293" s="12">
        <f>IF(H293="","",IF($D$18="LEGAL",H293,EDATE(H293,-$D$13)))</f>
        <v/>
      </c>
      <c r="L293" s="13">
        <f>IF(H293="","",IFERROR(INDEX('Tipos BdE'!$B$7:$M$336,MATCH(DATE(YEAR(K293),MONTH(K293),1),'Tipos BdE'!$A$7:$A$336,1),MATCH($D$9,'Tipos BdE'!$B$6:$M$6,0)),0))</f>
        <v/>
      </c>
      <c r="M293" s="13">
        <f>IF(H293="","",IF($D$18="LEGAL",0,$D$10))</f>
        <v/>
      </c>
      <c r="N293" s="13">
        <f>IF(H293="","",IF(AND($D$14="Sí",(L293+M293)&lt;0),0,L293+M293))</f>
        <v/>
      </c>
      <c r="O293" s="199">
        <f>IF(H293="","",$D$5*N293*J293/36500)</f>
        <v/>
      </c>
      <c r="P293" s="199">
        <f>IF(H293="","",$D$5+SUM($O$5:O293))</f>
        <v/>
      </c>
    </row>
    <row r="294">
      <c r="G294" s="11">
        <f>IF(H294="","",ROW()-4)</f>
        <v/>
      </c>
      <c r="H294" s="12">
        <f>IF(OR(I293="",I293&gt;=$D$7),"",I293)</f>
        <v/>
      </c>
      <c r="I294" s="12">
        <f>IF(H294="","",MIN(IF($D$18="LEGAL",DATE(YEAR(H294)+1,1,1),EDATE($D$12,$D$11*(INT((((YEAR(H294)-YEAR($D$12))*12+(MONTH(H294)-MONTH($D$12))-IF(DAY(H294)&lt;DAY($D$12),1,0))/$D$11))+1))),$D$7))</f>
        <v/>
      </c>
      <c r="J294" s="11">
        <f>IF(H294="","",I294-H294)</f>
        <v/>
      </c>
      <c r="K294" s="12">
        <f>IF(H294="","",IF($D$18="LEGAL",H294,EDATE(H294,-$D$13)))</f>
        <v/>
      </c>
      <c r="L294" s="13">
        <f>IF(H294="","",IFERROR(INDEX('Tipos BdE'!$B$7:$M$336,MATCH(DATE(YEAR(K294),MONTH(K294),1),'Tipos BdE'!$A$7:$A$336,1),MATCH($D$9,'Tipos BdE'!$B$6:$M$6,0)),0))</f>
        <v/>
      </c>
      <c r="M294" s="13">
        <f>IF(H294="","",IF($D$18="LEGAL",0,$D$10))</f>
        <v/>
      </c>
      <c r="N294" s="13">
        <f>IF(H294="","",IF(AND($D$14="Sí",(L294+M294)&lt;0),0,L294+M294))</f>
        <v/>
      </c>
      <c r="O294" s="199">
        <f>IF(H294="","",$D$5*N294*J294/36500)</f>
        <v/>
      </c>
      <c r="P294" s="199">
        <f>IF(H294="","",$D$5+SUM($O$5:O294))</f>
        <v/>
      </c>
    </row>
    <row r="295">
      <c r="G295" s="11">
        <f>IF(H295="","",ROW()-4)</f>
        <v/>
      </c>
      <c r="H295" s="12">
        <f>IF(OR(I294="",I294&gt;=$D$7),"",I294)</f>
        <v/>
      </c>
      <c r="I295" s="12">
        <f>IF(H295="","",MIN(IF($D$18="LEGAL",DATE(YEAR(H295)+1,1,1),EDATE($D$12,$D$11*(INT((((YEAR(H295)-YEAR($D$12))*12+(MONTH(H295)-MONTH($D$12))-IF(DAY(H295)&lt;DAY($D$12),1,0))/$D$11))+1))),$D$7))</f>
        <v/>
      </c>
      <c r="J295" s="11">
        <f>IF(H295="","",I295-H295)</f>
        <v/>
      </c>
      <c r="K295" s="12">
        <f>IF(H295="","",IF($D$18="LEGAL",H295,EDATE(H295,-$D$13)))</f>
        <v/>
      </c>
      <c r="L295" s="13">
        <f>IF(H295="","",IFERROR(INDEX('Tipos BdE'!$B$7:$M$336,MATCH(DATE(YEAR(K295),MONTH(K295),1),'Tipos BdE'!$A$7:$A$336,1),MATCH($D$9,'Tipos BdE'!$B$6:$M$6,0)),0))</f>
        <v/>
      </c>
      <c r="M295" s="13">
        <f>IF(H295="","",IF($D$18="LEGAL",0,$D$10))</f>
        <v/>
      </c>
      <c r="N295" s="13">
        <f>IF(H295="","",IF(AND($D$14="Sí",(L295+M295)&lt;0),0,L295+M295))</f>
        <v/>
      </c>
      <c r="O295" s="199">
        <f>IF(H295="","",$D$5*N295*J295/36500)</f>
        <v/>
      </c>
      <c r="P295" s="199">
        <f>IF(H295="","",$D$5+SUM($O$5:O295))</f>
        <v/>
      </c>
    </row>
    <row r="296">
      <c r="G296" s="11">
        <f>IF(H296="","",ROW()-4)</f>
        <v/>
      </c>
      <c r="H296" s="12">
        <f>IF(OR(I295="",I295&gt;=$D$7),"",I295)</f>
        <v/>
      </c>
      <c r="I296" s="12">
        <f>IF(H296="","",MIN(IF($D$18="LEGAL",DATE(YEAR(H296)+1,1,1),EDATE($D$12,$D$11*(INT((((YEAR(H296)-YEAR($D$12))*12+(MONTH(H296)-MONTH($D$12))-IF(DAY(H296)&lt;DAY($D$12),1,0))/$D$11))+1))),$D$7))</f>
        <v/>
      </c>
      <c r="J296" s="11">
        <f>IF(H296="","",I296-H296)</f>
        <v/>
      </c>
      <c r="K296" s="12">
        <f>IF(H296="","",IF($D$18="LEGAL",H296,EDATE(H296,-$D$13)))</f>
        <v/>
      </c>
      <c r="L296" s="13">
        <f>IF(H296="","",IFERROR(INDEX('Tipos BdE'!$B$7:$M$336,MATCH(DATE(YEAR(K296),MONTH(K296),1),'Tipos BdE'!$A$7:$A$336,1),MATCH($D$9,'Tipos BdE'!$B$6:$M$6,0)),0))</f>
        <v/>
      </c>
      <c r="M296" s="13">
        <f>IF(H296="","",IF($D$18="LEGAL",0,$D$10))</f>
        <v/>
      </c>
      <c r="N296" s="13">
        <f>IF(H296="","",IF(AND($D$14="Sí",(L296+M296)&lt;0),0,L296+M296))</f>
        <v/>
      </c>
      <c r="O296" s="199">
        <f>IF(H296="","",$D$5*N296*J296/36500)</f>
        <v/>
      </c>
      <c r="P296" s="199">
        <f>IF(H296="","",$D$5+SUM($O$5:O296))</f>
        <v/>
      </c>
    </row>
    <row r="297">
      <c r="G297" s="11">
        <f>IF(H297="","",ROW()-4)</f>
        <v/>
      </c>
      <c r="H297" s="12">
        <f>IF(OR(I296="",I296&gt;=$D$7),"",I296)</f>
        <v/>
      </c>
      <c r="I297" s="12">
        <f>IF(H297="","",MIN(IF($D$18="LEGAL",DATE(YEAR(H297)+1,1,1),EDATE($D$12,$D$11*(INT((((YEAR(H297)-YEAR($D$12))*12+(MONTH(H297)-MONTH($D$12))-IF(DAY(H297)&lt;DAY($D$12),1,0))/$D$11))+1))),$D$7))</f>
        <v/>
      </c>
      <c r="J297" s="11">
        <f>IF(H297="","",I297-H297)</f>
        <v/>
      </c>
      <c r="K297" s="12">
        <f>IF(H297="","",IF($D$18="LEGAL",H297,EDATE(H297,-$D$13)))</f>
        <v/>
      </c>
      <c r="L297" s="13">
        <f>IF(H297="","",IFERROR(INDEX('Tipos BdE'!$B$7:$M$336,MATCH(DATE(YEAR(K297),MONTH(K297),1),'Tipos BdE'!$A$7:$A$336,1),MATCH($D$9,'Tipos BdE'!$B$6:$M$6,0)),0))</f>
        <v/>
      </c>
      <c r="M297" s="13">
        <f>IF(H297="","",IF($D$18="LEGAL",0,$D$10))</f>
        <v/>
      </c>
      <c r="N297" s="13">
        <f>IF(H297="","",IF(AND($D$14="Sí",(L297+M297)&lt;0),0,L297+M297))</f>
        <v/>
      </c>
      <c r="O297" s="199">
        <f>IF(H297="","",$D$5*N297*J297/36500)</f>
        <v/>
      </c>
      <c r="P297" s="199">
        <f>IF(H297="","",$D$5+SUM($O$5:O297))</f>
        <v/>
      </c>
    </row>
    <row r="298">
      <c r="G298" s="11">
        <f>IF(H298="","",ROW()-4)</f>
        <v/>
      </c>
      <c r="H298" s="12">
        <f>IF(OR(I297="",I297&gt;=$D$7),"",I297)</f>
        <v/>
      </c>
      <c r="I298" s="12">
        <f>IF(H298="","",MIN(IF($D$18="LEGAL",DATE(YEAR(H298)+1,1,1),EDATE($D$12,$D$11*(INT((((YEAR(H298)-YEAR($D$12))*12+(MONTH(H298)-MONTH($D$12))-IF(DAY(H298)&lt;DAY($D$12),1,0))/$D$11))+1))),$D$7))</f>
        <v/>
      </c>
      <c r="J298" s="11">
        <f>IF(H298="","",I298-H298)</f>
        <v/>
      </c>
      <c r="K298" s="12">
        <f>IF(H298="","",IF($D$18="LEGAL",H298,EDATE(H298,-$D$13)))</f>
        <v/>
      </c>
      <c r="L298" s="13">
        <f>IF(H298="","",IFERROR(INDEX('Tipos BdE'!$B$7:$M$336,MATCH(DATE(YEAR(K298),MONTH(K298),1),'Tipos BdE'!$A$7:$A$336,1),MATCH($D$9,'Tipos BdE'!$B$6:$M$6,0)),0))</f>
        <v/>
      </c>
      <c r="M298" s="13">
        <f>IF(H298="","",IF($D$18="LEGAL",0,$D$10))</f>
        <v/>
      </c>
      <c r="N298" s="13">
        <f>IF(H298="","",IF(AND($D$14="Sí",(L298+M298)&lt;0),0,L298+M298))</f>
        <v/>
      </c>
      <c r="O298" s="199">
        <f>IF(H298="","",$D$5*N298*J298/36500)</f>
        <v/>
      </c>
      <c r="P298" s="199">
        <f>IF(H298="","",$D$5+SUM($O$5:O298))</f>
        <v/>
      </c>
    </row>
    <row r="299">
      <c r="G299" s="11">
        <f>IF(H299="","",ROW()-4)</f>
        <v/>
      </c>
      <c r="H299" s="12">
        <f>IF(OR(I298="",I298&gt;=$D$7),"",I298)</f>
        <v/>
      </c>
      <c r="I299" s="12">
        <f>IF(H299="","",MIN(IF($D$18="LEGAL",DATE(YEAR(H299)+1,1,1),EDATE($D$12,$D$11*(INT((((YEAR(H299)-YEAR($D$12))*12+(MONTH(H299)-MONTH($D$12))-IF(DAY(H299)&lt;DAY($D$12),1,0))/$D$11))+1))),$D$7))</f>
        <v/>
      </c>
      <c r="J299" s="11">
        <f>IF(H299="","",I299-H299)</f>
        <v/>
      </c>
      <c r="K299" s="12">
        <f>IF(H299="","",IF($D$18="LEGAL",H299,EDATE(H299,-$D$13)))</f>
        <v/>
      </c>
      <c r="L299" s="13">
        <f>IF(H299="","",IFERROR(INDEX('Tipos BdE'!$B$7:$M$336,MATCH(DATE(YEAR(K299),MONTH(K299),1),'Tipos BdE'!$A$7:$A$336,1),MATCH($D$9,'Tipos BdE'!$B$6:$M$6,0)),0))</f>
        <v/>
      </c>
      <c r="M299" s="13">
        <f>IF(H299="","",IF($D$18="LEGAL",0,$D$10))</f>
        <v/>
      </c>
      <c r="N299" s="13">
        <f>IF(H299="","",IF(AND($D$14="Sí",(L299+M299)&lt;0),0,L299+M299))</f>
        <v/>
      </c>
      <c r="O299" s="199">
        <f>IF(H299="","",$D$5*N299*J299/36500)</f>
        <v/>
      </c>
      <c r="P299" s="199">
        <f>IF(H299="","",$D$5+SUM($O$5:O299))</f>
        <v/>
      </c>
    </row>
    <row r="300">
      <c r="G300" s="11">
        <f>IF(H300="","",ROW()-4)</f>
        <v/>
      </c>
      <c r="H300" s="12">
        <f>IF(OR(I299="",I299&gt;=$D$7),"",I299)</f>
        <v/>
      </c>
      <c r="I300" s="12">
        <f>IF(H300="","",MIN(IF($D$18="LEGAL",DATE(YEAR(H300)+1,1,1),EDATE($D$12,$D$11*(INT((((YEAR(H300)-YEAR($D$12))*12+(MONTH(H300)-MONTH($D$12))-IF(DAY(H300)&lt;DAY($D$12),1,0))/$D$11))+1))),$D$7))</f>
        <v/>
      </c>
      <c r="J300" s="11">
        <f>IF(H300="","",I300-H300)</f>
        <v/>
      </c>
      <c r="K300" s="12">
        <f>IF(H300="","",IF($D$18="LEGAL",H300,EDATE(H300,-$D$13)))</f>
        <v/>
      </c>
      <c r="L300" s="13">
        <f>IF(H300="","",IFERROR(INDEX('Tipos BdE'!$B$7:$M$336,MATCH(DATE(YEAR(K300),MONTH(K300),1),'Tipos BdE'!$A$7:$A$336,1),MATCH($D$9,'Tipos BdE'!$B$6:$M$6,0)),0))</f>
        <v/>
      </c>
      <c r="M300" s="13">
        <f>IF(H300="","",IF($D$18="LEGAL",0,$D$10))</f>
        <v/>
      </c>
      <c r="N300" s="13">
        <f>IF(H300="","",IF(AND($D$14="Sí",(L300+M300)&lt;0),0,L300+M300))</f>
        <v/>
      </c>
      <c r="O300" s="199">
        <f>IF(H300="","",$D$5*N300*J300/36500)</f>
        <v/>
      </c>
      <c r="P300" s="199">
        <f>IF(H300="","",$D$5+SUM($O$5:O300))</f>
        <v/>
      </c>
    </row>
    <row r="301">
      <c r="G301" s="11">
        <f>IF(H301="","",ROW()-4)</f>
        <v/>
      </c>
      <c r="H301" s="12">
        <f>IF(OR(I300="",I300&gt;=$D$7),"",I300)</f>
        <v/>
      </c>
      <c r="I301" s="12">
        <f>IF(H301="","",MIN(IF($D$18="LEGAL",DATE(YEAR(H301)+1,1,1),EDATE($D$12,$D$11*(INT((((YEAR(H301)-YEAR($D$12))*12+(MONTH(H301)-MONTH($D$12))-IF(DAY(H301)&lt;DAY($D$12),1,0))/$D$11))+1))),$D$7))</f>
        <v/>
      </c>
      <c r="J301" s="11">
        <f>IF(H301="","",I301-H301)</f>
        <v/>
      </c>
      <c r="K301" s="12">
        <f>IF(H301="","",IF($D$18="LEGAL",H301,EDATE(H301,-$D$13)))</f>
        <v/>
      </c>
      <c r="L301" s="13">
        <f>IF(H301="","",IFERROR(INDEX('Tipos BdE'!$B$7:$M$336,MATCH(DATE(YEAR(K301),MONTH(K301),1),'Tipos BdE'!$A$7:$A$336,1),MATCH($D$9,'Tipos BdE'!$B$6:$M$6,0)),0))</f>
        <v/>
      </c>
      <c r="M301" s="13">
        <f>IF(H301="","",IF($D$18="LEGAL",0,$D$10))</f>
        <v/>
      </c>
      <c r="N301" s="13">
        <f>IF(H301="","",IF(AND($D$14="Sí",(L301+M301)&lt;0),0,L301+M301))</f>
        <v/>
      </c>
      <c r="O301" s="199">
        <f>IF(H301="","",$D$5*N301*J301/36500)</f>
        <v/>
      </c>
      <c r="P301" s="199">
        <f>IF(H301="","",$D$5+SUM($O$5:O301))</f>
        <v/>
      </c>
    </row>
    <row r="302">
      <c r="G302" s="11">
        <f>IF(H302="","",ROW()-4)</f>
        <v/>
      </c>
      <c r="H302" s="12">
        <f>IF(OR(I301="",I301&gt;=$D$7),"",I301)</f>
        <v/>
      </c>
      <c r="I302" s="12">
        <f>IF(H302="","",MIN(IF($D$18="LEGAL",DATE(YEAR(H302)+1,1,1),EDATE($D$12,$D$11*(INT((((YEAR(H302)-YEAR($D$12))*12+(MONTH(H302)-MONTH($D$12))-IF(DAY(H302)&lt;DAY($D$12),1,0))/$D$11))+1))),$D$7))</f>
        <v/>
      </c>
      <c r="J302" s="11">
        <f>IF(H302="","",I302-H302)</f>
        <v/>
      </c>
      <c r="K302" s="12">
        <f>IF(H302="","",IF($D$18="LEGAL",H302,EDATE(H302,-$D$13)))</f>
        <v/>
      </c>
      <c r="L302" s="13">
        <f>IF(H302="","",IFERROR(INDEX('Tipos BdE'!$B$7:$M$336,MATCH(DATE(YEAR(K302),MONTH(K302),1),'Tipos BdE'!$A$7:$A$336,1),MATCH($D$9,'Tipos BdE'!$B$6:$M$6,0)),0))</f>
        <v/>
      </c>
      <c r="M302" s="13">
        <f>IF(H302="","",IF($D$18="LEGAL",0,$D$10))</f>
        <v/>
      </c>
      <c r="N302" s="13">
        <f>IF(H302="","",IF(AND($D$14="Sí",(L302+M302)&lt;0),0,L302+M302))</f>
        <v/>
      </c>
      <c r="O302" s="199">
        <f>IF(H302="","",$D$5*N302*J302/36500)</f>
        <v/>
      </c>
      <c r="P302" s="199">
        <f>IF(H302="","",$D$5+SUM($O$5:O302))</f>
        <v/>
      </c>
    </row>
    <row r="303">
      <c r="G303" s="11">
        <f>IF(H303="","",ROW()-4)</f>
        <v/>
      </c>
      <c r="H303" s="12">
        <f>IF(OR(I302="",I302&gt;=$D$7),"",I302)</f>
        <v/>
      </c>
      <c r="I303" s="12">
        <f>IF(H303="","",MIN(IF($D$18="LEGAL",DATE(YEAR(H303)+1,1,1),EDATE($D$12,$D$11*(INT((((YEAR(H303)-YEAR($D$12))*12+(MONTH(H303)-MONTH($D$12))-IF(DAY(H303)&lt;DAY($D$12),1,0))/$D$11))+1))),$D$7))</f>
        <v/>
      </c>
      <c r="J303" s="11">
        <f>IF(H303="","",I303-H303)</f>
        <v/>
      </c>
      <c r="K303" s="12">
        <f>IF(H303="","",IF($D$18="LEGAL",H303,EDATE(H303,-$D$13)))</f>
        <v/>
      </c>
      <c r="L303" s="13">
        <f>IF(H303="","",IFERROR(INDEX('Tipos BdE'!$B$7:$M$336,MATCH(DATE(YEAR(K303),MONTH(K303),1),'Tipos BdE'!$A$7:$A$336,1),MATCH($D$9,'Tipos BdE'!$B$6:$M$6,0)),0))</f>
        <v/>
      </c>
      <c r="M303" s="13">
        <f>IF(H303="","",IF($D$18="LEGAL",0,$D$10))</f>
        <v/>
      </c>
      <c r="N303" s="13">
        <f>IF(H303="","",IF(AND($D$14="Sí",(L303+M303)&lt;0),0,L303+M303))</f>
        <v/>
      </c>
      <c r="O303" s="199">
        <f>IF(H303="","",$D$5*N303*J303/36500)</f>
        <v/>
      </c>
      <c r="P303" s="199">
        <f>IF(H303="","",$D$5+SUM($O$5:O303))</f>
        <v/>
      </c>
    </row>
    <row r="304">
      <c r="G304" s="11">
        <f>IF(H304="","",ROW()-4)</f>
        <v/>
      </c>
      <c r="H304" s="12">
        <f>IF(OR(I303="",I303&gt;=$D$7),"",I303)</f>
        <v/>
      </c>
      <c r="I304" s="12">
        <f>IF(H304="","",MIN(IF($D$18="LEGAL",DATE(YEAR(H304)+1,1,1),EDATE($D$12,$D$11*(INT((((YEAR(H304)-YEAR($D$12))*12+(MONTH(H304)-MONTH($D$12))-IF(DAY(H304)&lt;DAY($D$12),1,0))/$D$11))+1))),$D$7))</f>
        <v/>
      </c>
      <c r="J304" s="11">
        <f>IF(H304="","",I304-H304)</f>
        <v/>
      </c>
      <c r="K304" s="12">
        <f>IF(H304="","",IF($D$18="LEGAL",H304,EDATE(H304,-$D$13)))</f>
        <v/>
      </c>
      <c r="L304" s="13">
        <f>IF(H304="","",IFERROR(INDEX('Tipos BdE'!$B$7:$M$336,MATCH(DATE(YEAR(K304),MONTH(K304),1),'Tipos BdE'!$A$7:$A$336,1),MATCH($D$9,'Tipos BdE'!$B$6:$M$6,0)),0))</f>
        <v/>
      </c>
      <c r="M304" s="13">
        <f>IF(H304="","",IF($D$18="LEGAL",0,$D$10))</f>
        <v/>
      </c>
      <c r="N304" s="13">
        <f>IF(H304="","",IF(AND($D$14="Sí",(L304+M304)&lt;0),0,L304+M304))</f>
        <v/>
      </c>
      <c r="O304" s="199">
        <f>IF(H304="","",$D$5*N304*J304/36500)</f>
        <v/>
      </c>
      <c r="P304" s="199">
        <f>IF(H304="","",$D$5+SUM($O$5:O304))</f>
        <v/>
      </c>
    </row>
  </sheetData>
  <mergeCells count="38">
    <mergeCell ref="D10:E10"/>
    <mergeCell ref="A18:C18"/>
    <mergeCell ref="A21:C21"/>
    <mergeCell ref="A12:C12"/>
    <mergeCell ref="D21:E21"/>
    <mergeCell ref="D6:E6"/>
    <mergeCell ref="A5:C5"/>
    <mergeCell ref="A23:C23"/>
    <mergeCell ref="D11:E11"/>
    <mergeCell ref="A8:C8"/>
    <mergeCell ref="D13:E13"/>
    <mergeCell ref="A14:C14"/>
    <mergeCell ref="A17:C17"/>
    <mergeCell ref="D17:E17"/>
    <mergeCell ref="A10:C10"/>
    <mergeCell ref="D16:E16"/>
    <mergeCell ref="A13:C13"/>
    <mergeCell ref="D7:E7"/>
    <mergeCell ref="A1:P1"/>
    <mergeCell ref="A9:C9"/>
    <mergeCell ref="D18:E18"/>
    <mergeCell ref="A15:C15"/>
    <mergeCell ref="D9:E9"/>
    <mergeCell ref="A24:C24"/>
    <mergeCell ref="D12:E12"/>
    <mergeCell ref="D8:E8"/>
    <mergeCell ref="A4:E4"/>
    <mergeCell ref="A11:C11"/>
    <mergeCell ref="A20:E20"/>
    <mergeCell ref="D24:E24"/>
    <mergeCell ref="D15:E15"/>
    <mergeCell ref="D5:E5"/>
    <mergeCell ref="A6:C6"/>
    <mergeCell ref="D23:E23"/>
    <mergeCell ref="D14:E14"/>
    <mergeCell ref="A7:C7"/>
    <mergeCell ref="A16:C16"/>
    <mergeCell ref="A2:P2"/>
  </mergeCells>
  <pageMargins left="0.25" right="0.25" top="0.75" bottom="0.75" header="0.3" footer="0.3"/>
  <pageSetup orientation="portrait" paperSize="9" scale="58" fitToHeight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D71ECF39F66184586F6D662D18D2F25" ma:contentTypeVersion="15" ma:contentTypeDescription="Crear nuevo documento." ma:contentTypeScope="" ma:versionID="0fb8ce115ac01ef6859bf02b8386d80c">
  <xsd:schema xmlns:xsd="http://www.w3.org/2001/XMLSchema" xmlns:xs="http://www.w3.org/2001/XMLSchema" xmlns:p="http://schemas.microsoft.com/office/2006/metadata/properties" xmlns:ns2="1a371a86-75ee-45af-9d35-73da47a1d8df" xmlns:ns3="17a21aa5-e6e0-4ea1-a8b7-dab22934b373" targetNamespace="http://schemas.microsoft.com/office/2006/metadata/properties" ma:root="true" ma:fieldsID="e0f7addb0f69ce9cdb2af98abf88e284" ns2:_="" ns3:_="">
    <xsd:import namespace="1a371a86-75ee-45af-9d35-73da47a1d8df"/>
    <xsd:import namespace="17a21aa5-e6e0-4ea1-a8b7-dab22934b3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371a86-75ee-45af-9d35-73da47a1d8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f6eb35d-fa8f-4866-a1f7-1f6f59219a3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a21aa5-e6e0-4ea1-a8b7-dab22934b37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29590b2-1846-47dc-92a0-775c83a6ea08}" ma:internalName="TaxCatchAll" ma:showField="CatchAllData" ma:web="17a21aa5-e6e0-4ea1-a8b7-dab22934b3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7a21aa5-e6e0-4ea1-a8b7-dab22934b373" xsi:nil="true"/>
    <lcf76f155ced4ddcb4097134ff3c332f xmlns="1a371a86-75ee-45af-9d35-73da47a1d8d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82AAE9C-9308-4DB1-82B6-0D1BDAC6D33B}"/>
</file>

<file path=customXml/itemProps2.xml><?xml version="1.0" encoding="utf-8"?>
<ds:datastoreItem xmlns:ds="http://schemas.openxmlformats.org/officeDocument/2006/customXml" ds:itemID="{CE672D33-8EB9-4673-B21D-1D24BD02B129}"/>
</file>

<file path=customXml/itemProps3.xml><?xml version="1.0" encoding="utf-8"?>
<ds:datastoreItem xmlns:ds="http://schemas.openxmlformats.org/officeDocument/2006/customXml" ds:itemID="{FEEA752D-1BB0-458F-9F0F-37A23341A6FF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Jose Prada</cp:lastModifiedBy>
  <cp:lastPrinted>2026-06-22T09:27:17Z</cp:lastPrinted>
  <dcterms:created xsi:type="dcterms:W3CDTF">2026-06-19T09:43:33Z</dcterms:created>
  <dcterms:modified xsi:type="dcterms:W3CDTF">2026-07-14T04:45:20Z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0x010100AD71ECF39F66184586F6D662D18D2F25</vt:lpwstr>
  </property>
</Properties>
</file>