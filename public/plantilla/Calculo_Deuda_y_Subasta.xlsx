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insolutia.sharepoint.com/sites/ES-Legal/Shared Documents/General/DEUDAS/Calculo_Deuda_y_Subasta/"/>
    </mc:Choice>
  </mc:AlternateContent>
  <xr:revisionPtr revIDLastSave="19" documentId="11_5C94ED51F275FEB9C03A0286D8E315DBC59D2680" xr6:coauthVersionLast="47" xr6:coauthVersionMax="47" xr10:uidLastSave="{202F77A3-6DF8-4CC8-82FF-3E100C7FDD61}"/>
  <bookViews>
    <workbookView xWindow="-110" yWindow="-110" windowWidth="19420" windowHeight="10300" xr2:uid="{00000000-000D-0000-FFFF-FFFF00000000}"/>
  </bookViews>
  <sheets>
    <sheet name="Informe Subasta" sheetId="1" r:id="rId1"/>
    <sheet name="Comparativa Tipos" sheetId="2" r:id="rId2"/>
    <sheet name="Cálculo Intereses" sheetId="3" r:id="rId3"/>
    <sheet name="Tipos BdE" sheetId="4" r:id="rId4"/>
    <sheet name="Formato Cliente HO" sheetId="5" r:id="rId5"/>
    <sheet name="Formato Cliente CES" sheetId="6" r:id="rId6"/>
    <sheet name="Formato Cliente" sheetId="7" r:id="rId7"/>
    <sheet name="Guía" sheetId="8" r:id="rId8"/>
    <sheet name="BBDD Guardados" sheetId="9" r:id="rId9"/>
    <sheet name="BBDD Guardados Fincas" sheetId="10" r:id="rId10"/>
    <sheet name="CI Variable" sheetId="11" state="hidden" r:id="rId11"/>
    <sheet name="CI Variable +3%" sheetId="12" state="hidden" r:id="rId12"/>
  </sheets>
  <calcPr calcMode="auto"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2" l="1"/>
  <c r="D17" i="12"/>
  <c r="D16" i="12"/>
  <c r="D15" i="12"/>
  <c r="D14" i="12"/>
  <c r="D13" i="12"/>
  <c r="D12" i="12"/>
  <c r="D11" i="12"/>
  <c r="D10" i="12"/>
  <c r="D9" i="12"/>
  <c r="D8" i="12"/>
  <c r="D7" i="12"/>
  <c r="D6" i="12"/>
  <c r="H5" i="12" s="1"/>
  <c r="D5" i="12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Q42" i="6"/>
  <c r="P42" i="6"/>
  <c r="O42" i="6"/>
  <c r="N42" i="6"/>
  <c r="M42" i="6"/>
  <c r="Q41" i="6"/>
  <c r="P41" i="6"/>
  <c r="O41" i="6"/>
  <c r="N41" i="6"/>
  <c r="M41" i="6"/>
  <c r="Q40" i="6"/>
  <c r="P40" i="6"/>
  <c r="O40" i="6"/>
  <c r="N40" i="6"/>
  <c r="M40" i="6"/>
  <c r="Q39" i="6"/>
  <c r="P39" i="6"/>
  <c r="O39" i="6"/>
  <c r="N39" i="6"/>
  <c r="M39" i="6"/>
  <c r="Q38" i="6"/>
  <c r="P38" i="6"/>
  <c r="O38" i="6"/>
  <c r="N38" i="6"/>
  <c r="M38" i="6"/>
  <c r="Q37" i="6"/>
  <c r="P37" i="6"/>
  <c r="O37" i="6"/>
  <c r="N37" i="6"/>
  <c r="M37" i="6"/>
  <c r="Q36" i="6"/>
  <c r="P36" i="6"/>
  <c r="O36" i="6"/>
  <c r="N36" i="6"/>
  <c r="M36" i="6"/>
  <c r="Q35" i="6"/>
  <c r="P35" i="6"/>
  <c r="O35" i="6"/>
  <c r="N35" i="6"/>
  <c r="M35" i="6"/>
  <c r="Q34" i="6"/>
  <c r="P34" i="6"/>
  <c r="O34" i="6"/>
  <c r="N34" i="6"/>
  <c r="M34" i="6"/>
  <c r="Q33" i="6"/>
  <c r="P33" i="6"/>
  <c r="O33" i="6"/>
  <c r="N33" i="6"/>
  <c r="M33" i="6"/>
  <c r="Q32" i="6"/>
  <c r="P32" i="6"/>
  <c r="O32" i="6"/>
  <c r="N32" i="6"/>
  <c r="M32" i="6"/>
  <c r="Q31" i="6"/>
  <c r="P31" i="6"/>
  <c r="O31" i="6"/>
  <c r="N31" i="6"/>
  <c r="M31" i="6"/>
  <c r="Q30" i="6"/>
  <c r="P30" i="6"/>
  <c r="O30" i="6"/>
  <c r="N30" i="6"/>
  <c r="M30" i="6"/>
  <c r="Q29" i="6"/>
  <c r="P29" i="6"/>
  <c r="O29" i="6"/>
  <c r="N29" i="6"/>
  <c r="M29" i="6"/>
  <c r="Q28" i="6"/>
  <c r="P28" i="6"/>
  <c r="O28" i="6"/>
  <c r="N28" i="6"/>
  <c r="M28" i="6"/>
  <c r="Q27" i="6"/>
  <c r="P27" i="6"/>
  <c r="O27" i="6"/>
  <c r="N27" i="6"/>
  <c r="M27" i="6"/>
  <c r="Q26" i="6"/>
  <c r="P26" i="6"/>
  <c r="O26" i="6"/>
  <c r="N26" i="6"/>
  <c r="M26" i="6"/>
  <c r="Q25" i="6"/>
  <c r="P25" i="6"/>
  <c r="O25" i="6"/>
  <c r="N25" i="6"/>
  <c r="M25" i="6"/>
  <c r="Q24" i="6"/>
  <c r="P24" i="6"/>
  <c r="O24" i="6"/>
  <c r="N24" i="6"/>
  <c r="M24" i="6"/>
  <c r="Q23" i="6"/>
  <c r="P23" i="6"/>
  <c r="O23" i="6"/>
  <c r="N23" i="6"/>
  <c r="M23" i="6"/>
  <c r="Q22" i="6"/>
  <c r="P22" i="6"/>
  <c r="O22" i="6"/>
  <c r="N22" i="6"/>
  <c r="M22" i="6"/>
  <c r="Q21" i="6"/>
  <c r="P21" i="6"/>
  <c r="O21" i="6"/>
  <c r="N21" i="6"/>
  <c r="M21" i="6"/>
  <c r="Q20" i="6"/>
  <c r="P20" i="6"/>
  <c r="O20" i="6"/>
  <c r="N20" i="6"/>
  <c r="M20" i="6"/>
  <c r="Q19" i="6"/>
  <c r="P19" i="6"/>
  <c r="O19" i="6"/>
  <c r="N19" i="6"/>
  <c r="M19" i="6"/>
  <c r="Q18" i="6"/>
  <c r="P18" i="6"/>
  <c r="O18" i="6"/>
  <c r="N18" i="6"/>
  <c r="M18" i="6"/>
  <c r="Q17" i="6"/>
  <c r="P17" i="6"/>
  <c r="O17" i="6"/>
  <c r="N17" i="6"/>
  <c r="M17" i="6"/>
  <c r="Q16" i="6"/>
  <c r="P16" i="6"/>
  <c r="O16" i="6"/>
  <c r="N16" i="6"/>
  <c r="M16" i="6"/>
  <c r="Q15" i="6"/>
  <c r="P15" i="6"/>
  <c r="O15" i="6"/>
  <c r="N15" i="6"/>
  <c r="M15" i="6"/>
  <c r="Q14" i="6"/>
  <c r="P14" i="6"/>
  <c r="O14" i="6"/>
  <c r="N14" i="6"/>
  <c r="M14" i="6"/>
  <c r="Q13" i="6"/>
  <c r="P13" i="6"/>
  <c r="O13" i="6"/>
  <c r="N13" i="6"/>
  <c r="M13" i="6"/>
  <c r="F8" i="6"/>
  <c r="E8" i="6"/>
  <c r="R50" i="5"/>
  <c r="Q50" i="5"/>
  <c r="M50" i="5"/>
  <c r="H50" i="5"/>
  <c r="E50" i="5"/>
  <c r="C50" i="5"/>
  <c r="P50" i="5" s="1"/>
  <c r="U49" i="5"/>
  <c r="T49" i="5"/>
  <c r="L49" i="5"/>
  <c r="K49" i="5"/>
  <c r="H49" i="5"/>
  <c r="C49" i="5"/>
  <c r="O49" i="5" s="1"/>
  <c r="O48" i="5"/>
  <c r="J48" i="5"/>
  <c r="C48" i="5"/>
  <c r="R48" i="5" s="1"/>
  <c r="N47" i="5"/>
  <c r="M47" i="5"/>
  <c r="J47" i="5"/>
  <c r="C47" i="5"/>
  <c r="Q47" i="5" s="1"/>
  <c r="U46" i="5"/>
  <c r="T46" i="5"/>
  <c r="S46" i="5"/>
  <c r="R46" i="5"/>
  <c r="Q46" i="5"/>
  <c r="N46" i="5"/>
  <c r="M46" i="5"/>
  <c r="L46" i="5"/>
  <c r="K46" i="5"/>
  <c r="J46" i="5"/>
  <c r="I46" i="5"/>
  <c r="H46" i="5"/>
  <c r="G46" i="5"/>
  <c r="F46" i="5"/>
  <c r="E46" i="5"/>
  <c r="C46" i="5"/>
  <c r="P46" i="5" s="1"/>
  <c r="C45" i="5"/>
  <c r="U44" i="5"/>
  <c r="T44" i="5"/>
  <c r="S44" i="5"/>
  <c r="P44" i="5"/>
  <c r="N44" i="5"/>
  <c r="M44" i="5"/>
  <c r="L44" i="5"/>
  <c r="K44" i="5"/>
  <c r="J44" i="5"/>
  <c r="I44" i="5"/>
  <c r="H44" i="5"/>
  <c r="G44" i="5"/>
  <c r="D44" i="5"/>
  <c r="C44" i="5"/>
  <c r="R44" i="5" s="1"/>
  <c r="U43" i="5"/>
  <c r="Q43" i="5"/>
  <c r="K43" i="5"/>
  <c r="I43" i="5"/>
  <c r="F43" i="5"/>
  <c r="C43" i="5"/>
  <c r="P43" i="5" s="1"/>
  <c r="U42" i="5"/>
  <c r="R42" i="5"/>
  <c r="P42" i="5"/>
  <c r="O42" i="5"/>
  <c r="N42" i="5"/>
  <c r="M42" i="5"/>
  <c r="L42" i="5"/>
  <c r="K42" i="5"/>
  <c r="J42" i="5"/>
  <c r="I42" i="5"/>
  <c r="F42" i="5"/>
  <c r="E42" i="5"/>
  <c r="D42" i="5"/>
  <c r="C42" i="5"/>
  <c r="U41" i="5"/>
  <c r="T41" i="5"/>
  <c r="S41" i="5"/>
  <c r="R41" i="5"/>
  <c r="Q41" i="5"/>
  <c r="P41" i="5"/>
  <c r="N41" i="5"/>
  <c r="M41" i="5"/>
  <c r="L41" i="5"/>
  <c r="K41" i="5"/>
  <c r="J41" i="5"/>
  <c r="I41" i="5"/>
  <c r="H41" i="5"/>
  <c r="G41" i="5"/>
  <c r="F41" i="5"/>
  <c r="E41" i="5"/>
  <c r="D41" i="5"/>
  <c r="C41" i="5"/>
  <c r="O41" i="5" s="1"/>
  <c r="M40" i="5"/>
  <c r="L40" i="5"/>
  <c r="C40" i="5"/>
  <c r="P40" i="5" s="1"/>
  <c r="R39" i="5"/>
  <c r="O39" i="5"/>
  <c r="L39" i="5"/>
  <c r="K39" i="5"/>
  <c r="J39" i="5"/>
  <c r="I39" i="5"/>
  <c r="H39" i="5"/>
  <c r="C39" i="5"/>
  <c r="U38" i="5"/>
  <c r="T38" i="5"/>
  <c r="G38" i="5"/>
  <c r="F38" i="5"/>
  <c r="C38" i="5"/>
  <c r="P38" i="5" s="1"/>
  <c r="L37" i="5"/>
  <c r="K37" i="5"/>
  <c r="C37" i="5"/>
  <c r="O37" i="5" s="1"/>
  <c r="S36" i="5"/>
  <c r="R36" i="5"/>
  <c r="Q36" i="5"/>
  <c r="O36" i="5"/>
  <c r="M36" i="5"/>
  <c r="L36" i="5"/>
  <c r="K36" i="5"/>
  <c r="J36" i="5"/>
  <c r="I36" i="5"/>
  <c r="F36" i="5"/>
  <c r="E36" i="5"/>
  <c r="D36" i="5"/>
  <c r="C36" i="5"/>
  <c r="N36" i="5" s="1"/>
  <c r="S35" i="5"/>
  <c r="O35" i="5"/>
  <c r="K35" i="5"/>
  <c r="J35" i="5"/>
  <c r="F35" i="5"/>
  <c r="C35" i="5"/>
  <c r="N35" i="5" s="1"/>
  <c r="Q34" i="5"/>
  <c r="O34" i="5"/>
  <c r="C34" i="5"/>
  <c r="U33" i="5"/>
  <c r="R33" i="5"/>
  <c r="O33" i="5"/>
  <c r="N33" i="5"/>
  <c r="I33" i="5"/>
  <c r="H33" i="5"/>
  <c r="E33" i="5"/>
  <c r="C33" i="5"/>
  <c r="K33" i="5" s="1"/>
  <c r="U32" i="5"/>
  <c r="T32" i="5"/>
  <c r="O32" i="5"/>
  <c r="N32" i="5"/>
  <c r="K32" i="5"/>
  <c r="I32" i="5"/>
  <c r="H32" i="5"/>
  <c r="G32" i="5"/>
  <c r="C32" i="5"/>
  <c r="U31" i="5"/>
  <c r="T31" i="5"/>
  <c r="Q31" i="5"/>
  <c r="O31" i="5"/>
  <c r="N31" i="5"/>
  <c r="L31" i="5"/>
  <c r="H31" i="5"/>
  <c r="G31" i="5"/>
  <c r="D31" i="5"/>
  <c r="C31" i="5"/>
  <c r="M31" i="5" s="1"/>
  <c r="U30" i="5"/>
  <c r="S30" i="5"/>
  <c r="R30" i="5"/>
  <c r="Q30" i="5"/>
  <c r="O30" i="5"/>
  <c r="N30" i="5"/>
  <c r="M30" i="5"/>
  <c r="L30" i="5"/>
  <c r="K30" i="5"/>
  <c r="J30" i="5"/>
  <c r="I30" i="5"/>
  <c r="G30" i="5"/>
  <c r="F30" i="5"/>
  <c r="E30" i="5"/>
  <c r="D30" i="5"/>
  <c r="C30" i="5"/>
  <c r="U29" i="5"/>
  <c r="T29" i="5"/>
  <c r="S29" i="5"/>
  <c r="R29" i="5"/>
  <c r="Q29" i="5"/>
  <c r="P29" i="5"/>
  <c r="N29" i="5"/>
  <c r="M29" i="5"/>
  <c r="L29" i="5"/>
  <c r="K29" i="5"/>
  <c r="J29" i="5"/>
  <c r="I29" i="5"/>
  <c r="H29" i="5"/>
  <c r="G29" i="5"/>
  <c r="F29" i="5"/>
  <c r="E29" i="5"/>
  <c r="D29" i="5"/>
  <c r="C29" i="5"/>
  <c r="O29" i="5" s="1"/>
  <c r="U28" i="5"/>
  <c r="T28" i="5"/>
  <c r="S28" i="5"/>
  <c r="R28" i="5"/>
  <c r="Q28" i="5"/>
  <c r="O28" i="5"/>
  <c r="N28" i="5"/>
  <c r="M28" i="5"/>
  <c r="L28" i="5"/>
  <c r="K28" i="5"/>
  <c r="I28" i="5"/>
  <c r="H28" i="5"/>
  <c r="G28" i="5"/>
  <c r="F28" i="5"/>
  <c r="E28" i="5"/>
  <c r="D28" i="5"/>
  <c r="C28" i="5"/>
  <c r="J28" i="5" s="1"/>
  <c r="U27" i="5"/>
  <c r="T27" i="5"/>
  <c r="S27" i="5"/>
  <c r="O27" i="5"/>
  <c r="N27" i="5"/>
  <c r="M27" i="5"/>
  <c r="L27" i="5"/>
  <c r="K27" i="5"/>
  <c r="H27" i="5"/>
  <c r="G27" i="5"/>
  <c r="F27" i="5"/>
  <c r="C27" i="5"/>
  <c r="J27" i="5" s="1"/>
  <c r="U26" i="5"/>
  <c r="T26" i="5"/>
  <c r="S26" i="5"/>
  <c r="R26" i="5"/>
  <c r="Q26" i="5"/>
  <c r="N26" i="5"/>
  <c r="M26" i="5"/>
  <c r="K26" i="5"/>
  <c r="J26" i="5"/>
  <c r="I26" i="5"/>
  <c r="H26" i="5"/>
  <c r="G26" i="5"/>
  <c r="F26" i="5"/>
  <c r="E26" i="5"/>
  <c r="D26" i="5"/>
  <c r="C26" i="5"/>
  <c r="L26" i="5" s="1"/>
  <c r="T25" i="5"/>
  <c r="R25" i="5"/>
  <c r="Q25" i="5"/>
  <c r="N25" i="5"/>
  <c r="M25" i="5"/>
  <c r="L25" i="5"/>
  <c r="K25" i="5"/>
  <c r="J25" i="5"/>
  <c r="G25" i="5"/>
  <c r="F25" i="5"/>
  <c r="E25" i="5"/>
  <c r="C25" i="5"/>
  <c r="S25" i="5" s="1"/>
  <c r="U24" i="5"/>
  <c r="T24" i="5"/>
  <c r="S24" i="5"/>
  <c r="R24" i="5"/>
  <c r="Q24" i="5"/>
  <c r="P24" i="5"/>
  <c r="N24" i="5"/>
  <c r="M24" i="5"/>
  <c r="L24" i="5"/>
  <c r="K24" i="5"/>
  <c r="J24" i="5"/>
  <c r="I24" i="5"/>
  <c r="H24" i="5"/>
  <c r="G24" i="5"/>
  <c r="F24" i="5"/>
  <c r="E24" i="5"/>
  <c r="D24" i="5"/>
  <c r="C24" i="5"/>
  <c r="O24" i="5" s="1"/>
  <c r="T23" i="5"/>
  <c r="S23" i="5"/>
  <c r="P23" i="5"/>
  <c r="N23" i="5"/>
  <c r="M23" i="5"/>
  <c r="L23" i="5"/>
  <c r="H23" i="5"/>
  <c r="G23" i="5"/>
  <c r="D23" i="5"/>
  <c r="C23" i="5"/>
  <c r="R23" i="5" s="1"/>
  <c r="C22" i="5"/>
  <c r="C21" i="5"/>
  <c r="G14" i="5"/>
  <c r="C13" i="5"/>
  <c r="G13" i="5" s="1"/>
  <c r="G12" i="5"/>
  <c r="C8" i="5"/>
  <c r="C7" i="5"/>
  <c r="C5" i="5"/>
  <c r="C2" i="5"/>
  <c r="D18" i="3"/>
  <c r="Y17" i="1" s="1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6" i="2"/>
  <c r="F6" i="2" s="1"/>
  <c r="D5" i="2"/>
  <c r="F5" i="2" s="1"/>
  <c r="L60" i="1"/>
  <c r="K60" i="1"/>
  <c r="J60" i="1"/>
  <c r="I60" i="1"/>
  <c r="D60" i="1"/>
  <c r="X59" i="1"/>
  <c r="V59" i="1"/>
  <c r="M59" i="1"/>
  <c r="N59" i="1" s="1"/>
  <c r="T59" i="1" s="1"/>
  <c r="H59" i="1"/>
  <c r="G59" i="1"/>
  <c r="F59" i="1"/>
  <c r="E59" i="1"/>
  <c r="X58" i="1"/>
  <c r="V58" i="1"/>
  <c r="M58" i="1"/>
  <c r="H58" i="1"/>
  <c r="G58" i="1"/>
  <c r="F58" i="1"/>
  <c r="E58" i="1"/>
  <c r="X57" i="1"/>
  <c r="V57" i="1"/>
  <c r="M57" i="1"/>
  <c r="H57" i="1"/>
  <c r="G57" i="1"/>
  <c r="F57" i="1"/>
  <c r="E57" i="1"/>
  <c r="X56" i="1"/>
  <c r="V56" i="1"/>
  <c r="M56" i="1"/>
  <c r="H56" i="1"/>
  <c r="G56" i="1"/>
  <c r="F56" i="1"/>
  <c r="E56" i="1"/>
  <c r="X55" i="1"/>
  <c r="V55" i="1"/>
  <c r="M55" i="1"/>
  <c r="H55" i="1"/>
  <c r="G55" i="1"/>
  <c r="F55" i="1"/>
  <c r="E55" i="1"/>
  <c r="X54" i="1"/>
  <c r="V54" i="1"/>
  <c r="M54" i="1"/>
  <c r="H54" i="1"/>
  <c r="G54" i="1"/>
  <c r="F54" i="1"/>
  <c r="E54" i="1"/>
  <c r="X53" i="1"/>
  <c r="V53" i="1"/>
  <c r="M53" i="1"/>
  <c r="H53" i="1"/>
  <c r="G53" i="1"/>
  <c r="F53" i="1"/>
  <c r="E53" i="1"/>
  <c r="X52" i="1"/>
  <c r="V52" i="1"/>
  <c r="M52" i="1"/>
  <c r="H52" i="1"/>
  <c r="G52" i="1"/>
  <c r="F52" i="1"/>
  <c r="E52" i="1"/>
  <c r="X51" i="1"/>
  <c r="V51" i="1"/>
  <c r="M51" i="1"/>
  <c r="H51" i="1"/>
  <c r="G51" i="1"/>
  <c r="F51" i="1"/>
  <c r="E51" i="1"/>
  <c r="X50" i="1"/>
  <c r="V50" i="1"/>
  <c r="M50" i="1"/>
  <c r="H50" i="1"/>
  <c r="G50" i="1"/>
  <c r="F50" i="1"/>
  <c r="E50" i="1"/>
  <c r="X49" i="1"/>
  <c r="V49" i="1"/>
  <c r="M49" i="1"/>
  <c r="H49" i="1"/>
  <c r="G49" i="1"/>
  <c r="F49" i="1"/>
  <c r="E49" i="1"/>
  <c r="X48" i="1"/>
  <c r="V48" i="1"/>
  <c r="M48" i="1"/>
  <c r="H48" i="1"/>
  <c r="G48" i="1"/>
  <c r="F48" i="1"/>
  <c r="E48" i="1"/>
  <c r="X47" i="1"/>
  <c r="V47" i="1"/>
  <c r="M47" i="1"/>
  <c r="H47" i="1"/>
  <c r="G47" i="1"/>
  <c r="F47" i="1"/>
  <c r="E47" i="1"/>
  <c r="X46" i="1"/>
  <c r="V46" i="1"/>
  <c r="M46" i="1"/>
  <c r="H46" i="1"/>
  <c r="G46" i="1"/>
  <c r="F46" i="1"/>
  <c r="E46" i="1"/>
  <c r="X45" i="1"/>
  <c r="V45" i="1"/>
  <c r="M45" i="1"/>
  <c r="H45" i="1"/>
  <c r="G45" i="1"/>
  <c r="F45" i="1"/>
  <c r="E45" i="1"/>
  <c r="X44" i="1"/>
  <c r="V44" i="1"/>
  <c r="M44" i="1"/>
  <c r="H44" i="1"/>
  <c r="G44" i="1"/>
  <c r="F44" i="1"/>
  <c r="E44" i="1"/>
  <c r="X43" i="1"/>
  <c r="V43" i="1"/>
  <c r="M43" i="1"/>
  <c r="H43" i="1"/>
  <c r="G43" i="1"/>
  <c r="F43" i="1"/>
  <c r="E43" i="1"/>
  <c r="X42" i="1"/>
  <c r="V42" i="1"/>
  <c r="M42" i="1"/>
  <c r="H42" i="1"/>
  <c r="G42" i="1"/>
  <c r="F42" i="1"/>
  <c r="E42" i="1"/>
  <c r="X41" i="1"/>
  <c r="V41" i="1"/>
  <c r="M41" i="1"/>
  <c r="H41" i="1"/>
  <c r="G41" i="1"/>
  <c r="F41" i="1"/>
  <c r="E41" i="1"/>
  <c r="X40" i="1"/>
  <c r="V40" i="1"/>
  <c r="M40" i="1"/>
  <c r="H40" i="1"/>
  <c r="G40" i="1"/>
  <c r="F40" i="1"/>
  <c r="E40" i="1"/>
  <c r="X39" i="1"/>
  <c r="V39" i="1"/>
  <c r="M39" i="1"/>
  <c r="H39" i="1"/>
  <c r="G39" i="1"/>
  <c r="F39" i="1"/>
  <c r="E39" i="1"/>
  <c r="X38" i="1"/>
  <c r="V38" i="1"/>
  <c r="M38" i="1"/>
  <c r="H38" i="1"/>
  <c r="G38" i="1"/>
  <c r="F38" i="1"/>
  <c r="E38" i="1"/>
  <c r="X37" i="1"/>
  <c r="V37" i="1"/>
  <c r="M37" i="1"/>
  <c r="H37" i="1"/>
  <c r="G37" i="1"/>
  <c r="F37" i="1"/>
  <c r="E37" i="1"/>
  <c r="X36" i="1"/>
  <c r="V36" i="1"/>
  <c r="M36" i="1"/>
  <c r="H36" i="1"/>
  <c r="G36" i="1"/>
  <c r="F36" i="1"/>
  <c r="E36" i="1"/>
  <c r="X35" i="1"/>
  <c r="V35" i="1"/>
  <c r="M35" i="1"/>
  <c r="H35" i="1"/>
  <c r="G35" i="1"/>
  <c r="F35" i="1"/>
  <c r="E35" i="1"/>
  <c r="X34" i="1"/>
  <c r="V34" i="1"/>
  <c r="M34" i="1"/>
  <c r="H34" i="1"/>
  <c r="G34" i="1"/>
  <c r="F34" i="1"/>
  <c r="E34" i="1"/>
  <c r="X33" i="1"/>
  <c r="V33" i="1"/>
  <c r="M33" i="1"/>
  <c r="H33" i="1"/>
  <c r="G33" i="1"/>
  <c r="F33" i="1"/>
  <c r="E33" i="1"/>
  <c r="X32" i="1"/>
  <c r="V32" i="1"/>
  <c r="M32" i="1"/>
  <c r="H32" i="1"/>
  <c r="G32" i="1"/>
  <c r="F32" i="1"/>
  <c r="E32" i="1"/>
  <c r="X31" i="1"/>
  <c r="V31" i="1"/>
  <c r="M31" i="1"/>
  <c r="N48" i="1" s="1"/>
  <c r="H31" i="1"/>
  <c r="G31" i="1"/>
  <c r="F31" i="1"/>
  <c r="E31" i="1"/>
  <c r="X30" i="1"/>
  <c r="M30" i="1"/>
  <c r="H30" i="1"/>
  <c r="G30" i="1"/>
  <c r="F30" i="1"/>
  <c r="E30" i="1"/>
  <c r="D17" i="1"/>
  <c r="R16" i="1"/>
  <c r="Y11" i="1"/>
  <c r="K10" i="1"/>
  <c r="G25" i="7"/>
  <c r="F24" i="7"/>
  <c r="H24" i="7" s="1"/>
  <c r="E24" i="7"/>
  <c r="D24" i="7"/>
  <c r="C24" i="7"/>
  <c r="B24" i="7"/>
  <c r="F23" i="7"/>
  <c r="E23" i="7"/>
  <c r="D23" i="7"/>
  <c r="C23" i="7"/>
  <c r="H23" i="7" s="1"/>
  <c r="B23" i="7"/>
  <c r="H22" i="7"/>
  <c r="F22" i="7"/>
  <c r="E22" i="7"/>
  <c r="D22" i="7"/>
  <c r="C22" i="7"/>
  <c r="B22" i="7"/>
  <c r="F21" i="7"/>
  <c r="F25" i="7" s="1"/>
  <c r="E11" i="7" s="1"/>
  <c r="E21" i="7"/>
  <c r="E25" i="7" s="1"/>
  <c r="E9" i="7" s="1"/>
  <c r="D21" i="7"/>
  <c r="D25" i="7" s="1"/>
  <c r="E8" i="7" s="1"/>
  <c r="C21" i="7"/>
  <c r="H21" i="7" s="1"/>
  <c r="B21" i="7"/>
  <c r="H17" i="7"/>
  <c r="F17" i="7"/>
  <c r="E17" i="7"/>
  <c r="D17" i="7"/>
  <c r="C17" i="7"/>
  <c r="B17" i="7"/>
  <c r="E12" i="7"/>
  <c r="C12" i="7"/>
  <c r="C9" i="7"/>
  <c r="C8" i="7"/>
  <c r="C7" i="7"/>
  <c r="N34" i="1" l="1"/>
  <c r="N46" i="1"/>
  <c r="P46" i="1" s="1"/>
  <c r="N39" i="1"/>
  <c r="P39" i="1" s="1"/>
  <c r="N51" i="1"/>
  <c r="N53" i="1"/>
  <c r="T53" i="1" s="1"/>
  <c r="G5" i="7"/>
  <c r="I17" i="7"/>
  <c r="C11" i="7" s="1"/>
  <c r="X60" i="1"/>
  <c r="T51" i="1"/>
  <c r="P51" i="1"/>
  <c r="O51" i="1"/>
  <c r="T39" i="1"/>
  <c r="T46" i="1"/>
  <c r="O46" i="1"/>
  <c r="P34" i="1"/>
  <c r="T34" i="1"/>
  <c r="O34" i="1"/>
  <c r="T48" i="1"/>
  <c r="O48" i="1"/>
  <c r="P48" i="1"/>
  <c r="H25" i="7"/>
  <c r="I23" i="7" s="1"/>
  <c r="G31" i="7" s="1"/>
  <c r="N44" i="1"/>
  <c r="C25" i="7"/>
  <c r="E7" i="7" s="1"/>
  <c r="E13" i="7" s="1"/>
  <c r="H5" i="3"/>
  <c r="N32" i="1"/>
  <c r="N57" i="1"/>
  <c r="N58" i="1"/>
  <c r="N54" i="1"/>
  <c r="N33" i="1"/>
  <c r="N35" i="1"/>
  <c r="N41" i="1"/>
  <c r="N43" i="1"/>
  <c r="N45" i="1"/>
  <c r="N47" i="1"/>
  <c r="N36" i="1"/>
  <c r="N56" i="1"/>
  <c r="P59" i="1"/>
  <c r="O59" i="1"/>
  <c r="E60" i="1"/>
  <c r="N55" i="1"/>
  <c r="F60" i="1"/>
  <c r="N31" i="1"/>
  <c r="N42" i="1"/>
  <c r="N30" i="1"/>
  <c r="M60" i="1"/>
  <c r="G60" i="1"/>
  <c r="N38" i="1"/>
  <c r="N40" i="1"/>
  <c r="N50" i="1"/>
  <c r="N52" i="1"/>
  <c r="M22" i="5"/>
  <c r="L22" i="5"/>
  <c r="J22" i="5"/>
  <c r="U22" i="5"/>
  <c r="I22" i="5"/>
  <c r="R22" i="5"/>
  <c r="F22" i="5"/>
  <c r="Q22" i="5"/>
  <c r="E22" i="5"/>
  <c r="P22" i="5"/>
  <c r="D22" i="5"/>
  <c r="T22" i="5"/>
  <c r="S22" i="5"/>
  <c r="O22" i="5"/>
  <c r="N22" i="5"/>
  <c r="K22" i="5"/>
  <c r="K12" i="1"/>
  <c r="G22" i="5"/>
  <c r="N37" i="1"/>
  <c r="N49" i="1"/>
  <c r="H22" i="5"/>
  <c r="G21" i="5"/>
  <c r="E21" i="5"/>
  <c r="D21" i="5"/>
  <c r="G5" i="5"/>
  <c r="F21" i="5"/>
  <c r="K45" i="5"/>
  <c r="J45" i="5"/>
  <c r="U45" i="5"/>
  <c r="T45" i="5"/>
  <c r="H45" i="5"/>
  <c r="Q45" i="5"/>
  <c r="P45" i="5"/>
  <c r="O45" i="5"/>
  <c r="N45" i="5"/>
  <c r="M45" i="5"/>
  <c r="L45" i="5"/>
  <c r="I45" i="5"/>
  <c r="G45" i="5"/>
  <c r="F45" i="5"/>
  <c r="E45" i="5"/>
  <c r="D45" i="5"/>
  <c r="R45" i="5"/>
  <c r="P34" i="5"/>
  <c r="D34" i="5"/>
  <c r="N34" i="5"/>
  <c r="M34" i="5"/>
  <c r="L34" i="5"/>
  <c r="K34" i="5"/>
  <c r="J34" i="5"/>
  <c r="I34" i="5"/>
  <c r="U34" i="5"/>
  <c r="H34" i="5"/>
  <c r="T34" i="5"/>
  <c r="G34" i="5"/>
  <c r="S34" i="5"/>
  <c r="F34" i="5"/>
  <c r="R34" i="5"/>
  <c r="E34" i="5"/>
  <c r="S45" i="5"/>
  <c r="H5" i="11"/>
  <c r="I23" i="5"/>
  <c r="U23" i="5"/>
  <c r="I31" i="5"/>
  <c r="R32" i="5"/>
  <c r="F32" i="5"/>
  <c r="P32" i="5"/>
  <c r="J33" i="5"/>
  <c r="L35" i="5"/>
  <c r="M37" i="5"/>
  <c r="H38" i="5"/>
  <c r="Q39" i="5"/>
  <c r="E39" i="5"/>
  <c r="P39" i="5"/>
  <c r="D39" i="5"/>
  <c r="S39" i="5"/>
  <c r="N40" i="5"/>
  <c r="N43" i="5"/>
  <c r="O47" i="5"/>
  <c r="P48" i="5"/>
  <c r="M49" i="5"/>
  <c r="N50" i="5"/>
  <c r="J23" i="5"/>
  <c r="H25" i="5"/>
  <c r="U25" i="5"/>
  <c r="O26" i="5"/>
  <c r="I27" i="5"/>
  <c r="P28" i="5"/>
  <c r="T30" i="5"/>
  <c r="H30" i="5"/>
  <c r="P30" i="5"/>
  <c r="J31" i="5"/>
  <c r="D32" i="5"/>
  <c r="Q32" i="5"/>
  <c r="L33" i="5"/>
  <c r="M35" i="5"/>
  <c r="G36" i="5"/>
  <c r="T36" i="5"/>
  <c r="N37" i="5"/>
  <c r="I38" i="5"/>
  <c r="F39" i="5"/>
  <c r="T39" i="5"/>
  <c r="O40" i="5"/>
  <c r="T42" i="5"/>
  <c r="H42" i="5"/>
  <c r="S42" i="5"/>
  <c r="G42" i="5"/>
  <c r="Q42" i="5"/>
  <c r="O43" i="5"/>
  <c r="P47" i="5"/>
  <c r="Q48" i="5"/>
  <c r="N49" i="5"/>
  <c r="O50" i="5"/>
  <c r="K23" i="5"/>
  <c r="I25" i="5"/>
  <c r="P26" i="5"/>
  <c r="K31" i="5"/>
  <c r="E32" i="5"/>
  <c r="S32" i="5"/>
  <c r="M33" i="5"/>
  <c r="H36" i="5"/>
  <c r="U36" i="5"/>
  <c r="J38" i="5"/>
  <c r="G39" i="5"/>
  <c r="U39" i="5"/>
  <c r="S37" i="5"/>
  <c r="G37" i="5"/>
  <c r="R37" i="5"/>
  <c r="P37" i="5"/>
  <c r="M38" i="5"/>
  <c r="J40" i="5"/>
  <c r="U40" i="5"/>
  <c r="I40" i="5"/>
  <c r="Q40" i="5"/>
  <c r="N48" i="5"/>
  <c r="M48" i="5"/>
  <c r="L48" i="5"/>
  <c r="K48" i="5"/>
  <c r="S48" i="5"/>
  <c r="U35" i="5"/>
  <c r="I35" i="5"/>
  <c r="P35" i="5"/>
  <c r="D37" i="5"/>
  <c r="Q37" i="5"/>
  <c r="N38" i="5"/>
  <c r="D40" i="5"/>
  <c r="R40" i="5"/>
  <c r="M43" i="5"/>
  <c r="L43" i="5"/>
  <c r="J43" i="5"/>
  <c r="R43" i="5"/>
  <c r="U47" i="5"/>
  <c r="I47" i="5"/>
  <c r="T47" i="5"/>
  <c r="H47" i="5"/>
  <c r="S47" i="5"/>
  <c r="G47" i="5"/>
  <c r="R47" i="5"/>
  <c r="F47" i="5"/>
  <c r="D48" i="5"/>
  <c r="T48" i="5"/>
  <c r="P33" i="5"/>
  <c r="D35" i="5"/>
  <c r="Q35" i="5"/>
  <c r="E37" i="5"/>
  <c r="T37" i="5"/>
  <c r="O38" i="5"/>
  <c r="E40" i="5"/>
  <c r="S40" i="5"/>
  <c r="D43" i="5"/>
  <c r="S43" i="5"/>
  <c r="D47" i="5"/>
  <c r="E48" i="5"/>
  <c r="U48" i="5"/>
  <c r="L50" i="5"/>
  <c r="K50" i="5"/>
  <c r="J50" i="5"/>
  <c r="U50" i="5"/>
  <c r="I50" i="5"/>
  <c r="S50" i="5"/>
  <c r="O23" i="5"/>
  <c r="P31" i="5"/>
  <c r="J32" i="5"/>
  <c r="D33" i="5"/>
  <c r="Q33" i="5"/>
  <c r="E35" i="5"/>
  <c r="R35" i="5"/>
  <c r="F37" i="5"/>
  <c r="U37" i="5"/>
  <c r="F40" i="5"/>
  <c r="T40" i="5"/>
  <c r="E43" i="5"/>
  <c r="T43" i="5"/>
  <c r="E47" i="5"/>
  <c r="F48" i="5"/>
  <c r="S49" i="5"/>
  <c r="G49" i="5"/>
  <c r="R49" i="5"/>
  <c r="F49" i="5"/>
  <c r="Q49" i="5"/>
  <c r="E49" i="5"/>
  <c r="P49" i="5"/>
  <c r="D49" i="5"/>
  <c r="D50" i="5"/>
  <c r="T50" i="5"/>
  <c r="H37" i="5"/>
  <c r="L38" i="5"/>
  <c r="K38" i="5"/>
  <c r="Q38" i="5"/>
  <c r="G40" i="5"/>
  <c r="G48" i="5"/>
  <c r="E23" i="5"/>
  <c r="Q23" i="5"/>
  <c r="O25" i="5"/>
  <c r="Q27" i="5"/>
  <c r="E27" i="5"/>
  <c r="P27" i="5"/>
  <c r="E31" i="5"/>
  <c r="R31" i="5"/>
  <c r="L32" i="5"/>
  <c r="F33" i="5"/>
  <c r="S33" i="5"/>
  <c r="G35" i="5"/>
  <c r="T35" i="5"/>
  <c r="I37" i="5"/>
  <c r="D38" i="5"/>
  <c r="R38" i="5"/>
  <c r="M39" i="5"/>
  <c r="H40" i="5"/>
  <c r="G43" i="5"/>
  <c r="K47" i="5"/>
  <c r="H48" i="5"/>
  <c r="I49" i="5"/>
  <c r="F50" i="5"/>
  <c r="F23" i="5"/>
  <c r="D25" i="5"/>
  <c r="P25" i="5"/>
  <c r="D27" i="5"/>
  <c r="R27" i="5"/>
  <c r="F31" i="5"/>
  <c r="S31" i="5"/>
  <c r="M32" i="5"/>
  <c r="G33" i="5"/>
  <c r="T33" i="5"/>
  <c r="H35" i="5"/>
  <c r="P36" i="5"/>
  <c r="J37" i="5"/>
  <c r="E38" i="5"/>
  <c r="S38" i="5"/>
  <c r="N39" i="5"/>
  <c r="K40" i="5"/>
  <c r="H43" i="5"/>
  <c r="L47" i="5"/>
  <c r="I48" i="5"/>
  <c r="J49" i="5"/>
  <c r="G50" i="5"/>
  <c r="O44" i="5"/>
  <c r="E44" i="5"/>
  <c r="Q44" i="5"/>
  <c r="O46" i="5"/>
  <c r="F44" i="5"/>
  <c r="D46" i="5"/>
  <c r="G5" i="12"/>
  <c r="M5" i="12"/>
  <c r="K5" i="12"/>
  <c r="L5" i="12" s="1"/>
  <c r="I5" i="12"/>
  <c r="H6" i="12" s="1"/>
  <c r="H21" i="5" l="1"/>
  <c r="I21" i="7"/>
  <c r="P53" i="1"/>
  <c r="O53" i="1"/>
  <c r="I24" i="7"/>
  <c r="F32" i="7" s="1"/>
  <c r="O39" i="1"/>
  <c r="I22" i="7"/>
  <c r="G30" i="7" s="1"/>
  <c r="N5" i="12"/>
  <c r="G38" i="7"/>
  <c r="C38" i="7"/>
  <c r="C30" i="7"/>
  <c r="D51" i="5"/>
  <c r="E7" i="5" s="1"/>
  <c r="T58" i="1"/>
  <c r="O58" i="1"/>
  <c r="P58" i="1"/>
  <c r="C39" i="7"/>
  <c r="C31" i="7"/>
  <c r="F39" i="7"/>
  <c r="C40" i="7"/>
  <c r="C32" i="7"/>
  <c r="D40" i="7"/>
  <c r="D32" i="7"/>
  <c r="C11" i="5"/>
  <c r="R59" i="1"/>
  <c r="R47" i="1"/>
  <c r="R35" i="1"/>
  <c r="R54" i="1"/>
  <c r="R49" i="1"/>
  <c r="R37" i="1"/>
  <c r="R56" i="1"/>
  <c r="R51" i="1"/>
  <c r="R39" i="1"/>
  <c r="R58" i="1"/>
  <c r="R46" i="1"/>
  <c r="R34" i="1"/>
  <c r="R53" i="1"/>
  <c r="R41" i="1"/>
  <c r="R48" i="1"/>
  <c r="R36" i="1"/>
  <c r="R55" i="1"/>
  <c r="R44" i="1"/>
  <c r="R57" i="1"/>
  <c r="R30" i="1"/>
  <c r="R52" i="1"/>
  <c r="R42" i="1"/>
  <c r="R38" i="1"/>
  <c r="R32" i="1"/>
  <c r="R43" i="1"/>
  <c r="R31" i="1"/>
  <c r="R50" i="1"/>
  <c r="R40" i="1"/>
  <c r="R45" i="1"/>
  <c r="R33" i="1"/>
  <c r="G32" i="7"/>
  <c r="O30" i="1"/>
  <c r="T30" i="1"/>
  <c r="P30" i="1"/>
  <c r="T56" i="1"/>
  <c r="P56" i="1"/>
  <c r="O56" i="1"/>
  <c r="P57" i="1"/>
  <c r="O57" i="1"/>
  <c r="T57" i="1"/>
  <c r="P44" i="1"/>
  <c r="O44" i="1"/>
  <c r="T44" i="1"/>
  <c r="M5" i="3"/>
  <c r="K5" i="3"/>
  <c r="L5" i="3" s="1"/>
  <c r="N5" i="3" s="1"/>
  <c r="I5" i="3"/>
  <c r="H6" i="3" s="1"/>
  <c r="G5" i="3"/>
  <c r="E51" i="5"/>
  <c r="E8" i="5" s="1"/>
  <c r="G8" i="5" s="1"/>
  <c r="O42" i="1"/>
  <c r="P42" i="1"/>
  <c r="T42" i="1"/>
  <c r="C37" i="7"/>
  <c r="G29" i="7"/>
  <c r="C29" i="7"/>
  <c r="I25" i="7"/>
  <c r="D37" i="7"/>
  <c r="M5" i="11"/>
  <c r="K5" i="11"/>
  <c r="I5" i="11"/>
  <c r="H6" i="11" s="1"/>
  <c r="G5" i="11"/>
  <c r="L5" i="11"/>
  <c r="N5" i="11" s="1"/>
  <c r="G39" i="7"/>
  <c r="T31" i="1"/>
  <c r="O31" i="1"/>
  <c r="P31" i="1"/>
  <c r="T36" i="1"/>
  <c r="O36" i="1"/>
  <c r="P36" i="1"/>
  <c r="H8" i="6"/>
  <c r="M6" i="12"/>
  <c r="K6" i="12"/>
  <c r="L6" i="12" s="1"/>
  <c r="N6" i="12" s="1"/>
  <c r="I6" i="12"/>
  <c r="H7" i="12" s="1"/>
  <c r="G6" i="12"/>
  <c r="G51" i="5"/>
  <c r="E10" i="5" s="1"/>
  <c r="P47" i="1"/>
  <c r="O47" i="1"/>
  <c r="T47" i="1"/>
  <c r="F51" i="5"/>
  <c r="E9" i="5" s="1"/>
  <c r="P45" i="1"/>
  <c r="T45" i="1"/>
  <c r="O45" i="1"/>
  <c r="P32" i="1"/>
  <c r="O32" i="1"/>
  <c r="T32" i="1"/>
  <c r="P54" i="1"/>
  <c r="O54" i="1"/>
  <c r="T54" i="1"/>
  <c r="T37" i="1"/>
  <c r="P37" i="1"/>
  <c r="O37" i="1"/>
  <c r="H51" i="5"/>
  <c r="I21" i="5" s="1"/>
  <c r="T49" i="1"/>
  <c r="P49" i="1"/>
  <c r="O49" i="1"/>
  <c r="E5" i="2"/>
  <c r="O50" i="1"/>
  <c r="T50" i="1"/>
  <c r="P50" i="1"/>
  <c r="T55" i="1"/>
  <c r="P55" i="1"/>
  <c r="O55" i="1"/>
  <c r="T41" i="1"/>
  <c r="P41" i="1"/>
  <c r="O41" i="1"/>
  <c r="F38" i="7"/>
  <c r="J5" i="12"/>
  <c r="P52" i="1"/>
  <c r="O52" i="1"/>
  <c r="T52" i="1"/>
  <c r="O40" i="1"/>
  <c r="P40" i="1"/>
  <c r="T40" i="1"/>
  <c r="D39" i="7"/>
  <c r="P35" i="1"/>
  <c r="T35" i="1"/>
  <c r="O35" i="1"/>
  <c r="E6" i="2"/>
  <c r="F31" i="7"/>
  <c r="T43" i="1"/>
  <c r="P43" i="1"/>
  <c r="O43" i="1"/>
  <c r="O38" i="1"/>
  <c r="T38" i="1"/>
  <c r="P38" i="1"/>
  <c r="D29" i="7"/>
  <c r="D31" i="7"/>
  <c r="P33" i="1"/>
  <c r="T33" i="1"/>
  <c r="O33" i="1"/>
  <c r="F30" i="7"/>
  <c r="D30" i="7" l="1"/>
  <c r="D38" i="7"/>
  <c r="G37" i="7"/>
  <c r="F37" i="7"/>
  <c r="F29" i="7"/>
  <c r="F33" i="7"/>
  <c r="F40" i="7"/>
  <c r="G40" i="7"/>
  <c r="G41" i="7"/>
  <c r="G12" i="7" s="1"/>
  <c r="G33" i="7"/>
  <c r="F41" i="7"/>
  <c r="G11" i="7" s="1"/>
  <c r="J5" i="3"/>
  <c r="O5" i="3" s="1"/>
  <c r="I51" i="5"/>
  <c r="K21" i="5"/>
  <c r="K51" i="5" s="1"/>
  <c r="T21" i="5"/>
  <c r="T51" i="5" s="1"/>
  <c r="N21" i="5"/>
  <c r="N51" i="5" s="1"/>
  <c r="J21" i="5"/>
  <c r="M6" i="3"/>
  <c r="K6" i="3"/>
  <c r="L6" i="3" s="1"/>
  <c r="N6" i="3" s="1"/>
  <c r="I6" i="3"/>
  <c r="H7" i="3" s="1"/>
  <c r="G6" i="3"/>
  <c r="C33" i="7"/>
  <c r="G11" i="5"/>
  <c r="C10" i="5"/>
  <c r="C41" i="7"/>
  <c r="G7" i="7" s="1"/>
  <c r="E15" i="5"/>
  <c r="G7" i="5"/>
  <c r="P60" i="1"/>
  <c r="J5" i="11"/>
  <c r="T60" i="1"/>
  <c r="O60" i="1"/>
  <c r="R60" i="1"/>
  <c r="Q21" i="5"/>
  <c r="Q51" i="5" s="1"/>
  <c r="M6" i="11"/>
  <c r="L6" i="11"/>
  <c r="N6" i="11" s="1"/>
  <c r="K6" i="11"/>
  <c r="I6" i="11"/>
  <c r="H7" i="11" s="1"/>
  <c r="G6" i="11"/>
  <c r="D33" i="7"/>
  <c r="M7" i="12"/>
  <c r="K7" i="12"/>
  <c r="L7" i="12" s="1"/>
  <c r="N7" i="12" s="1"/>
  <c r="I7" i="12"/>
  <c r="H8" i="12" s="1"/>
  <c r="G7" i="12"/>
  <c r="O5" i="12"/>
  <c r="J6" i="12"/>
  <c r="O6" i="12" s="1"/>
  <c r="D41" i="7"/>
  <c r="G8" i="7" s="1"/>
  <c r="P5" i="3" l="1"/>
  <c r="J6" i="3"/>
  <c r="O6" i="3" s="1"/>
  <c r="M8" i="12"/>
  <c r="K8" i="12"/>
  <c r="L8" i="12" s="1"/>
  <c r="I8" i="12"/>
  <c r="H9" i="12" s="1"/>
  <c r="G8" i="12"/>
  <c r="O5" i="11"/>
  <c r="P5" i="12"/>
  <c r="P6" i="12"/>
  <c r="J51" i="5"/>
  <c r="P21" i="5"/>
  <c r="J7" i="12"/>
  <c r="G7" i="11"/>
  <c r="M7" i="11"/>
  <c r="K7" i="11"/>
  <c r="L7" i="11" s="1"/>
  <c r="N7" i="11" s="1"/>
  <c r="I7" i="11"/>
  <c r="H8" i="11" s="1"/>
  <c r="J6" i="11"/>
  <c r="O6" i="11" s="1"/>
  <c r="M7" i="3"/>
  <c r="K7" i="3"/>
  <c r="L7" i="3" s="1"/>
  <c r="N7" i="3" s="1"/>
  <c r="I7" i="3"/>
  <c r="H8" i="3" s="1"/>
  <c r="G7" i="3"/>
  <c r="G10" i="5"/>
  <c r="S21" i="5" s="1"/>
  <c r="S51" i="5" s="1"/>
  <c r="M21" i="5"/>
  <c r="M51" i="5" s="1"/>
  <c r="N8" i="12" l="1"/>
  <c r="P6" i="3"/>
  <c r="J7" i="3"/>
  <c r="O7" i="3" s="1"/>
  <c r="M8" i="3"/>
  <c r="K8" i="3"/>
  <c r="L8" i="3" s="1"/>
  <c r="N8" i="3" s="1"/>
  <c r="I8" i="3"/>
  <c r="H9" i="3" s="1"/>
  <c r="G8" i="3"/>
  <c r="G8" i="11"/>
  <c r="K8" i="11"/>
  <c r="L8" i="11" s="1"/>
  <c r="I8" i="11"/>
  <c r="H9" i="11" s="1"/>
  <c r="M8" i="11"/>
  <c r="M9" i="12"/>
  <c r="I9" i="12"/>
  <c r="H10" i="12" s="1"/>
  <c r="G9" i="12"/>
  <c r="K9" i="12"/>
  <c r="L9" i="12" s="1"/>
  <c r="J8" i="12"/>
  <c r="O7" i="12"/>
  <c r="P5" i="11"/>
  <c r="P6" i="11"/>
  <c r="J7" i="11"/>
  <c r="O7" i="11" s="1"/>
  <c r="P51" i="5"/>
  <c r="O8" i="3" l="1"/>
  <c r="P8" i="3" s="1"/>
  <c r="J8" i="3"/>
  <c r="O8" i="12"/>
  <c r="N9" i="12"/>
  <c r="N8" i="11"/>
  <c r="P7" i="3"/>
  <c r="P7" i="11"/>
  <c r="M9" i="3"/>
  <c r="K9" i="3"/>
  <c r="L9" i="3" s="1"/>
  <c r="N9" i="3" s="1"/>
  <c r="I9" i="3"/>
  <c r="H10" i="3" s="1"/>
  <c r="G9" i="3"/>
  <c r="J9" i="12"/>
  <c r="O9" i="12" s="1"/>
  <c r="J8" i="11"/>
  <c r="O8" i="11" s="1"/>
  <c r="G9" i="11"/>
  <c r="M9" i="11"/>
  <c r="K9" i="11"/>
  <c r="L9" i="11" s="1"/>
  <c r="N9" i="11" s="1"/>
  <c r="I9" i="11"/>
  <c r="H10" i="11" s="1"/>
  <c r="P7" i="12"/>
  <c r="P8" i="12"/>
  <c r="G10" i="12"/>
  <c r="M10" i="12"/>
  <c r="K10" i="12"/>
  <c r="L10" i="12" s="1"/>
  <c r="N10" i="12" s="1"/>
  <c r="I10" i="12"/>
  <c r="H11" i="12" s="1"/>
  <c r="J9" i="3" l="1"/>
  <c r="O9" i="3" s="1"/>
  <c r="P8" i="11"/>
  <c r="P9" i="12"/>
  <c r="I10" i="11"/>
  <c r="H11" i="11" s="1"/>
  <c r="G10" i="11"/>
  <c r="M10" i="11"/>
  <c r="K10" i="11"/>
  <c r="L10" i="11" s="1"/>
  <c r="N10" i="11" s="1"/>
  <c r="G10" i="3"/>
  <c r="M10" i="3"/>
  <c r="K10" i="3"/>
  <c r="L10" i="3" s="1"/>
  <c r="N10" i="3" s="1"/>
  <c r="I10" i="3"/>
  <c r="H11" i="3" s="1"/>
  <c r="G11" i="12"/>
  <c r="K11" i="12"/>
  <c r="M11" i="12"/>
  <c r="L11" i="12"/>
  <c r="N11" i="12" s="1"/>
  <c r="I11" i="12"/>
  <c r="H12" i="12" s="1"/>
  <c r="J10" i="12"/>
  <c r="O10" i="12" s="1"/>
  <c r="J9" i="11"/>
  <c r="J10" i="3" l="1"/>
  <c r="O10" i="3" s="1"/>
  <c r="P10" i="3" s="1"/>
  <c r="P9" i="3"/>
  <c r="P10" i="12"/>
  <c r="I11" i="11"/>
  <c r="H12" i="11" s="1"/>
  <c r="G11" i="11"/>
  <c r="M11" i="11"/>
  <c r="K11" i="11"/>
  <c r="L11" i="11" s="1"/>
  <c r="N11" i="11" s="1"/>
  <c r="J11" i="12"/>
  <c r="O11" i="12" s="1"/>
  <c r="P11" i="12" s="1"/>
  <c r="J10" i="11"/>
  <c r="O10" i="11" s="1"/>
  <c r="I12" i="12"/>
  <c r="H13" i="12" s="1"/>
  <c r="G12" i="12"/>
  <c r="M12" i="12"/>
  <c r="K12" i="12"/>
  <c r="L12" i="12" s="1"/>
  <c r="G11" i="3"/>
  <c r="M11" i="3"/>
  <c r="K11" i="3"/>
  <c r="L11" i="3" s="1"/>
  <c r="N11" i="3" s="1"/>
  <c r="I11" i="3"/>
  <c r="H12" i="3" s="1"/>
  <c r="O9" i="11"/>
  <c r="N12" i="12" l="1"/>
  <c r="J11" i="3"/>
  <c r="O11" i="3" s="1"/>
  <c r="P10" i="11"/>
  <c r="P9" i="11"/>
  <c r="I12" i="3"/>
  <c r="H13" i="3" s="1"/>
  <c r="G12" i="3"/>
  <c r="M12" i="3"/>
  <c r="K12" i="3"/>
  <c r="L12" i="3" s="1"/>
  <c r="N12" i="3" s="1"/>
  <c r="K12" i="11"/>
  <c r="I12" i="11"/>
  <c r="H13" i="11" s="1"/>
  <c r="M12" i="11"/>
  <c r="L12" i="11"/>
  <c r="N12" i="11" s="1"/>
  <c r="G12" i="11"/>
  <c r="J11" i="11"/>
  <c r="O11" i="11" s="1"/>
  <c r="I13" i="12"/>
  <c r="H14" i="12" s="1"/>
  <c r="G13" i="12"/>
  <c r="M13" i="12"/>
  <c r="K13" i="12"/>
  <c r="L13" i="12" s="1"/>
  <c r="N13" i="12" s="1"/>
  <c r="J12" i="12"/>
  <c r="O12" i="12" l="1"/>
  <c r="P12" i="12" s="1"/>
  <c r="P11" i="3"/>
  <c r="J12" i="3"/>
  <c r="O12" i="3" s="1"/>
  <c r="P11" i="11"/>
  <c r="I13" i="3"/>
  <c r="H14" i="3" s="1"/>
  <c r="G13" i="3"/>
  <c r="K13" i="3"/>
  <c r="L13" i="3" s="1"/>
  <c r="M13" i="3"/>
  <c r="K13" i="11"/>
  <c r="L13" i="11" s="1"/>
  <c r="N13" i="11" s="1"/>
  <c r="I13" i="11"/>
  <c r="H14" i="11" s="1"/>
  <c r="G13" i="11"/>
  <c r="M13" i="11"/>
  <c r="J12" i="11"/>
  <c r="O12" i="11" s="1"/>
  <c r="P12" i="11" s="1"/>
  <c r="K14" i="12"/>
  <c r="L14" i="12" s="1"/>
  <c r="I14" i="12"/>
  <c r="H15" i="12" s="1"/>
  <c r="G14" i="12"/>
  <c r="M14" i="12"/>
  <c r="J13" i="12"/>
  <c r="O13" i="12" s="1"/>
  <c r="N13" i="3" l="1"/>
  <c r="O13" i="3" s="1"/>
  <c r="P13" i="3" s="1"/>
  <c r="N14" i="12"/>
  <c r="P12" i="3"/>
  <c r="J13" i="3"/>
  <c r="P13" i="12"/>
  <c r="K14" i="3"/>
  <c r="L14" i="3" s="1"/>
  <c r="I14" i="3"/>
  <c r="H15" i="3" s="1"/>
  <c r="G14" i="3"/>
  <c r="M14" i="3"/>
  <c r="J13" i="11"/>
  <c r="O13" i="11" s="1"/>
  <c r="P13" i="11" s="1"/>
  <c r="M14" i="11"/>
  <c r="K14" i="11"/>
  <c r="L14" i="11" s="1"/>
  <c r="N14" i="11" s="1"/>
  <c r="I14" i="11"/>
  <c r="H15" i="11" s="1"/>
  <c r="G14" i="11"/>
  <c r="L15" i="12"/>
  <c r="K15" i="12"/>
  <c r="I15" i="12"/>
  <c r="H16" i="12" s="1"/>
  <c r="G15" i="12"/>
  <c r="M15" i="12"/>
  <c r="J14" i="12"/>
  <c r="O14" i="12" l="1"/>
  <c r="P14" i="12" s="1"/>
  <c r="N14" i="3"/>
  <c r="N15" i="12"/>
  <c r="J14" i="3"/>
  <c r="O14" i="3" s="1"/>
  <c r="M15" i="11"/>
  <c r="K15" i="11"/>
  <c r="L15" i="11" s="1"/>
  <c r="N15" i="11" s="1"/>
  <c r="I15" i="11"/>
  <c r="H16" i="11" s="1"/>
  <c r="G15" i="11"/>
  <c r="J14" i="11"/>
  <c r="O14" i="11" s="1"/>
  <c r="M16" i="12"/>
  <c r="K16" i="12"/>
  <c r="L16" i="12" s="1"/>
  <c r="I16" i="12"/>
  <c r="H17" i="12" s="1"/>
  <c r="G16" i="12"/>
  <c r="J15" i="12"/>
  <c r="K15" i="3"/>
  <c r="L15" i="3" s="1"/>
  <c r="I15" i="3"/>
  <c r="H16" i="3" s="1"/>
  <c r="G15" i="3"/>
  <c r="M15" i="3"/>
  <c r="O15" i="12" l="1"/>
  <c r="P15" i="12" s="1"/>
  <c r="N16" i="12"/>
  <c r="N15" i="3"/>
  <c r="P14" i="3"/>
  <c r="J15" i="3"/>
  <c r="O15" i="3" s="1"/>
  <c r="P14" i="11"/>
  <c r="J16" i="12"/>
  <c r="M16" i="11"/>
  <c r="I16" i="11"/>
  <c r="H17" i="11" s="1"/>
  <c r="G16" i="11"/>
  <c r="K16" i="11"/>
  <c r="L16" i="11" s="1"/>
  <c r="N16" i="11" s="1"/>
  <c r="J15" i="11"/>
  <c r="O15" i="11" s="1"/>
  <c r="M17" i="12"/>
  <c r="K17" i="12"/>
  <c r="L17" i="12" s="1"/>
  <c r="N17" i="12" s="1"/>
  <c r="I17" i="12"/>
  <c r="H18" i="12" s="1"/>
  <c r="G17" i="12"/>
  <c r="M16" i="3"/>
  <c r="K16" i="3"/>
  <c r="L16" i="3" s="1"/>
  <c r="N16" i="3" s="1"/>
  <c r="I16" i="3"/>
  <c r="H17" i="3" s="1"/>
  <c r="G16" i="3"/>
  <c r="O16" i="11" l="1"/>
  <c r="J16" i="11"/>
  <c r="O16" i="12"/>
  <c r="P15" i="3"/>
  <c r="J16" i="3"/>
  <c r="O16" i="3" s="1"/>
  <c r="P16" i="3" s="1"/>
  <c r="P16" i="11"/>
  <c r="P15" i="11"/>
  <c r="P16" i="12"/>
  <c r="M18" i="12"/>
  <c r="K18" i="12"/>
  <c r="L18" i="12" s="1"/>
  <c r="N18" i="12" s="1"/>
  <c r="I18" i="12"/>
  <c r="H19" i="12" s="1"/>
  <c r="G18" i="12"/>
  <c r="J17" i="12"/>
  <c r="O17" i="12" s="1"/>
  <c r="M17" i="3"/>
  <c r="K17" i="3"/>
  <c r="L17" i="3" s="1"/>
  <c r="N17" i="3" s="1"/>
  <c r="I17" i="3"/>
  <c r="H18" i="3" s="1"/>
  <c r="G17" i="3"/>
  <c r="M17" i="11"/>
  <c r="K17" i="11"/>
  <c r="L17" i="11" s="1"/>
  <c r="N17" i="11" s="1"/>
  <c r="I17" i="11"/>
  <c r="H18" i="11" s="1"/>
  <c r="G17" i="11"/>
  <c r="J17" i="3" l="1"/>
  <c r="O17" i="3" s="1"/>
  <c r="P17" i="3" s="1"/>
  <c r="P17" i="12"/>
  <c r="G18" i="11"/>
  <c r="M18" i="11"/>
  <c r="K18" i="11"/>
  <c r="L18" i="11" s="1"/>
  <c r="N18" i="11" s="1"/>
  <c r="I18" i="11"/>
  <c r="H19" i="11" s="1"/>
  <c r="M19" i="12"/>
  <c r="K19" i="12"/>
  <c r="L19" i="12" s="1"/>
  <c r="N19" i="12" s="1"/>
  <c r="G19" i="12"/>
  <c r="I19" i="12"/>
  <c r="H20" i="12" s="1"/>
  <c r="J18" i="12"/>
  <c r="O18" i="12" s="1"/>
  <c r="J17" i="11"/>
  <c r="O17" i="11" s="1"/>
  <c r="M18" i="3"/>
  <c r="K18" i="3"/>
  <c r="L18" i="3" s="1"/>
  <c r="I18" i="3"/>
  <c r="H19" i="3" s="1"/>
  <c r="G18" i="3"/>
  <c r="J18" i="11" l="1"/>
  <c r="O18" i="11"/>
  <c r="N18" i="3"/>
  <c r="J18" i="3"/>
  <c r="P17" i="11"/>
  <c r="P18" i="11"/>
  <c r="P18" i="12"/>
  <c r="J19" i="12"/>
  <c r="O19" i="12" s="1"/>
  <c r="G20" i="12"/>
  <c r="M20" i="12"/>
  <c r="J20" i="12"/>
  <c r="K20" i="12"/>
  <c r="L20" i="12" s="1"/>
  <c r="N20" i="12" s="1"/>
  <c r="O20" i="12" s="1"/>
  <c r="I20" i="12"/>
  <c r="H21" i="12" s="1"/>
  <c r="M19" i="3"/>
  <c r="K19" i="3"/>
  <c r="L19" i="3" s="1"/>
  <c r="I19" i="3"/>
  <c r="H20" i="3" s="1"/>
  <c r="G19" i="3"/>
  <c r="G19" i="11"/>
  <c r="M19" i="11"/>
  <c r="K19" i="11"/>
  <c r="L19" i="11" s="1"/>
  <c r="N19" i="11" s="1"/>
  <c r="I19" i="11"/>
  <c r="H20" i="11" s="1"/>
  <c r="N19" i="3" l="1"/>
  <c r="O18" i="3"/>
  <c r="P18" i="3"/>
  <c r="J19" i="3"/>
  <c r="P20" i="12"/>
  <c r="P19" i="12"/>
  <c r="I20" i="11"/>
  <c r="H21" i="11" s="1"/>
  <c r="G20" i="11"/>
  <c r="M20" i="11"/>
  <c r="K20" i="11"/>
  <c r="L20" i="11" s="1"/>
  <c r="N20" i="11" s="1"/>
  <c r="G20" i="3"/>
  <c r="M20" i="3"/>
  <c r="K20" i="3"/>
  <c r="L20" i="3" s="1"/>
  <c r="I20" i="3"/>
  <c r="H21" i="3" s="1"/>
  <c r="J19" i="11"/>
  <c r="O19" i="11" s="1"/>
  <c r="G21" i="12"/>
  <c r="K21" i="12"/>
  <c r="L21" i="12" s="1"/>
  <c r="M21" i="12"/>
  <c r="I21" i="12"/>
  <c r="H22" i="12" s="1"/>
  <c r="J20" i="11" l="1"/>
  <c r="O20" i="11"/>
  <c r="N21" i="12"/>
  <c r="O19" i="3"/>
  <c r="P19" i="3" s="1"/>
  <c r="N20" i="3"/>
  <c r="J20" i="3"/>
  <c r="O20" i="3" s="1"/>
  <c r="P19" i="11"/>
  <c r="P20" i="11"/>
  <c r="I21" i="11"/>
  <c r="H22" i="11" s="1"/>
  <c r="G21" i="11"/>
  <c r="M21" i="11"/>
  <c r="K21" i="11"/>
  <c r="L21" i="11" s="1"/>
  <c r="N21" i="11" s="1"/>
  <c r="G21" i="3"/>
  <c r="M21" i="3"/>
  <c r="K21" i="3"/>
  <c r="L21" i="3" s="1"/>
  <c r="I21" i="3"/>
  <c r="H22" i="3" s="1"/>
  <c r="J21" i="12"/>
  <c r="I22" i="12"/>
  <c r="H23" i="12" s="1"/>
  <c r="G22" i="12"/>
  <c r="M22" i="12"/>
  <c r="K22" i="12"/>
  <c r="L22" i="12" s="1"/>
  <c r="N22" i="12" s="1"/>
  <c r="N21" i="3" l="1"/>
  <c r="O21" i="12"/>
  <c r="P21" i="12" s="1"/>
  <c r="P20" i="3"/>
  <c r="J21" i="3"/>
  <c r="K22" i="11"/>
  <c r="L22" i="11" s="1"/>
  <c r="I22" i="11"/>
  <c r="H23" i="11" s="1"/>
  <c r="M22" i="11"/>
  <c r="G22" i="11"/>
  <c r="J22" i="12"/>
  <c r="O22" i="12" s="1"/>
  <c r="K23" i="12"/>
  <c r="L23" i="12" s="1"/>
  <c r="N23" i="12" s="1"/>
  <c r="I23" i="12"/>
  <c r="H24" i="12" s="1"/>
  <c r="G23" i="12"/>
  <c r="M23" i="12"/>
  <c r="I22" i="3"/>
  <c r="H23" i="3" s="1"/>
  <c r="G22" i="3"/>
  <c r="M22" i="3"/>
  <c r="K22" i="3"/>
  <c r="L22" i="3" s="1"/>
  <c r="N22" i="3" s="1"/>
  <c r="J21" i="11"/>
  <c r="O21" i="11" s="1"/>
  <c r="O21" i="3" l="1"/>
  <c r="P21" i="3" s="1"/>
  <c r="N22" i="11"/>
  <c r="O22" i="3"/>
  <c r="P22" i="3" s="1"/>
  <c r="J22" i="3"/>
  <c r="P21" i="11"/>
  <c r="P22" i="12"/>
  <c r="G24" i="12"/>
  <c r="M24" i="12"/>
  <c r="K24" i="12"/>
  <c r="L24" i="12" s="1"/>
  <c r="N24" i="12" s="1"/>
  <c r="O24" i="12" s="1"/>
  <c r="J24" i="12"/>
  <c r="I24" i="12"/>
  <c r="H25" i="12" s="1"/>
  <c r="J22" i="11"/>
  <c r="J23" i="12"/>
  <c r="O23" i="12" s="1"/>
  <c r="M23" i="11"/>
  <c r="K23" i="11"/>
  <c r="L23" i="11" s="1"/>
  <c r="N23" i="11" s="1"/>
  <c r="G23" i="11"/>
  <c r="I23" i="11"/>
  <c r="H24" i="11" s="1"/>
  <c r="K23" i="3"/>
  <c r="I23" i="3"/>
  <c r="H24" i="3" s="1"/>
  <c r="G23" i="3"/>
  <c r="M23" i="3"/>
  <c r="L23" i="3"/>
  <c r="N23" i="3" s="1"/>
  <c r="O22" i="11" l="1"/>
  <c r="P22" i="11" s="1"/>
  <c r="O23" i="3"/>
  <c r="P23" i="3" s="1"/>
  <c r="J23" i="3"/>
  <c r="P24" i="12"/>
  <c r="P23" i="12"/>
  <c r="J23" i="11"/>
  <c r="O23" i="11" s="1"/>
  <c r="K24" i="3"/>
  <c r="L24" i="3" s="1"/>
  <c r="I24" i="3"/>
  <c r="H25" i="3" s="1"/>
  <c r="G24" i="3"/>
  <c r="M24" i="3"/>
  <c r="M24" i="11"/>
  <c r="K24" i="11"/>
  <c r="L24" i="11" s="1"/>
  <c r="N24" i="11" s="1"/>
  <c r="I24" i="11"/>
  <c r="H25" i="11" s="1"/>
  <c r="G24" i="11"/>
  <c r="M25" i="12"/>
  <c r="I25" i="12"/>
  <c r="H26" i="12" s="1"/>
  <c r="K25" i="12"/>
  <c r="L25" i="12" s="1"/>
  <c r="N25" i="12" s="1"/>
  <c r="O25" i="12" s="1"/>
  <c r="P25" i="12" s="1"/>
  <c r="G25" i="12"/>
  <c r="J25" i="12"/>
  <c r="N24" i="3" l="1"/>
  <c r="J24" i="3"/>
  <c r="P23" i="11"/>
  <c r="M25" i="3"/>
  <c r="K25" i="3"/>
  <c r="L25" i="3" s="1"/>
  <c r="I25" i="3"/>
  <c r="H26" i="3" s="1"/>
  <c r="G25" i="3"/>
  <c r="M25" i="11"/>
  <c r="G25" i="11"/>
  <c r="K25" i="11"/>
  <c r="L25" i="11" s="1"/>
  <c r="N25" i="11" s="1"/>
  <c r="I25" i="11"/>
  <c r="H26" i="11" s="1"/>
  <c r="J24" i="11"/>
  <c r="O24" i="11" s="1"/>
  <c r="K26" i="12"/>
  <c r="I26" i="12"/>
  <c r="H27" i="12" s="1"/>
  <c r="G26" i="12"/>
  <c r="M26" i="12"/>
  <c r="L26" i="12"/>
  <c r="J26" i="12"/>
  <c r="N26" i="12" l="1"/>
  <c r="O26" i="12" s="1"/>
  <c r="P26" i="12" s="1"/>
  <c r="N25" i="3"/>
  <c r="O24" i="3"/>
  <c r="P24" i="3"/>
  <c r="J25" i="3"/>
  <c r="P24" i="11"/>
  <c r="M26" i="3"/>
  <c r="K26" i="3"/>
  <c r="L26" i="3" s="1"/>
  <c r="N26" i="3" s="1"/>
  <c r="O26" i="3" s="1"/>
  <c r="J26" i="3"/>
  <c r="I26" i="3"/>
  <c r="H27" i="3" s="1"/>
  <c r="G26" i="3"/>
  <c r="M27" i="12"/>
  <c r="K27" i="12"/>
  <c r="L27" i="12" s="1"/>
  <c r="N27" i="12" s="1"/>
  <c r="I27" i="12"/>
  <c r="H28" i="12" s="1"/>
  <c r="G27" i="12"/>
  <c r="M26" i="11"/>
  <c r="K26" i="11"/>
  <c r="L26" i="11" s="1"/>
  <c r="I26" i="11"/>
  <c r="H27" i="11" s="1"/>
  <c r="G26" i="11"/>
  <c r="J25" i="11"/>
  <c r="O25" i="11" s="1"/>
  <c r="N26" i="11" l="1"/>
  <c r="O25" i="3"/>
  <c r="P25" i="3"/>
  <c r="P26" i="3"/>
  <c r="P25" i="11"/>
  <c r="M27" i="3"/>
  <c r="K27" i="3"/>
  <c r="L27" i="3" s="1"/>
  <c r="N27" i="3" s="1"/>
  <c r="I27" i="3"/>
  <c r="H28" i="3" s="1"/>
  <c r="G27" i="3"/>
  <c r="J27" i="12"/>
  <c r="O27" i="12" s="1"/>
  <c r="G28" i="12"/>
  <c r="M28" i="12"/>
  <c r="K28" i="12"/>
  <c r="L28" i="12" s="1"/>
  <c r="I28" i="12"/>
  <c r="H29" i="12" s="1"/>
  <c r="G27" i="11"/>
  <c r="M27" i="11"/>
  <c r="K27" i="11"/>
  <c r="L27" i="11" s="1"/>
  <c r="N27" i="11" s="1"/>
  <c r="I27" i="11"/>
  <c r="H28" i="11" s="1"/>
  <c r="J26" i="11"/>
  <c r="O26" i="11" s="1"/>
  <c r="N28" i="12" l="1"/>
  <c r="J27" i="3"/>
  <c r="O27" i="3" s="1"/>
  <c r="P27" i="12"/>
  <c r="P26" i="11"/>
  <c r="O27" i="11"/>
  <c r="P27" i="11" s="1"/>
  <c r="I29" i="12"/>
  <c r="H30" i="12" s="1"/>
  <c r="K29" i="12"/>
  <c r="L29" i="12" s="1"/>
  <c r="N29" i="12" s="1"/>
  <c r="G29" i="12"/>
  <c r="M29" i="12"/>
  <c r="J27" i="11"/>
  <c r="I28" i="11"/>
  <c r="H29" i="11" s="1"/>
  <c r="G28" i="11"/>
  <c r="M28" i="11"/>
  <c r="K28" i="11"/>
  <c r="L28" i="11" s="1"/>
  <c r="N28" i="11" s="1"/>
  <c r="G28" i="3"/>
  <c r="M28" i="3"/>
  <c r="K28" i="3"/>
  <c r="L28" i="3" s="1"/>
  <c r="N28" i="3" s="1"/>
  <c r="I28" i="3"/>
  <c r="H29" i="3" s="1"/>
  <c r="J28" i="12"/>
  <c r="O28" i="12" s="1"/>
  <c r="P27" i="3" l="1"/>
  <c r="J28" i="3"/>
  <c r="O28" i="3" s="1"/>
  <c r="P28" i="12"/>
  <c r="J29" i="12"/>
  <c r="O29" i="12" s="1"/>
  <c r="K29" i="11"/>
  <c r="L29" i="11" s="1"/>
  <c r="I29" i="11"/>
  <c r="H30" i="11" s="1"/>
  <c r="M29" i="11"/>
  <c r="G29" i="11"/>
  <c r="I29" i="3"/>
  <c r="H30" i="3" s="1"/>
  <c r="G29" i="3"/>
  <c r="M29" i="3"/>
  <c r="K29" i="3"/>
  <c r="L29" i="3" s="1"/>
  <c r="N29" i="3" s="1"/>
  <c r="J28" i="11"/>
  <c r="O28" i="11" s="1"/>
  <c r="K30" i="12"/>
  <c r="G30" i="12"/>
  <c r="M30" i="12"/>
  <c r="L30" i="12"/>
  <c r="N30" i="12" s="1"/>
  <c r="I30" i="12"/>
  <c r="H31" i="12" s="1"/>
  <c r="N29" i="11" l="1"/>
  <c r="P28" i="3"/>
  <c r="J29" i="3"/>
  <c r="O29" i="3" s="1"/>
  <c r="O30" i="12"/>
  <c r="P28" i="11"/>
  <c r="P29" i="12"/>
  <c r="P30" i="12"/>
  <c r="M30" i="11"/>
  <c r="K30" i="11"/>
  <c r="L30" i="11" s="1"/>
  <c r="N30" i="11" s="1"/>
  <c r="I30" i="11"/>
  <c r="H31" i="11" s="1"/>
  <c r="G30" i="11"/>
  <c r="J29" i="11"/>
  <c r="O29" i="11" s="1"/>
  <c r="K30" i="3"/>
  <c r="L30" i="3" s="1"/>
  <c r="I30" i="3"/>
  <c r="H31" i="3" s="1"/>
  <c r="G30" i="3"/>
  <c r="M30" i="3"/>
  <c r="J30" i="12"/>
  <c r="M31" i="12"/>
  <c r="I31" i="12"/>
  <c r="H32" i="12" s="1"/>
  <c r="G31" i="12"/>
  <c r="K31" i="12"/>
  <c r="L31" i="12" s="1"/>
  <c r="N31" i="12" s="1"/>
  <c r="O31" i="12" s="1"/>
  <c r="P31" i="12" s="1"/>
  <c r="J31" i="12"/>
  <c r="N30" i="3" l="1"/>
  <c r="P29" i="3"/>
  <c r="J30" i="3"/>
  <c r="O30" i="3" s="1"/>
  <c r="P29" i="11"/>
  <c r="M31" i="11"/>
  <c r="K31" i="11"/>
  <c r="L31" i="11" s="1"/>
  <c r="I31" i="11"/>
  <c r="H32" i="11" s="1"/>
  <c r="G31" i="11"/>
  <c r="K32" i="12"/>
  <c r="L32" i="12" s="1"/>
  <c r="M32" i="12"/>
  <c r="I32" i="12"/>
  <c r="H33" i="12" s="1"/>
  <c r="G32" i="12"/>
  <c r="J30" i="11"/>
  <c r="O30" i="11" s="1"/>
  <c r="M31" i="3"/>
  <c r="K31" i="3"/>
  <c r="L31" i="3" s="1"/>
  <c r="N31" i="3" s="1"/>
  <c r="I31" i="3"/>
  <c r="H32" i="3" s="1"/>
  <c r="G31" i="3"/>
  <c r="N32" i="12" l="1"/>
  <c r="N31" i="11"/>
  <c r="O31" i="11" s="1"/>
  <c r="P31" i="11" s="1"/>
  <c r="P30" i="3"/>
  <c r="J31" i="3"/>
  <c r="O31" i="3" s="1"/>
  <c r="P30" i="11"/>
  <c r="I32" i="11"/>
  <c r="H33" i="11" s="1"/>
  <c r="G32" i="11"/>
  <c r="M32" i="11"/>
  <c r="L32" i="11"/>
  <c r="N32" i="11" s="1"/>
  <c r="K32" i="11"/>
  <c r="J31" i="11"/>
  <c r="M32" i="3"/>
  <c r="K32" i="3"/>
  <c r="L32" i="3" s="1"/>
  <c r="N32" i="3" s="1"/>
  <c r="I32" i="3"/>
  <c r="H33" i="3" s="1"/>
  <c r="G32" i="3"/>
  <c r="M33" i="12"/>
  <c r="K33" i="12"/>
  <c r="L33" i="12" s="1"/>
  <c r="N33" i="12" s="1"/>
  <c r="I33" i="12"/>
  <c r="H34" i="12" s="1"/>
  <c r="G33" i="12"/>
  <c r="J32" i="12"/>
  <c r="O32" i="12" l="1"/>
  <c r="P32" i="12" s="1"/>
  <c r="P31" i="3"/>
  <c r="J32" i="3"/>
  <c r="O32" i="3" s="1"/>
  <c r="G33" i="11"/>
  <c r="M33" i="11"/>
  <c r="K33" i="11"/>
  <c r="L33" i="11" s="1"/>
  <c r="N33" i="11" s="1"/>
  <c r="I33" i="11"/>
  <c r="H34" i="11" s="1"/>
  <c r="M33" i="3"/>
  <c r="K33" i="3"/>
  <c r="L33" i="3" s="1"/>
  <c r="N33" i="3" s="1"/>
  <c r="I33" i="3"/>
  <c r="H34" i="3" s="1"/>
  <c r="G33" i="3"/>
  <c r="G34" i="12"/>
  <c r="I34" i="12"/>
  <c r="H35" i="12" s="1"/>
  <c r="M34" i="12"/>
  <c r="K34" i="12"/>
  <c r="L34" i="12" s="1"/>
  <c r="N34" i="12" s="1"/>
  <c r="J33" i="12"/>
  <c r="O33" i="12" s="1"/>
  <c r="J32" i="11"/>
  <c r="O32" i="11" s="1"/>
  <c r="P32" i="3" l="1"/>
  <c r="J33" i="3"/>
  <c r="O33" i="3" s="1"/>
  <c r="P32" i="11"/>
  <c r="P33" i="12"/>
  <c r="O33" i="11"/>
  <c r="P33" i="11" s="1"/>
  <c r="I34" i="11"/>
  <c r="H35" i="11" s="1"/>
  <c r="G34" i="11"/>
  <c r="M34" i="11"/>
  <c r="K34" i="11"/>
  <c r="L34" i="11" s="1"/>
  <c r="N34" i="11" s="1"/>
  <c r="J33" i="11"/>
  <c r="G34" i="3"/>
  <c r="M34" i="3"/>
  <c r="K34" i="3"/>
  <c r="L34" i="3" s="1"/>
  <c r="I34" i="3"/>
  <c r="H35" i="3" s="1"/>
  <c r="I35" i="12"/>
  <c r="H36" i="12" s="1"/>
  <c r="M35" i="12"/>
  <c r="K35" i="12"/>
  <c r="L35" i="12" s="1"/>
  <c r="N35" i="12" s="1"/>
  <c r="G35" i="12"/>
  <c r="J34" i="12"/>
  <c r="O34" i="12" s="1"/>
  <c r="N34" i="3" l="1"/>
  <c r="P33" i="3"/>
  <c r="J34" i="3"/>
  <c r="O34" i="3" s="1"/>
  <c r="P34" i="12"/>
  <c r="O34" i="11"/>
  <c r="P34" i="11" s="1"/>
  <c r="K35" i="11"/>
  <c r="L35" i="11" s="1"/>
  <c r="I35" i="11"/>
  <c r="H36" i="11" s="1"/>
  <c r="M35" i="11"/>
  <c r="G35" i="11"/>
  <c r="J34" i="11"/>
  <c r="K36" i="12"/>
  <c r="G36" i="12"/>
  <c r="I36" i="12"/>
  <c r="H37" i="12" s="1"/>
  <c r="M36" i="12"/>
  <c r="L36" i="12"/>
  <c r="N36" i="12" s="1"/>
  <c r="J35" i="12"/>
  <c r="O35" i="12" s="1"/>
  <c r="I35" i="3"/>
  <c r="H36" i="3" s="1"/>
  <c r="G35" i="3"/>
  <c r="M35" i="3"/>
  <c r="K35" i="3"/>
  <c r="L35" i="3" s="1"/>
  <c r="N35" i="3" s="1"/>
  <c r="N35" i="11" l="1"/>
  <c r="O35" i="3"/>
  <c r="P35" i="3" s="1"/>
  <c r="P34" i="3"/>
  <c r="J35" i="3"/>
  <c r="P35" i="12"/>
  <c r="J35" i="11"/>
  <c r="O35" i="11" s="1"/>
  <c r="M36" i="11"/>
  <c r="K36" i="11"/>
  <c r="L36" i="11" s="1"/>
  <c r="N36" i="11" s="1"/>
  <c r="O36" i="11" s="1"/>
  <c r="J36" i="11"/>
  <c r="I36" i="11"/>
  <c r="H37" i="11" s="1"/>
  <c r="G36" i="11"/>
  <c r="J36" i="12"/>
  <c r="O36" i="12" s="1"/>
  <c r="M37" i="12"/>
  <c r="I37" i="12"/>
  <c r="H38" i="12" s="1"/>
  <c r="K37" i="12"/>
  <c r="L37" i="12" s="1"/>
  <c r="N37" i="12" s="1"/>
  <c r="G37" i="12"/>
  <c r="K36" i="3"/>
  <c r="L36" i="3" s="1"/>
  <c r="I36" i="3"/>
  <c r="H37" i="3" s="1"/>
  <c r="G36" i="3"/>
  <c r="M36" i="3"/>
  <c r="N36" i="3" l="1"/>
  <c r="J36" i="3"/>
  <c r="P36" i="12"/>
  <c r="P35" i="11"/>
  <c r="P36" i="11"/>
  <c r="O38" i="12"/>
  <c r="N38" i="12"/>
  <c r="K38" i="12"/>
  <c r="P38" i="12"/>
  <c r="M38" i="12"/>
  <c r="L38" i="12"/>
  <c r="J38" i="12"/>
  <c r="I38" i="12"/>
  <c r="H39" i="12" s="1"/>
  <c r="G38" i="12"/>
  <c r="M37" i="3"/>
  <c r="K37" i="3"/>
  <c r="L37" i="3" s="1"/>
  <c r="N37" i="3" s="1"/>
  <c r="I37" i="3"/>
  <c r="H38" i="3" s="1"/>
  <c r="G37" i="3"/>
  <c r="J37" i="12"/>
  <c r="O37" i="12" s="1"/>
  <c r="P37" i="12" s="1"/>
  <c r="M37" i="11"/>
  <c r="K37" i="11"/>
  <c r="I37" i="11"/>
  <c r="H38" i="11" s="1"/>
  <c r="G37" i="11"/>
  <c r="L37" i="11"/>
  <c r="N37" i="11" s="1"/>
  <c r="O36" i="3" l="1"/>
  <c r="P36" i="3"/>
  <c r="J37" i="3"/>
  <c r="O37" i="3" s="1"/>
  <c r="P38" i="11"/>
  <c r="O38" i="11"/>
  <c r="N38" i="11"/>
  <c r="M38" i="11"/>
  <c r="L38" i="11"/>
  <c r="K38" i="11"/>
  <c r="J38" i="11"/>
  <c r="I38" i="11"/>
  <c r="H39" i="11" s="1"/>
  <c r="G38" i="11"/>
  <c r="J37" i="11"/>
  <c r="O37" i="11" s="1"/>
  <c r="P37" i="11" s="1"/>
  <c r="P38" i="3"/>
  <c r="O38" i="3"/>
  <c r="N38" i="3"/>
  <c r="M38" i="3"/>
  <c r="L38" i="3"/>
  <c r="K38" i="3"/>
  <c r="J38" i="3"/>
  <c r="I38" i="3"/>
  <c r="H39" i="3" s="1"/>
  <c r="G38" i="3"/>
  <c r="P39" i="12"/>
  <c r="M39" i="12"/>
  <c r="G39" i="12"/>
  <c r="O39" i="12"/>
  <c r="K39" i="12"/>
  <c r="N39" i="12"/>
  <c r="L39" i="12"/>
  <c r="J39" i="12"/>
  <c r="I39" i="12"/>
  <c r="H40" i="12" s="1"/>
  <c r="P37" i="3" l="1"/>
  <c r="P39" i="3"/>
  <c r="O39" i="3"/>
  <c r="N39" i="3"/>
  <c r="M39" i="3"/>
  <c r="L39" i="3"/>
  <c r="K39" i="3"/>
  <c r="J39" i="3"/>
  <c r="I39" i="3"/>
  <c r="H40" i="3" s="1"/>
  <c r="G39" i="3"/>
  <c r="G40" i="12"/>
  <c r="O40" i="12"/>
  <c r="M40" i="12"/>
  <c r="L40" i="12"/>
  <c r="K40" i="12"/>
  <c r="J40" i="12"/>
  <c r="I40" i="12"/>
  <c r="H41" i="12" s="1"/>
  <c r="P40" i="12"/>
  <c r="N40" i="12"/>
  <c r="J39" i="11"/>
  <c r="I39" i="11"/>
  <c r="H40" i="11" s="1"/>
  <c r="G39" i="11"/>
  <c r="M39" i="11"/>
  <c r="L39" i="11"/>
  <c r="K39" i="11"/>
  <c r="P39" i="11"/>
  <c r="O39" i="11"/>
  <c r="N39" i="11"/>
  <c r="G40" i="3" l="1"/>
  <c r="P40" i="3"/>
  <c r="O40" i="3"/>
  <c r="N40" i="3"/>
  <c r="M40" i="3"/>
  <c r="L40" i="3"/>
  <c r="I40" i="3"/>
  <c r="H41" i="3" s="1"/>
  <c r="K40" i="3"/>
  <c r="J40" i="3"/>
  <c r="I41" i="12"/>
  <c r="H42" i="12" s="1"/>
  <c r="P41" i="12"/>
  <c r="O41" i="12"/>
  <c r="N41" i="12"/>
  <c r="M41" i="12"/>
  <c r="L41" i="12"/>
  <c r="G41" i="12"/>
  <c r="K41" i="12"/>
  <c r="J41" i="12"/>
  <c r="G40" i="11"/>
  <c r="N40" i="11"/>
  <c r="M40" i="11"/>
  <c r="L40" i="11"/>
  <c r="K40" i="11"/>
  <c r="P40" i="11"/>
  <c r="O40" i="11"/>
  <c r="J40" i="11"/>
  <c r="I40" i="11"/>
  <c r="H41" i="11" s="1"/>
  <c r="K42" i="12" l="1"/>
  <c r="J42" i="12"/>
  <c r="G42" i="12"/>
  <c r="I42" i="12"/>
  <c r="H43" i="12" s="1"/>
  <c r="N42" i="12"/>
  <c r="P42" i="12"/>
  <c r="O42" i="12"/>
  <c r="M42" i="12"/>
  <c r="L42" i="12"/>
  <c r="J41" i="3"/>
  <c r="I41" i="3"/>
  <c r="H42" i="3" s="1"/>
  <c r="G41" i="3"/>
  <c r="P41" i="3"/>
  <c r="O41" i="3"/>
  <c r="N41" i="3"/>
  <c r="M41" i="3"/>
  <c r="L41" i="3"/>
  <c r="K41" i="3"/>
  <c r="J41" i="11"/>
  <c r="I41" i="11"/>
  <c r="H42" i="11" s="1"/>
  <c r="P41" i="11"/>
  <c r="O41" i="11"/>
  <c r="M41" i="11"/>
  <c r="L41" i="11"/>
  <c r="K41" i="11"/>
  <c r="G41" i="11"/>
  <c r="N41" i="11"/>
  <c r="L42" i="11" l="1"/>
  <c r="K42" i="11"/>
  <c r="G42" i="11"/>
  <c r="P42" i="11"/>
  <c r="O42" i="11"/>
  <c r="N42" i="11"/>
  <c r="M42" i="11"/>
  <c r="J42" i="11"/>
  <c r="I42" i="11"/>
  <c r="H43" i="11" s="1"/>
  <c r="M43" i="12"/>
  <c r="L43" i="12"/>
  <c r="I43" i="12"/>
  <c r="H44" i="12" s="1"/>
  <c r="P43" i="12"/>
  <c r="O43" i="12"/>
  <c r="N43" i="12"/>
  <c r="K43" i="12"/>
  <c r="J43" i="12"/>
  <c r="G43" i="12"/>
  <c r="L42" i="3"/>
  <c r="K42" i="3"/>
  <c r="J42" i="3"/>
  <c r="I42" i="3"/>
  <c r="H43" i="3" s="1"/>
  <c r="G42" i="3"/>
  <c r="P42" i="3"/>
  <c r="O42" i="3"/>
  <c r="N42" i="3"/>
  <c r="M42" i="3"/>
  <c r="O44" i="12" l="1"/>
  <c r="N44" i="12"/>
  <c r="K44" i="12"/>
  <c r="P44" i="12"/>
  <c r="M44" i="12"/>
  <c r="I44" i="12"/>
  <c r="H45" i="12" s="1"/>
  <c r="L44" i="12"/>
  <c r="J44" i="12"/>
  <c r="G44" i="12"/>
  <c r="N43" i="11"/>
  <c r="M43" i="11"/>
  <c r="L43" i="11"/>
  <c r="K43" i="11"/>
  <c r="J43" i="11"/>
  <c r="I43" i="11"/>
  <c r="H44" i="11" s="1"/>
  <c r="P43" i="11"/>
  <c r="O43" i="11"/>
  <c r="G43" i="11"/>
  <c r="N43" i="3"/>
  <c r="M43" i="3"/>
  <c r="L43" i="3"/>
  <c r="K43" i="3"/>
  <c r="J43" i="3"/>
  <c r="I43" i="3"/>
  <c r="H44" i="3" s="1"/>
  <c r="G43" i="3"/>
  <c r="P43" i="3"/>
  <c r="O43" i="3"/>
  <c r="P45" i="12" l="1"/>
  <c r="M45" i="12"/>
  <c r="K45" i="12"/>
  <c r="J45" i="12"/>
  <c r="I45" i="12"/>
  <c r="H46" i="12" s="1"/>
  <c r="G45" i="12"/>
  <c r="O45" i="12"/>
  <c r="N45" i="12"/>
  <c r="L45" i="12"/>
  <c r="P44" i="3"/>
  <c r="O44" i="3"/>
  <c r="N44" i="3"/>
  <c r="M44" i="3"/>
  <c r="L44" i="3"/>
  <c r="K44" i="3"/>
  <c r="J44" i="3"/>
  <c r="I44" i="3"/>
  <c r="H45" i="3" s="1"/>
  <c r="G44" i="3"/>
  <c r="P44" i="11"/>
  <c r="O44" i="11"/>
  <c r="N44" i="11"/>
  <c r="M44" i="11"/>
  <c r="J44" i="11"/>
  <c r="G44" i="11"/>
  <c r="L44" i="11"/>
  <c r="K44" i="11"/>
  <c r="I44" i="11"/>
  <c r="H45" i="11" s="1"/>
  <c r="G46" i="12" l="1"/>
  <c r="O46" i="12"/>
  <c r="P46" i="12"/>
  <c r="N46" i="12"/>
  <c r="M46" i="12"/>
  <c r="L46" i="12"/>
  <c r="K46" i="12"/>
  <c r="J46" i="12"/>
  <c r="I46" i="12"/>
  <c r="H47" i="12" s="1"/>
  <c r="G45" i="11"/>
  <c r="N45" i="11"/>
  <c r="P45" i="11"/>
  <c r="O45" i="11"/>
  <c r="M45" i="11"/>
  <c r="L45" i="11"/>
  <c r="K45" i="11"/>
  <c r="J45" i="11"/>
  <c r="I45" i="11"/>
  <c r="H46" i="11" s="1"/>
  <c r="P45" i="3"/>
  <c r="O45" i="3"/>
  <c r="N45" i="3"/>
  <c r="M45" i="3"/>
  <c r="L45" i="3"/>
  <c r="K45" i="3"/>
  <c r="J45" i="3"/>
  <c r="I45" i="3"/>
  <c r="H46" i="3" s="1"/>
  <c r="G45" i="3"/>
  <c r="I47" i="12" l="1"/>
  <c r="H48" i="12" s="1"/>
  <c r="G47" i="12"/>
  <c r="P47" i="12"/>
  <c r="O47" i="12"/>
  <c r="L47" i="12"/>
  <c r="N47" i="12"/>
  <c r="M47" i="12"/>
  <c r="K47" i="12"/>
  <c r="J47" i="12"/>
  <c r="G46" i="3"/>
  <c r="P46" i="3"/>
  <c r="O46" i="3"/>
  <c r="N46" i="3"/>
  <c r="M46" i="3"/>
  <c r="L46" i="3"/>
  <c r="K46" i="3"/>
  <c r="J46" i="3"/>
  <c r="I46" i="3"/>
  <c r="H47" i="3" s="1"/>
  <c r="G46" i="11"/>
  <c r="L46" i="11"/>
  <c r="K46" i="11"/>
  <c r="J46" i="11"/>
  <c r="I46" i="11"/>
  <c r="H47" i="11" s="1"/>
  <c r="N46" i="11"/>
  <c r="M46" i="11"/>
  <c r="P46" i="11"/>
  <c r="O46" i="11"/>
  <c r="J47" i="11" l="1"/>
  <c r="I47" i="11"/>
  <c r="H48" i="11" s="1"/>
  <c r="P47" i="11"/>
  <c r="O47" i="11"/>
  <c r="N47" i="11"/>
  <c r="M47" i="11"/>
  <c r="L47" i="11"/>
  <c r="K47" i="11"/>
  <c r="G47" i="11"/>
  <c r="J47" i="3"/>
  <c r="I47" i="3"/>
  <c r="H48" i="3" s="1"/>
  <c r="G47" i="3"/>
  <c r="P47" i="3"/>
  <c r="O47" i="3"/>
  <c r="N47" i="3"/>
  <c r="M47" i="3"/>
  <c r="L47" i="3"/>
  <c r="K47" i="3"/>
  <c r="K48" i="12"/>
  <c r="J48" i="12"/>
  <c r="G48" i="12"/>
  <c r="N48" i="12"/>
  <c r="M48" i="12"/>
  <c r="L48" i="12"/>
  <c r="I48" i="12"/>
  <c r="H49" i="12" s="1"/>
  <c r="P48" i="12"/>
  <c r="O48" i="12"/>
  <c r="M48" i="3" l="1"/>
  <c r="L48" i="3"/>
  <c r="K48" i="3"/>
  <c r="J48" i="3"/>
  <c r="I48" i="3"/>
  <c r="H49" i="3" s="1"/>
  <c r="G48" i="3"/>
  <c r="P48" i="3"/>
  <c r="O48" i="3"/>
  <c r="N48" i="3"/>
  <c r="L48" i="11"/>
  <c r="K48" i="11"/>
  <c r="N48" i="11"/>
  <c r="I48" i="11"/>
  <c r="H49" i="11" s="1"/>
  <c r="P48" i="11"/>
  <c r="O48" i="11"/>
  <c r="M48" i="11"/>
  <c r="J48" i="11"/>
  <c r="G48" i="11"/>
  <c r="M49" i="12"/>
  <c r="L49" i="12"/>
  <c r="I49" i="12"/>
  <c r="H50" i="12" s="1"/>
  <c r="P49" i="12"/>
  <c r="O49" i="12"/>
  <c r="N49" i="12"/>
  <c r="K49" i="12"/>
  <c r="G49" i="12"/>
  <c r="J49" i="12"/>
  <c r="O50" i="12" l="1"/>
  <c r="N50" i="12"/>
  <c r="K50" i="12"/>
  <c r="I50" i="12"/>
  <c r="H51" i="12" s="1"/>
  <c r="G50" i="12"/>
  <c r="M50" i="12"/>
  <c r="P50" i="12"/>
  <c r="L50" i="12"/>
  <c r="J50" i="12"/>
  <c r="J49" i="3"/>
  <c r="P49" i="3"/>
  <c r="O49" i="3"/>
  <c r="N49" i="3"/>
  <c r="M49" i="3"/>
  <c r="L49" i="3"/>
  <c r="K49" i="3"/>
  <c r="I49" i="3"/>
  <c r="H50" i="3" s="1"/>
  <c r="G49" i="3"/>
  <c r="N49" i="11"/>
  <c r="M49" i="11"/>
  <c r="J49" i="11"/>
  <c r="I49" i="11"/>
  <c r="H50" i="11" s="1"/>
  <c r="G49" i="11"/>
  <c r="P49" i="11"/>
  <c r="O49" i="11"/>
  <c r="K49" i="11"/>
  <c r="L49" i="11"/>
  <c r="P51" i="12" l="1"/>
  <c r="M51" i="12"/>
  <c r="O51" i="12"/>
  <c r="N51" i="12"/>
  <c r="L51" i="12"/>
  <c r="K51" i="12"/>
  <c r="J51" i="12"/>
  <c r="I51" i="12"/>
  <c r="H52" i="12" s="1"/>
  <c r="G51" i="12"/>
  <c r="P50" i="11"/>
  <c r="O50" i="11"/>
  <c r="N50" i="11"/>
  <c r="M50" i="11"/>
  <c r="L50" i="11"/>
  <c r="K50" i="11"/>
  <c r="J50" i="11"/>
  <c r="I50" i="11"/>
  <c r="H51" i="11" s="1"/>
  <c r="G50" i="11"/>
  <c r="L50" i="3"/>
  <c r="P50" i="3"/>
  <c r="O50" i="3"/>
  <c r="N50" i="3"/>
  <c r="M50" i="3"/>
  <c r="K50" i="3"/>
  <c r="J50" i="3"/>
  <c r="I50" i="3"/>
  <c r="H51" i="3" s="1"/>
  <c r="G50" i="3"/>
  <c r="G52" i="12" l="1"/>
  <c r="O52" i="12"/>
  <c r="P52" i="12"/>
  <c r="N52" i="12"/>
  <c r="M52" i="12"/>
  <c r="J52" i="12"/>
  <c r="L52" i="12"/>
  <c r="K52" i="12"/>
  <c r="I52" i="12"/>
  <c r="H53" i="12" s="1"/>
  <c r="P51" i="11"/>
  <c r="O51" i="11"/>
  <c r="N51" i="11"/>
  <c r="L51" i="11"/>
  <c r="J51" i="11"/>
  <c r="I51" i="11"/>
  <c r="H52" i="11" s="1"/>
  <c r="M51" i="11"/>
  <c r="K51" i="11"/>
  <c r="G51" i="11"/>
  <c r="N51" i="3"/>
  <c r="I51" i="3"/>
  <c r="H52" i="3" s="1"/>
  <c r="G51" i="3"/>
  <c r="P51" i="3"/>
  <c r="O51" i="3"/>
  <c r="M51" i="3"/>
  <c r="L51" i="3"/>
  <c r="K51" i="3"/>
  <c r="J51" i="3"/>
  <c r="I53" i="12" l="1"/>
  <c r="H54" i="12" s="1"/>
  <c r="L53" i="12"/>
  <c r="K53" i="12"/>
  <c r="J53" i="12"/>
  <c r="G53" i="12"/>
  <c r="O53" i="12"/>
  <c r="P53" i="12"/>
  <c r="N53" i="12"/>
  <c r="M53" i="12"/>
  <c r="P52" i="3"/>
  <c r="L52" i="3"/>
  <c r="K52" i="3"/>
  <c r="J52" i="3"/>
  <c r="I52" i="3"/>
  <c r="H53" i="3" s="1"/>
  <c r="G52" i="3"/>
  <c r="O52" i="3"/>
  <c r="N52" i="3"/>
  <c r="M52" i="3"/>
  <c r="G52" i="11"/>
  <c r="J52" i="11"/>
  <c r="I52" i="11"/>
  <c r="H53" i="11" s="1"/>
  <c r="P52" i="11"/>
  <c r="N52" i="11"/>
  <c r="M52" i="11"/>
  <c r="O52" i="11"/>
  <c r="L52" i="11"/>
  <c r="K52" i="11"/>
  <c r="J53" i="11" l="1"/>
  <c r="I53" i="11"/>
  <c r="H54" i="11" s="1"/>
  <c r="N53" i="11"/>
  <c r="M53" i="11"/>
  <c r="L53" i="11"/>
  <c r="K53" i="11"/>
  <c r="O53" i="11"/>
  <c r="G53" i="11"/>
  <c r="P53" i="11"/>
  <c r="O53" i="3"/>
  <c r="N53" i="3"/>
  <c r="M53" i="3"/>
  <c r="L53" i="3"/>
  <c r="K53" i="3"/>
  <c r="J53" i="3"/>
  <c r="I53" i="3"/>
  <c r="H54" i="3" s="1"/>
  <c r="G53" i="3"/>
  <c r="P53" i="3"/>
  <c r="K54" i="12"/>
  <c r="J54" i="12"/>
  <c r="I54" i="12"/>
  <c r="H55" i="12" s="1"/>
  <c r="G54" i="12"/>
  <c r="P54" i="12"/>
  <c r="O54" i="12"/>
  <c r="N54" i="12"/>
  <c r="M54" i="12"/>
  <c r="L54" i="12"/>
  <c r="P54" i="3" l="1"/>
  <c r="O54" i="3"/>
  <c r="N54" i="3"/>
  <c r="M54" i="3"/>
  <c r="L54" i="3"/>
  <c r="K54" i="3"/>
  <c r="J54" i="3"/>
  <c r="I54" i="3"/>
  <c r="H55" i="3" s="1"/>
  <c r="G54" i="3"/>
  <c r="L55" i="12"/>
  <c r="J55" i="12"/>
  <c r="O55" i="12"/>
  <c r="N55" i="12"/>
  <c r="M55" i="12"/>
  <c r="K55" i="12"/>
  <c r="I55" i="12"/>
  <c r="H56" i="12" s="1"/>
  <c r="G55" i="12"/>
  <c r="P55" i="12"/>
  <c r="L54" i="11"/>
  <c r="K54" i="11"/>
  <c r="P54" i="11"/>
  <c r="O54" i="11"/>
  <c r="N54" i="11"/>
  <c r="J54" i="11"/>
  <c r="G54" i="11"/>
  <c r="M54" i="11"/>
  <c r="I54" i="11"/>
  <c r="H55" i="11" s="1"/>
  <c r="J55" i="3" l="1"/>
  <c r="G55" i="3"/>
  <c r="P55" i="3"/>
  <c r="O55" i="3"/>
  <c r="N55" i="3"/>
  <c r="M55" i="3"/>
  <c r="K55" i="3"/>
  <c r="I55" i="3"/>
  <c r="H56" i="3" s="1"/>
  <c r="L55" i="3"/>
  <c r="N55" i="11"/>
  <c r="M55" i="11"/>
  <c r="G55" i="11"/>
  <c r="P55" i="11"/>
  <c r="L55" i="11"/>
  <c r="K55" i="11"/>
  <c r="O55" i="11"/>
  <c r="J55" i="11"/>
  <c r="I55" i="11"/>
  <c r="H56" i="11" s="1"/>
  <c r="N56" i="12"/>
  <c r="L56" i="12"/>
  <c r="P56" i="12"/>
  <c r="O56" i="12"/>
  <c r="M56" i="12"/>
  <c r="K56" i="12"/>
  <c r="J56" i="12"/>
  <c r="I56" i="12"/>
  <c r="H57" i="12" s="1"/>
  <c r="G56" i="12"/>
  <c r="L56" i="3" l="1"/>
  <c r="K56" i="3"/>
  <c r="J56" i="3"/>
  <c r="I56" i="3"/>
  <c r="H57" i="3" s="1"/>
  <c r="G56" i="3"/>
  <c r="P56" i="3"/>
  <c r="O56" i="3"/>
  <c r="N56" i="3"/>
  <c r="M56" i="3"/>
  <c r="P56" i="11"/>
  <c r="O56" i="11"/>
  <c r="L56" i="11"/>
  <c r="K56" i="11"/>
  <c r="J56" i="11"/>
  <c r="I56" i="11"/>
  <c r="H57" i="11" s="1"/>
  <c r="N56" i="11"/>
  <c r="M56" i="11"/>
  <c r="G56" i="11"/>
  <c r="P57" i="12"/>
  <c r="N57" i="12"/>
  <c r="I57" i="12"/>
  <c r="H58" i="12" s="1"/>
  <c r="G57" i="12"/>
  <c r="O57" i="12"/>
  <c r="M57" i="12"/>
  <c r="L57" i="12"/>
  <c r="K57" i="12"/>
  <c r="J57" i="12"/>
  <c r="N57" i="3" l="1"/>
  <c r="O57" i="3"/>
  <c r="M57" i="3"/>
  <c r="L57" i="3"/>
  <c r="K57" i="3"/>
  <c r="J57" i="3"/>
  <c r="I57" i="3"/>
  <c r="H58" i="3" s="1"/>
  <c r="G57" i="3"/>
  <c r="P57" i="3"/>
  <c r="P58" i="12"/>
  <c r="M58" i="12"/>
  <c r="L58" i="12"/>
  <c r="K58" i="12"/>
  <c r="J58" i="12"/>
  <c r="I58" i="12"/>
  <c r="H59" i="12" s="1"/>
  <c r="N58" i="12"/>
  <c r="O58" i="12"/>
  <c r="G58" i="12"/>
  <c r="P57" i="11"/>
  <c r="O57" i="11"/>
  <c r="N57" i="11"/>
  <c r="M57" i="11"/>
  <c r="L57" i="11"/>
  <c r="J57" i="11"/>
  <c r="G57" i="11"/>
  <c r="K57" i="11"/>
  <c r="I57" i="11"/>
  <c r="H58" i="11" s="1"/>
  <c r="P58" i="3" l="1"/>
  <c r="O58" i="3"/>
  <c r="N58" i="3"/>
  <c r="M58" i="3"/>
  <c r="L58" i="3"/>
  <c r="K58" i="3"/>
  <c r="J58" i="3"/>
  <c r="I58" i="3"/>
  <c r="H59" i="3" s="1"/>
  <c r="G58" i="3"/>
  <c r="G58" i="11"/>
  <c r="P58" i="11"/>
  <c r="N58" i="11"/>
  <c r="L58" i="11"/>
  <c r="K58" i="11"/>
  <c r="I58" i="11"/>
  <c r="H59" i="11" s="1"/>
  <c r="O58" i="11"/>
  <c r="M58" i="11"/>
  <c r="J58" i="11"/>
  <c r="P59" i="12"/>
  <c r="O59" i="12"/>
  <c r="N59" i="12"/>
  <c r="M59" i="12"/>
  <c r="L59" i="12"/>
  <c r="K59" i="12"/>
  <c r="J59" i="12"/>
  <c r="I59" i="12"/>
  <c r="H60" i="12" s="1"/>
  <c r="G59" i="12"/>
  <c r="G59" i="3" l="1"/>
  <c r="P59" i="3"/>
  <c r="O59" i="3"/>
  <c r="N59" i="3"/>
  <c r="M59" i="3"/>
  <c r="L59" i="3"/>
  <c r="K59" i="3"/>
  <c r="J59" i="3"/>
  <c r="I59" i="3"/>
  <c r="H60" i="3" s="1"/>
  <c r="J59" i="11"/>
  <c r="I59" i="11"/>
  <c r="H60" i="11" s="1"/>
  <c r="L59" i="11"/>
  <c r="K59" i="11"/>
  <c r="G59" i="11"/>
  <c r="P59" i="11"/>
  <c r="O59" i="11"/>
  <c r="N59" i="11"/>
  <c r="M59" i="11"/>
  <c r="J60" i="12"/>
  <c r="G60" i="12"/>
  <c r="L60" i="12"/>
  <c r="K60" i="12"/>
  <c r="I60" i="12"/>
  <c r="H61" i="12" s="1"/>
  <c r="O60" i="12"/>
  <c r="P60" i="12"/>
  <c r="N60" i="12"/>
  <c r="M60" i="12"/>
  <c r="L61" i="12" l="1"/>
  <c r="K61" i="12"/>
  <c r="J61" i="12"/>
  <c r="N61" i="12"/>
  <c r="M61" i="12"/>
  <c r="I61" i="12"/>
  <c r="H62" i="12" s="1"/>
  <c r="G61" i="12"/>
  <c r="P61" i="12"/>
  <c r="O61" i="12"/>
  <c r="L60" i="11"/>
  <c r="K60" i="11"/>
  <c r="P60" i="11"/>
  <c r="O60" i="11"/>
  <c r="N60" i="11"/>
  <c r="M60" i="11"/>
  <c r="J60" i="11"/>
  <c r="I60" i="11"/>
  <c r="H61" i="11" s="1"/>
  <c r="G60" i="11"/>
  <c r="K60" i="3"/>
  <c r="J60" i="3"/>
  <c r="I60" i="3"/>
  <c r="H61" i="3" s="1"/>
  <c r="G60" i="3"/>
  <c r="P60" i="3"/>
  <c r="O60" i="3"/>
  <c r="N60" i="3"/>
  <c r="M60" i="3"/>
  <c r="L60" i="3"/>
  <c r="J61" i="3" l="1"/>
  <c r="N61" i="3"/>
  <c r="M61" i="3"/>
  <c r="L61" i="3"/>
  <c r="K61" i="3"/>
  <c r="I61" i="3"/>
  <c r="H62" i="3" s="1"/>
  <c r="G61" i="3"/>
  <c r="P61" i="3"/>
  <c r="O61" i="3"/>
  <c r="N62" i="12"/>
  <c r="M62" i="12"/>
  <c r="L62" i="12"/>
  <c r="P62" i="12"/>
  <c r="O62" i="12"/>
  <c r="K62" i="12"/>
  <c r="J62" i="12"/>
  <c r="I62" i="12"/>
  <c r="H63" i="12" s="1"/>
  <c r="G62" i="12"/>
  <c r="N61" i="11"/>
  <c r="M61" i="11"/>
  <c r="P61" i="11"/>
  <c r="L61" i="11"/>
  <c r="J61" i="11"/>
  <c r="I61" i="11"/>
  <c r="H62" i="11" s="1"/>
  <c r="O61" i="11"/>
  <c r="K61" i="11"/>
  <c r="G61" i="11"/>
  <c r="L62" i="3" l="1"/>
  <c r="P62" i="3"/>
  <c r="O62" i="3"/>
  <c r="N62" i="3"/>
  <c r="M62" i="3"/>
  <c r="K62" i="3"/>
  <c r="J62" i="3"/>
  <c r="I62" i="3"/>
  <c r="H63" i="3" s="1"/>
  <c r="G62" i="3"/>
  <c r="P63" i="12"/>
  <c r="O63" i="12"/>
  <c r="N63" i="12"/>
  <c r="I63" i="12"/>
  <c r="H64" i="12" s="1"/>
  <c r="G63" i="12"/>
  <c r="J63" i="12"/>
  <c r="M63" i="12"/>
  <c r="L63" i="12"/>
  <c r="K63" i="12"/>
  <c r="P62" i="11"/>
  <c r="O62" i="11"/>
  <c r="J62" i="11"/>
  <c r="I62" i="11"/>
  <c r="H63" i="11" s="1"/>
  <c r="G62" i="11"/>
  <c r="N62" i="11"/>
  <c r="M62" i="11"/>
  <c r="K62" i="11"/>
  <c r="L62" i="11"/>
  <c r="N63" i="11" l="1"/>
  <c r="M63" i="11"/>
  <c r="L63" i="11"/>
  <c r="K63" i="11"/>
  <c r="J63" i="11"/>
  <c r="P63" i="11"/>
  <c r="O63" i="11"/>
  <c r="I63" i="11"/>
  <c r="H64" i="11" s="1"/>
  <c r="G63" i="11"/>
  <c r="N63" i="3"/>
  <c r="G63" i="3"/>
  <c r="P63" i="3"/>
  <c r="O63" i="3"/>
  <c r="M63" i="3"/>
  <c r="L63" i="3"/>
  <c r="K63" i="3"/>
  <c r="J63" i="3"/>
  <c r="I63" i="3"/>
  <c r="H64" i="3" s="1"/>
  <c r="P64" i="12"/>
  <c r="N64" i="12"/>
  <c r="M64" i="12"/>
  <c r="L64" i="12"/>
  <c r="K64" i="12"/>
  <c r="J64" i="12"/>
  <c r="O64" i="12"/>
  <c r="I64" i="12"/>
  <c r="H65" i="12" s="1"/>
  <c r="G64" i="12"/>
  <c r="G64" i="11" l="1"/>
  <c r="P64" i="11"/>
  <c r="O64" i="11"/>
  <c r="N64" i="11"/>
  <c r="L64" i="11"/>
  <c r="J64" i="11"/>
  <c r="I64" i="11"/>
  <c r="H65" i="11" s="1"/>
  <c r="M64" i="11"/>
  <c r="K64" i="11"/>
  <c r="P64" i="3"/>
  <c r="J64" i="3"/>
  <c r="I64" i="3"/>
  <c r="H65" i="3" s="1"/>
  <c r="G64" i="3"/>
  <c r="O64" i="3"/>
  <c r="N64" i="3"/>
  <c r="M64" i="3"/>
  <c r="L64" i="3"/>
  <c r="K64" i="3"/>
  <c r="G65" i="12"/>
  <c r="P65" i="12"/>
  <c r="O65" i="12"/>
  <c r="M65" i="12"/>
  <c r="L65" i="12"/>
  <c r="K65" i="12"/>
  <c r="J65" i="12"/>
  <c r="I65" i="12"/>
  <c r="H66" i="12" s="1"/>
  <c r="N65" i="12"/>
  <c r="M65" i="3" l="1"/>
  <c r="L65" i="3"/>
  <c r="K65" i="3"/>
  <c r="J65" i="3"/>
  <c r="I65" i="3"/>
  <c r="H66" i="3" s="1"/>
  <c r="G65" i="3"/>
  <c r="O65" i="3"/>
  <c r="N65" i="3"/>
  <c r="P65" i="3"/>
  <c r="J65" i="11"/>
  <c r="I65" i="11"/>
  <c r="H66" i="11" s="1"/>
  <c r="G65" i="11"/>
  <c r="P65" i="11"/>
  <c r="N65" i="11"/>
  <c r="M65" i="11"/>
  <c r="L65" i="11"/>
  <c r="O65" i="11"/>
  <c r="K65" i="11"/>
  <c r="J66" i="12"/>
  <c r="I66" i="12"/>
  <c r="H67" i="12" s="1"/>
  <c r="L66" i="12"/>
  <c r="K66" i="12"/>
  <c r="G66" i="12"/>
  <c r="N66" i="12"/>
  <c r="P66" i="12"/>
  <c r="O66" i="12"/>
  <c r="M66" i="12"/>
  <c r="P66" i="3" l="1"/>
  <c r="O66" i="3"/>
  <c r="N66" i="3"/>
  <c r="M66" i="3"/>
  <c r="L66" i="3"/>
  <c r="K66" i="3"/>
  <c r="J66" i="3"/>
  <c r="I66" i="3"/>
  <c r="H67" i="3" s="1"/>
  <c r="G66" i="3"/>
  <c r="L66" i="11"/>
  <c r="K66" i="11"/>
  <c r="N66" i="11"/>
  <c r="M66" i="11"/>
  <c r="J66" i="11"/>
  <c r="I66" i="11"/>
  <c r="H67" i="11" s="1"/>
  <c r="P66" i="11"/>
  <c r="O66" i="11"/>
  <c r="G66" i="11"/>
  <c r="L67" i="12"/>
  <c r="K67" i="12"/>
  <c r="J67" i="12"/>
  <c r="P67" i="12"/>
  <c r="O67" i="12"/>
  <c r="N67" i="12"/>
  <c r="M67" i="12"/>
  <c r="I67" i="12"/>
  <c r="H68" i="12" s="1"/>
  <c r="G67" i="12"/>
  <c r="J67" i="3" l="1"/>
  <c r="P67" i="3"/>
  <c r="O67" i="3"/>
  <c r="N67" i="3"/>
  <c r="M67" i="3"/>
  <c r="L67" i="3"/>
  <c r="K67" i="3"/>
  <c r="I67" i="3"/>
  <c r="H68" i="3" s="1"/>
  <c r="G67" i="3"/>
  <c r="N68" i="12"/>
  <c r="M68" i="12"/>
  <c r="L68" i="12"/>
  <c r="G68" i="12"/>
  <c r="K68" i="12"/>
  <c r="J68" i="12"/>
  <c r="I68" i="12"/>
  <c r="H69" i="12" s="1"/>
  <c r="P68" i="12"/>
  <c r="O68" i="12"/>
  <c r="N67" i="11"/>
  <c r="M67" i="11"/>
  <c r="P67" i="11"/>
  <c r="O67" i="11"/>
  <c r="L67" i="11"/>
  <c r="J67" i="11"/>
  <c r="G67" i="11"/>
  <c r="I67" i="11"/>
  <c r="H68" i="11" s="1"/>
  <c r="K67" i="11"/>
  <c r="L68" i="3" l="1"/>
  <c r="I68" i="3"/>
  <c r="H69" i="3" s="1"/>
  <c r="G68" i="3"/>
  <c r="P68" i="3"/>
  <c r="O68" i="3"/>
  <c r="N68" i="3"/>
  <c r="M68" i="3"/>
  <c r="K68" i="3"/>
  <c r="J68" i="3"/>
  <c r="P69" i="12"/>
  <c r="O69" i="12"/>
  <c r="N69" i="12"/>
  <c r="L69" i="12"/>
  <c r="K69" i="12"/>
  <c r="J69" i="12"/>
  <c r="I69" i="12"/>
  <c r="H70" i="12" s="1"/>
  <c r="G69" i="12"/>
  <c r="M69" i="12"/>
  <c r="P68" i="11"/>
  <c r="O68" i="11"/>
  <c r="G68" i="11"/>
  <c r="N68" i="11"/>
  <c r="L68" i="11"/>
  <c r="K68" i="11"/>
  <c r="J68" i="11"/>
  <c r="M68" i="11"/>
  <c r="I68" i="11"/>
  <c r="H69" i="11" s="1"/>
  <c r="P70" i="12" l="1"/>
  <c r="O70" i="12"/>
  <c r="N70" i="12"/>
  <c r="M70" i="12"/>
  <c r="L70" i="12"/>
  <c r="K70" i="12"/>
  <c r="J70" i="12"/>
  <c r="I70" i="12"/>
  <c r="H71" i="12" s="1"/>
  <c r="G70" i="12"/>
  <c r="L69" i="11"/>
  <c r="K69" i="11"/>
  <c r="J69" i="11"/>
  <c r="I69" i="11"/>
  <c r="H70" i="11" s="1"/>
  <c r="P69" i="11"/>
  <c r="O69" i="11"/>
  <c r="N69" i="11"/>
  <c r="M69" i="11"/>
  <c r="G69" i="11"/>
  <c r="N69" i="3"/>
  <c r="L69" i="3"/>
  <c r="K69" i="3"/>
  <c r="J69" i="3"/>
  <c r="I69" i="3"/>
  <c r="H70" i="3" s="1"/>
  <c r="G69" i="3"/>
  <c r="P69" i="3"/>
  <c r="O69" i="3"/>
  <c r="M69" i="3"/>
  <c r="G71" i="12" l="1"/>
  <c r="J71" i="12"/>
  <c r="I71" i="12"/>
  <c r="H72" i="12" s="1"/>
  <c r="L71" i="12"/>
  <c r="K71" i="12"/>
  <c r="O71" i="12"/>
  <c r="P71" i="12"/>
  <c r="N71" i="12"/>
  <c r="M71" i="12"/>
  <c r="P70" i="3"/>
  <c r="O70" i="3"/>
  <c r="N70" i="3"/>
  <c r="M70" i="3"/>
  <c r="L70" i="3"/>
  <c r="K70" i="3"/>
  <c r="J70" i="3"/>
  <c r="I70" i="3"/>
  <c r="H71" i="3" s="1"/>
  <c r="G70" i="3"/>
  <c r="G70" i="11"/>
  <c r="P70" i="11"/>
  <c r="O70" i="11"/>
  <c r="N70" i="11"/>
  <c r="M70" i="11"/>
  <c r="L70" i="11"/>
  <c r="J70" i="11"/>
  <c r="K70" i="11"/>
  <c r="I70" i="11"/>
  <c r="H71" i="11" s="1"/>
  <c r="P71" i="3" l="1"/>
  <c r="O71" i="3"/>
  <c r="N71" i="3"/>
  <c r="M71" i="3"/>
  <c r="L71" i="3"/>
  <c r="K71" i="3"/>
  <c r="J71" i="3"/>
  <c r="I71" i="3"/>
  <c r="H72" i="3" s="1"/>
  <c r="G71" i="3"/>
  <c r="J71" i="11"/>
  <c r="I71" i="11"/>
  <c r="H72" i="11" s="1"/>
  <c r="P71" i="11"/>
  <c r="N71" i="11"/>
  <c r="L71" i="11"/>
  <c r="K71" i="11"/>
  <c r="O71" i="11"/>
  <c r="M71" i="11"/>
  <c r="G71" i="11"/>
  <c r="J72" i="12"/>
  <c r="I72" i="12"/>
  <c r="H73" i="12" s="1"/>
  <c r="O72" i="12"/>
  <c r="N72" i="12"/>
  <c r="M72" i="12"/>
  <c r="L72" i="12"/>
  <c r="K72" i="12"/>
  <c r="P72" i="12"/>
  <c r="G72" i="12"/>
  <c r="L72" i="11" l="1"/>
  <c r="K72" i="11"/>
  <c r="J72" i="11"/>
  <c r="I72" i="11"/>
  <c r="H73" i="11" s="1"/>
  <c r="G72" i="11"/>
  <c r="P72" i="11"/>
  <c r="O72" i="11"/>
  <c r="N72" i="11"/>
  <c r="M72" i="11"/>
  <c r="L73" i="12"/>
  <c r="K73" i="12"/>
  <c r="J73" i="12"/>
  <c r="P73" i="12"/>
  <c r="O73" i="12"/>
  <c r="N73" i="12"/>
  <c r="M73" i="12"/>
  <c r="I73" i="12"/>
  <c r="H74" i="12" s="1"/>
  <c r="G73" i="12"/>
  <c r="I72" i="3"/>
  <c r="H73" i="3" s="1"/>
  <c r="G72" i="3"/>
  <c r="P72" i="3"/>
  <c r="O72" i="3"/>
  <c r="N72" i="3"/>
  <c r="M72" i="3"/>
  <c r="L72" i="3"/>
  <c r="K72" i="3"/>
  <c r="J72" i="3"/>
  <c r="J73" i="3" l="1"/>
  <c r="L73" i="3"/>
  <c r="K73" i="3"/>
  <c r="I73" i="3"/>
  <c r="H74" i="3" s="1"/>
  <c r="G73" i="3"/>
  <c r="P73" i="3"/>
  <c r="O73" i="3"/>
  <c r="N73" i="3"/>
  <c r="M73" i="3"/>
  <c r="N74" i="12"/>
  <c r="M74" i="12"/>
  <c r="L74" i="12"/>
  <c r="J74" i="12"/>
  <c r="I74" i="12"/>
  <c r="H75" i="12" s="1"/>
  <c r="G74" i="12"/>
  <c r="P74" i="12"/>
  <c r="O74" i="12"/>
  <c r="K74" i="12"/>
  <c r="N73" i="11"/>
  <c r="M73" i="11"/>
  <c r="P73" i="11"/>
  <c r="O73" i="11"/>
  <c r="L73" i="11"/>
  <c r="K73" i="11"/>
  <c r="J73" i="11"/>
  <c r="G73" i="11"/>
  <c r="I73" i="11"/>
  <c r="H74" i="11" s="1"/>
  <c r="L74" i="3" l="1"/>
  <c r="O74" i="3"/>
  <c r="N74" i="3"/>
  <c r="M74" i="3"/>
  <c r="K74" i="3"/>
  <c r="J74" i="3"/>
  <c r="I74" i="3"/>
  <c r="H75" i="3" s="1"/>
  <c r="G74" i="3"/>
  <c r="P74" i="3"/>
  <c r="P74" i="11"/>
  <c r="O74" i="11"/>
  <c r="N74" i="11"/>
  <c r="L74" i="11"/>
  <c r="J74" i="11"/>
  <c r="I74" i="11"/>
  <c r="H75" i="11" s="1"/>
  <c r="M74" i="11"/>
  <c r="K74" i="11"/>
  <c r="G74" i="11"/>
  <c r="P75" i="12"/>
  <c r="O75" i="12"/>
  <c r="N75" i="12"/>
  <c r="M75" i="12"/>
  <c r="L75" i="12"/>
  <c r="K75" i="12"/>
  <c r="J75" i="12"/>
  <c r="I75" i="12"/>
  <c r="H76" i="12" s="1"/>
  <c r="G75" i="12"/>
  <c r="N75" i="3" l="1"/>
  <c r="P75" i="3"/>
  <c r="O75" i="3"/>
  <c r="M75" i="3"/>
  <c r="L75" i="3"/>
  <c r="K75" i="3"/>
  <c r="J75" i="3"/>
  <c r="I75" i="3"/>
  <c r="H76" i="3" s="1"/>
  <c r="G75" i="3"/>
  <c r="J75" i="11"/>
  <c r="I75" i="11"/>
  <c r="H76" i="11" s="1"/>
  <c r="G75" i="11"/>
  <c r="P75" i="11"/>
  <c r="N75" i="11"/>
  <c r="M75" i="11"/>
  <c r="L75" i="11"/>
  <c r="O75" i="11"/>
  <c r="K75" i="11"/>
  <c r="P76" i="12"/>
  <c r="G76" i="12"/>
  <c r="M76" i="12"/>
  <c r="L76" i="12"/>
  <c r="K76" i="12"/>
  <c r="J76" i="12"/>
  <c r="I76" i="12"/>
  <c r="H77" i="12" s="1"/>
  <c r="O76" i="12"/>
  <c r="N76" i="12"/>
  <c r="G76" i="11" l="1"/>
  <c r="N76" i="11"/>
  <c r="M76" i="11"/>
  <c r="L76" i="11"/>
  <c r="K76" i="11"/>
  <c r="J76" i="11"/>
  <c r="P76" i="11"/>
  <c r="O76" i="11"/>
  <c r="I76" i="11"/>
  <c r="H77" i="11" s="1"/>
  <c r="P76" i="3"/>
  <c r="G76" i="3"/>
  <c r="O76" i="3"/>
  <c r="N76" i="3"/>
  <c r="M76" i="3"/>
  <c r="L76" i="3"/>
  <c r="I76" i="3"/>
  <c r="H77" i="3" s="1"/>
  <c r="J76" i="3"/>
  <c r="K76" i="3"/>
  <c r="G77" i="12"/>
  <c r="M77" i="12"/>
  <c r="L77" i="12"/>
  <c r="K77" i="12"/>
  <c r="J77" i="12"/>
  <c r="I77" i="12"/>
  <c r="H78" i="12" s="1"/>
  <c r="N77" i="12"/>
  <c r="P77" i="12"/>
  <c r="O77" i="12"/>
  <c r="J78" i="12" l="1"/>
  <c r="I78" i="12"/>
  <c r="H79" i="12" s="1"/>
  <c r="P78" i="12"/>
  <c r="O78" i="12"/>
  <c r="N78" i="12"/>
  <c r="M78" i="12"/>
  <c r="L78" i="12"/>
  <c r="K78" i="12"/>
  <c r="G78" i="12"/>
  <c r="J77" i="11"/>
  <c r="I77" i="11"/>
  <c r="H78" i="11" s="1"/>
  <c r="P77" i="11"/>
  <c r="O77" i="11"/>
  <c r="N77" i="11"/>
  <c r="L77" i="11"/>
  <c r="G77" i="11"/>
  <c r="M77" i="11"/>
  <c r="K77" i="11"/>
  <c r="K77" i="3"/>
  <c r="J77" i="3"/>
  <c r="I77" i="3"/>
  <c r="H78" i="3" s="1"/>
  <c r="G77" i="3"/>
  <c r="P77" i="3"/>
  <c r="O77" i="3"/>
  <c r="N77" i="3"/>
  <c r="M77" i="3"/>
  <c r="L77" i="3"/>
  <c r="L78" i="11" l="1"/>
  <c r="K78" i="11"/>
  <c r="G78" i="11"/>
  <c r="P78" i="11"/>
  <c r="N78" i="11"/>
  <c r="M78" i="11"/>
  <c r="J78" i="11"/>
  <c r="O78" i="11"/>
  <c r="I78" i="11"/>
  <c r="H79" i="11" s="1"/>
  <c r="N78" i="3"/>
  <c r="M78" i="3"/>
  <c r="L78" i="3"/>
  <c r="K78" i="3"/>
  <c r="J78" i="3"/>
  <c r="I78" i="3"/>
  <c r="H79" i="3" s="1"/>
  <c r="G78" i="3"/>
  <c r="P78" i="3"/>
  <c r="O78" i="3"/>
  <c r="L79" i="12"/>
  <c r="K79" i="12"/>
  <c r="J79" i="12"/>
  <c r="G79" i="12"/>
  <c r="N79" i="12"/>
  <c r="M79" i="12"/>
  <c r="I79" i="12"/>
  <c r="H80" i="12" s="1"/>
  <c r="P79" i="12"/>
  <c r="O79" i="12"/>
  <c r="N79" i="11" l="1"/>
  <c r="M79" i="11"/>
  <c r="L79" i="11"/>
  <c r="K79" i="11"/>
  <c r="J79" i="11"/>
  <c r="I79" i="11"/>
  <c r="H80" i="11" s="1"/>
  <c r="P79" i="11"/>
  <c r="O79" i="11"/>
  <c r="G79" i="11"/>
  <c r="J79" i="3"/>
  <c r="P79" i="3"/>
  <c r="O79" i="3"/>
  <c r="N79" i="3"/>
  <c r="M79" i="3"/>
  <c r="L79" i="3"/>
  <c r="K79" i="3"/>
  <c r="I79" i="3"/>
  <c r="H80" i="3" s="1"/>
  <c r="G79" i="3"/>
  <c r="N80" i="12"/>
  <c r="M80" i="12"/>
  <c r="L80" i="12"/>
  <c r="P80" i="12"/>
  <c r="O80" i="12"/>
  <c r="K80" i="12"/>
  <c r="J80" i="12"/>
  <c r="I80" i="12"/>
  <c r="H81" i="12" s="1"/>
  <c r="G80" i="12"/>
  <c r="P80" i="11" l="1"/>
  <c r="O80" i="11"/>
  <c r="M80" i="11"/>
  <c r="N80" i="11"/>
  <c r="L80" i="11"/>
  <c r="J80" i="11"/>
  <c r="G80" i="11"/>
  <c r="K80" i="11"/>
  <c r="I80" i="11"/>
  <c r="H81" i="11" s="1"/>
  <c r="L80" i="3"/>
  <c r="G80" i="3"/>
  <c r="P80" i="3"/>
  <c r="O80" i="3"/>
  <c r="N80" i="3"/>
  <c r="M80" i="3"/>
  <c r="K80" i="3"/>
  <c r="J80" i="3"/>
  <c r="I80" i="3"/>
  <c r="H81" i="3" s="1"/>
  <c r="P81" i="12"/>
  <c r="O81" i="12"/>
  <c r="N81" i="12"/>
  <c r="M81" i="12"/>
  <c r="L81" i="12"/>
  <c r="K81" i="12"/>
  <c r="J81" i="12"/>
  <c r="I81" i="12"/>
  <c r="H82" i="12" s="1"/>
  <c r="G81" i="12"/>
  <c r="O81" i="11" l="1"/>
  <c r="I81" i="11"/>
  <c r="H82" i="11" s="1"/>
  <c r="G81" i="11"/>
  <c r="P81" i="11"/>
  <c r="M81" i="11"/>
  <c r="L81" i="11"/>
  <c r="K81" i="11"/>
  <c r="N81" i="11"/>
  <c r="J81" i="11"/>
  <c r="N81" i="3"/>
  <c r="J81" i="3"/>
  <c r="I81" i="3"/>
  <c r="H82" i="3" s="1"/>
  <c r="G81" i="3"/>
  <c r="P81" i="3"/>
  <c r="O81" i="3"/>
  <c r="M81" i="3"/>
  <c r="K81" i="3"/>
  <c r="L81" i="3"/>
  <c r="P82" i="12"/>
  <c r="K82" i="12"/>
  <c r="J82" i="12"/>
  <c r="I82" i="12"/>
  <c r="H83" i="12" s="1"/>
  <c r="G82" i="12"/>
  <c r="L82" i="12"/>
  <c r="O82" i="12"/>
  <c r="N82" i="12"/>
  <c r="M82" i="12"/>
  <c r="G83" i="12" l="1"/>
  <c r="P83" i="12"/>
  <c r="O83" i="12"/>
  <c r="N83" i="12"/>
  <c r="M83" i="12"/>
  <c r="L83" i="12"/>
  <c r="K83" i="12"/>
  <c r="J83" i="12"/>
  <c r="I83" i="12"/>
  <c r="H84" i="12" s="1"/>
  <c r="G82" i="11"/>
  <c r="N82" i="11"/>
  <c r="M82" i="11"/>
  <c r="L82" i="11"/>
  <c r="K82" i="11"/>
  <c r="J82" i="11"/>
  <c r="P82" i="11"/>
  <c r="O82" i="11"/>
  <c r="I82" i="11"/>
  <c r="H83" i="11" s="1"/>
  <c r="P82" i="3"/>
  <c r="M82" i="3"/>
  <c r="L82" i="3"/>
  <c r="K82" i="3"/>
  <c r="J82" i="3"/>
  <c r="I82" i="3"/>
  <c r="H83" i="3" s="1"/>
  <c r="G82" i="3"/>
  <c r="O82" i="3"/>
  <c r="N82" i="3"/>
  <c r="P83" i="3" l="1"/>
  <c r="O83" i="3"/>
  <c r="N83" i="3"/>
  <c r="M83" i="3"/>
  <c r="L83" i="3"/>
  <c r="K83" i="3"/>
  <c r="J83" i="3"/>
  <c r="I83" i="3"/>
  <c r="H84" i="3" s="1"/>
  <c r="G83" i="3"/>
  <c r="J84" i="12"/>
  <c r="I84" i="12"/>
  <c r="H85" i="12" s="1"/>
  <c r="O84" i="12"/>
  <c r="N84" i="12"/>
  <c r="M84" i="12"/>
  <c r="L84" i="12"/>
  <c r="K84" i="12"/>
  <c r="G84" i="12"/>
  <c r="P84" i="12"/>
  <c r="J83" i="11"/>
  <c r="I83" i="11"/>
  <c r="H84" i="11" s="1"/>
  <c r="G83" i="11"/>
  <c r="P83" i="11"/>
  <c r="O83" i="11"/>
  <c r="M83" i="11"/>
  <c r="K83" i="11"/>
  <c r="N83" i="11"/>
  <c r="L83" i="11"/>
  <c r="P84" i="3" l="1"/>
  <c r="O84" i="3"/>
  <c r="N84" i="3"/>
  <c r="M84" i="3"/>
  <c r="L84" i="3"/>
  <c r="K84" i="3"/>
  <c r="J84" i="3"/>
  <c r="I84" i="3"/>
  <c r="H85" i="3" s="1"/>
  <c r="G84" i="3"/>
  <c r="L84" i="11"/>
  <c r="K84" i="11"/>
  <c r="I84" i="11"/>
  <c r="H85" i="11" s="1"/>
  <c r="J84" i="11"/>
  <c r="G84" i="11"/>
  <c r="P84" i="11"/>
  <c r="O84" i="11"/>
  <c r="N84" i="11"/>
  <c r="M84" i="11"/>
  <c r="L85" i="12"/>
  <c r="K85" i="12"/>
  <c r="J85" i="12"/>
  <c r="N85" i="12"/>
  <c r="M85" i="12"/>
  <c r="I85" i="12"/>
  <c r="H86" i="12" s="1"/>
  <c r="G85" i="12"/>
  <c r="P85" i="12"/>
  <c r="O85" i="12"/>
  <c r="J85" i="3" l="1"/>
  <c r="I85" i="3"/>
  <c r="H86" i="3" s="1"/>
  <c r="G85" i="3"/>
  <c r="P85" i="3"/>
  <c r="O85" i="3"/>
  <c r="N85" i="3"/>
  <c r="M85" i="3"/>
  <c r="L85" i="3"/>
  <c r="K85" i="3"/>
  <c r="N85" i="11"/>
  <c r="M85" i="11"/>
  <c r="K85" i="11"/>
  <c r="P85" i="11"/>
  <c r="O85" i="11"/>
  <c r="L85" i="11"/>
  <c r="J85" i="11"/>
  <c r="G85" i="11"/>
  <c r="I85" i="11"/>
  <c r="H86" i="11" s="1"/>
  <c r="N86" i="12"/>
  <c r="M86" i="12"/>
  <c r="L86" i="12"/>
  <c r="P86" i="12"/>
  <c r="O86" i="12"/>
  <c r="K86" i="12"/>
  <c r="J86" i="12"/>
  <c r="I86" i="12"/>
  <c r="H87" i="12" s="1"/>
  <c r="G86" i="12"/>
  <c r="P86" i="11" l="1"/>
  <c r="O86" i="11"/>
  <c r="M86" i="11"/>
  <c r="G86" i="11"/>
  <c r="N86" i="11"/>
  <c r="K86" i="11"/>
  <c r="J86" i="11"/>
  <c r="I86" i="11"/>
  <c r="H87" i="11" s="1"/>
  <c r="L86" i="11"/>
  <c r="P87" i="12"/>
  <c r="O87" i="12"/>
  <c r="N87" i="12"/>
  <c r="I87" i="12"/>
  <c r="H88" i="12" s="1"/>
  <c r="G87" i="12"/>
  <c r="M87" i="12"/>
  <c r="L87" i="12"/>
  <c r="K87" i="12"/>
  <c r="J87" i="12"/>
  <c r="L86" i="3"/>
  <c r="M86" i="3"/>
  <c r="K86" i="3"/>
  <c r="J86" i="3"/>
  <c r="I86" i="3"/>
  <c r="H87" i="3" s="1"/>
  <c r="G86" i="3"/>
  <c r="O86" i="3"/>
  <c r="P86" i="3"/>
  <c r="N86" i="3"/>
  <c r="O87" i="11" l="1"/>
  <c r="L87" i="11"/>
  <c r="K87" i="11"/>
  <c r="J87" i="11"/>
  <c r="I87" i="11"/>
  <c r="H88" i="11" s="1"/>
  <c r="P87" i="11"/>
  <c r="N87" i="11"/>
  <c r="M87" i="11"/>
  <c r="G87" i="11"/>
  <c r="N87" i="3"/>
  <c r="P87" i="3"/>
  <c r="O87" i="3"/>
  <c r="M87" i="3"/>
  <c r="L87" i="3"/>
  <c r="K87" i="3"/>
  <c r="J87" i="3"/>
  <c r="I87" i="3"/>
  <c r="H88" i="3" s="1"/>
  <c r="G87" i="3"/>
  <c r="P88" i="12"/>
  <c r="N88" i="12"/>
  <c r="M88" i="12"/>
  <c r="L88" i="12"/>
  <c r="K88" i="12"/>
  <c r="J88" i="12"/>
  <c r="I88" i="12"/>
  <c r="H89" i="12" s="1"/>
  <c r="O88" i="12"/>
  <c r="G88" i="12"/>
  <c r="P88" i="3" l="1"/>
  <c r="O88" i="3"/>
  <c r="N88" i="3"/>
  <c r="M88" i="3"/>
  <c r="L88" i="3"/>
  <c r="K88" i="3"/>
  <c r="J88" i="3"/>
  <c r="I88" i="3"/>
  <c r="H89" i="3" s="1"/>
  <c r="G88" i="3"/>
  <c r="G88" i="11"/>
  <c r="P88" i="11"/>
  <c r="O88" i="11"/>
  <c r="N88" i="11"/>
  <c r="M88" i="11"/>
  <c r="K88" i="11"/>
  <c r="I88" i="11"/>
  <c r="H89" i="11" s="1"/>
  <c r="L88" i="11"/>
  <c r="J88" i="11"/>
  <c r="G89" i="12"/>
  <c r="P89" i="12"/>
  <c r="O89" i="12"/>
  <c r="N89" i="12"/>
  <c r="M89" i="12"/>
  <c r="L89" i="12"/>
  <c r="K89" i="12"/>
  <c r="J89" i="12"/>
  <c r="I89" i="12"/>
  <c r="H90" i="12" s="1"/>
  <c r="I89" i="3" l="1"/>
  <c r="H90" i="3" s="1"/>
  <c r="G89" i="3"/>
  <c r="P89" i="3"/>
  <c r="O89" i="3"/>
  <c r="N89" i="3"/>
  <c r="M89" i="3"/>
  <c r="L89" i="3"/>
  <c r="K89" i="3"/>
  <c r="J89" i="3"/>
  <c r="J89" i="11"/>
  <c r="I89" i="11"/>
  <c r="H90" i="11" s="1"/>
  <c r="G89" i="11"/>
  <c r="P89" i="11"/>
  <c r="N89" i="11"/>
  <c r="M89" i="11"/>
  <c r="L89" i="11"/>
  <c r="O89" i="11"/>
  <c r="K89" i="11"/>
  <c r="J90" i="12"/>
  <c r="I90" i="12"/>
  <c r="H91" i="12" s="1"/>
  <c r="L90" i="12"/>
  <c r="K90" i="12"/>
  <c r="G90" i="12"/>
  <c r="N90" i="12"/>
  <c r="M90" i="12"/>
  <c r="P90" i="12"/>
  <c r="O90" i="12"/>
  <c r="L90" i="11" l="1"/>
  <c r="K90" i="11"/>
  <c r="J90" i="11"/>
  <c r="I90" i="11"/>
  <c r="H91" i="11" s="1"/>
  <c r="P90" i="11"/>
  <c r="O90" i="11"/>
  <c r="N90" i="11"/>
  <c r="M90" i="11"/>
  <c r="G90" i="11"/>
  <c r="L91" i="12"/>
  <c r="K91" i="12"/>
  <c r="J91" i="12"/>
  <c r="P91" i="12"/>
  <c r="O91" i="12"/>
  <c r="N91" i="12"/>
  <c r="M91" i="12"/>
  <c r="G91" i="12"/>
  <c r="I91" i="12"/>
  <c r="H92" i="12" s="1"/>
  <c r="J90" i="3"/>
  <c r="M90" i="3"/>
  <c r="L90" i="3"/>
  <c r="K90" i="3"/>
  <c r="I90" i="3"/>
  <c r="H91" i="3" s="1"/>
  <c r="G90" i="3"/>
  <c r="P90" i="3"/>
  <c r="O90" i="3"/>
  <c r="N90" i="3"/>
  <c r="O91" i="3" l="1"/>
  <c r="L91" i="3"/>
  <c r="J91" i="3"/>
  <c r="P91" i="3"/>
  <c r="N91" i="3"/>
  <c r="M91" i="3"/>
  <c r="K91" i="3"/>
  <c r="I91" i="3"/>
  <c r="H92" i="3" s="1"/>
  <c r="G91" i="3"/>
  <c r="N92" i="12"/>
  <c r="M92" i="12"/>
  <c r="L92" i="12"/>
  <c r="G92" i="12"/>
  <c r="P92" i="12"/>
  <c r="O92" i="12"/>
  <c r="K92" i="12"/>
  <c r="J92" i="12"/>
  <c r="I92" i="12"/>
  <c r="H93" i="12" s="1"/>
  <c r="N91" i="11"/>
  <c r="M91" i="11"/>
  <c r="L91" i="11"/>
  <c r="K91" i="11"/>
  <c r="P91" i="11"/>
  <c r="J91" i="11"/>
  <c r="I91" i="11"/>
  <c r="H92" i="11" s="1"/>
  <c r="O91" i="11"/>
  <c r="G91" i="11"/>
  <c r="P93" i="12" l="1"/>
  <c r="O93" i="12"/>
  <c r="N93" i="12"/>
  <c r="L93" i="12"/>
  <c r="K93" i="12"/>
  <c r="J93" i="12"/>
  <c r="I93" i="12"/>
  <c r="H94" i="12" s="1"/>
  <c r="G93" i="12"/>
  <c r="M93" i="12"/>
  <c r="G92" i="3"/>
  <c r="N92" i="3"/>
  <c r="L92" i="3"/>
  <c r="I92" i="3"/>
  <c r="H93" i="3" s="1"/>
  <c r="P92" i="3"/>
  <c r="O92" i="3"/>
  <c r="M92" i="3"/>
  <c r="J92" i="3"/>
  <c r="K92" i="3"/>
  <c r="P92" i="11"/>
  <c r="O92" i="11"/>
  <c r="N92" i="11"/>
  <c r="M92" i="11"/>
  <c r="L92" i="11"/>
  <c r="K92" i="11"/>
  <c r="J92" i="11"/>
  <c r="I92" i="11"/>
  <c r="H93" i="11" s="1"/>
  <c r="G92" i="11"/>
  <c r="P94" i="12" l="1"/>
  <c r="O94" i="12"/>
  <c r="N94" i="12"/>
  <c r="M94" i="12"/>
  <c r="L94" i="12"/>
  <c r="K94" i="12"/>
  <c r="J94" i="12"/>
  <c r="I94" i="12"/>
  <c r="H95" i="12" s="1"/>
  <c r="G94" i="12"/>
  <c r="P93" i="11"/>
  <c r="O93" i="11"/>
  <c r="N93" i="11"/>
  <c r="M93" i="11"/>
  <c r="L93" i="11"/>
  <c r="J93" i="11"/>
  <c r="I93" i="11"/>
  <c r="H94" i="11" s="1"/>
  <c r="K93" i="11"/>
  <c r="G93" i="11"/>
  <c r="I93" i="3"/>
  <c r="H94" i="3" s="1"/>
  <c r="G93" i="3"/>
  <c r="P93" i="3"/>
  <c r="N93" i="3"/>
  <c r="O93" i="3"/>
  <c r="M93" i="3"/>
  <c r="L93" i="3"/>
  <c r="K93" i="3"/>
  <c r="J93" i="3"/>
  <c r="K94" i="3" l="1"/>
  <c r="I94" i="3"/>
  <c r="H95" i="3" s="1"/>
  <c r="P94" i="3"/>
  <c r="G94" i="3"/>
  <c r="O94" i="3"/>
  <c r="N94" i="3"/>
  <c r="M94" i="3"/>
  <c r="L94" i="3"/>
  <c r="J94" i="3"/>
  <c r="G95" i="12"/>
  <c r="J95" i="12"/>
  <c r="I95" i="12"/>
  <c r="H96" i="12" s="1"/>
  <c r="O95" i="12"/>
  <c r="N95" i="12"/>
  <c r="M95" i="12"/>
  <c r="L95" i="12"/>
  <c r="K95" i="12"/>
  <c r="P95" i="12"/>
  <c r="G94" i="11"/>
  <c r="L94" i="11"/>
  <c r="K94" i="11"/>
  <c r="J94" i="11"/>
  <c r="I94" i="11"/>
  <c r="H95" i="11" s="1"/>
  <c r="P94" i="11"/>
  <c r="O94" i="11"/>
  <c r="N94" i="11"/>
  <c r="M94" i="11"/>
  <c r="J95" i="11" l="1"/>
  <c r="I95" i="11"/>
  <c r="H96" i="11" s="1"/>
  <c r="G95" i="11"/>
  <c r="P95" i="11"/>
  <c r="O95" i="11"/>
  <c r="N95" i="11"/>
  <c r="M95" i="11"/>
  <c r="L95" i="11"/>
  <c r="K95" i="11"/>
  <c r="J96" i="12"/>
  <c r="I96" i="12"/>
  <c r="H97" i="12" s="1"/>
  <c r="O96" i="12"/>
  <c r="N96" i="12"/>
  <c r="M96" i="12"/>
  <c r="L96" i="12"/>
  <c r="K96" i="12"/>
  <c r="P96" i="12"/>
  <c r="G96" i="12"/>
  <c r="M95" i="3"/>
  <c r="K95" i="3"/>
  <c r="O95" i="3"/>
  <c r="N95" i="3"/>
  <c r="L95" i="3"/>
  <c r="J95" i="3"/>
  <c r="I95" i="3"/>
  <c r="H96" i="3" s="1"/>
  <c r="G95" i="3"/>
  <c r="P95" i="3"/>
  <c r="L96" i="11" l="1"/>
  <c r="K96" i="11"/>
  <c r="J96" i="11"/>
  <c r="I96" i="11"/>
  <c r="H97" i="11" s="1"/>
  <c r="G96" i="11"/>
  <c r="P96" i="11"/>
  <c r="O96" i="11"/>
  <c r="N96" i="11"/>
  <c r="M96" i="11"/>
  <c r="L97" i="12"/>
  <c r="K97" i="12"/>
  <c r="J97" i="12"/>
  <c r="P97" i="12"/>
  <c r="O97" i="12"/>
  <c r="N97" i="12"/>
  <c r="M97" i="12"/>
  <c r="I97" i="12"/>
  <c r="H98" i="12" s="1"/>
  <c r="G97" i="12"/>
  <c r="O96" i="3"/>
  <c r="M96" i="3"/>
  <c r="J96" i="3"/>
  <c r="P96" i="3"/>
  <c r="N96" i="3"/>
  <c r="L96" i="3"/>
  <c r="K96" i="3"/>
  <c r="I96" i="3"/>
  <c r="H97" i="3" s="1"/>
  <c r="G96" i="3"/>
  <c r="N98" i="12" l="1"/>
  <c r="M98" i="12"/>
  <c r="L98" i="12"/>
  <c r="J98" i="12"/>
  <c r="I98" i="12"/>
  <c r="H99" i="12" s="1"/>
  <c r="G98" i="12"/>
  <c r="P98" i="12"/>
  <c r="O98" i="12"/>
  <c r="K98" i="12"/>
  <c r="N97" i="11"/>
  <c r="M97" i="11"/>
  <c r="L97" i="11"/>
  <c r="K97" i="11"/>
  <c r="P97" i="11"/>
  <c r="O97" i="11"/>
  <c r="J97" i="11"/>
  <c r="I97" i="11"/>
  <c r="H98" i="11" s="1"/>
  <c r="G97" i="11"/>
  <c r="O97" i="3"/>
  <c r="L97" i="3"/>
  <c r="J97" i="3"/>
  <c r="M97" i="3"/>
  <c r="K97" i="3"/>
  <c r="I97" i="3"/>
  <c r="H98" i="3" s="1"/>
  <c r="G97" i="3"/>
  <c r="P97" i="3"/>
  <c r="N97" i="3"/>
  <c r="G98" i="3" l="1"/>
  <c r="N98" i="3"/>
  <c r="L98" i="3"/>
  <c r="P98" i="3"/>
  <c r="O98" i="3"/>
  <c r="M98" i="3"/>
  <c r="K98" i="3"/>
  <c r="J98" i="3"/>
  <c r="I98" i="3"/>
  <c r="H99" i="3" s="1"/>
  <c r="P98" i="11"/>
  <c r="O98" i="11"/>
  <c r="N98" i="11"/>
  <c r="M98" i="11"/>
  <c r="G98" i="11"/>
  <c r="L98" i="11"/>
  <c r="K98" i="11"/>
  <c r="J98" i="11"/>
  <c r="I98" i="11"/>
  <c r="H99" i="11" s="1"/>
  <c r="P99" i="12"/>
  <c r="O99" i="12"/>
  <c r="N99" i="12"/>
  <c r="M99" i="12"/>
  <c r="L99" i="12"/>
  <c r="K99" i="12"/>
  <c r="I99" i="12"/>
  <c r="H100" i="12" s="1"/>
  <c r="J99" i="12"/>
  <c r="G99" i="12"/>
  <c r="P99" i="11" l="1"/>
  <c r="O99" i="11"/>
  <c r="N99" i="11"/>
  <c r="M99" i="11"/>
  <c r="L99" i="11"/>
  <c r="K99" i="11"/>
  <c r="J99" i="11"/>
  <c r="I99" i="11"/>
  <c r="H100" i="11" s="1"/>
  <c r="G99" i="11"/>
  <c r="I99" i="3"/>
  <c r="H100" i="3" s="1"/>
  <c r="G99" i="3"/>
  <c r="P99" i="3"/>
  <c r="N99" i="3"/>
  <c r="K99" i="3"/>
  <c r="J99" i="3"/>
  <c r="M99" i="3"/>
  <c r="O99" i="3"/>
  <c r="L99" i="3"/>
  <c r="P100" i="12"/>
  <c r="G100" i="12"/>
  <c r="O100" i="12"/>
  <c r="N100" i="12"/>
  <c r="M100" i="12"/>
  <c r="L100" i="12"/>
  <c r="K100" i="12"/>
  <c r="J100" i="12"/>
  <c r="I100" i="12"/>
  <c r="H101" i="12" s="1"/>
  <c r="K100" i="3" l="1"/>
  <c r="I100" i="3"/>
  <c r="H101" i="3" s="1"/>
  <c r="P100" i="3"/>
  <c r="O100" i="3"/>
  <c r="N100" i="3"/>
  <c r="M100" i="3"/>
  <c r="L100" i="3"/>
  <c r="J100" i="3"/>
  <c r="G100" i="3"/>
  <c r="G100" i="11"/>
  <c r="P100" i="11"/>
  <c r="O100" i="11"/>
  <c r="N100" i="11"/>
  <c r="L100" i="11"/>
  <c r="K100" i="11"/>
  <c r="J100" i="11"/>
  <c r="I100" i="11"/>
  <c r="H101" i="11" s="1"/>
  <c r="M100" i="11"/>
  <c r="G101" i="12"/>
  <c r="M101" i="12"/>
  <c r="L101" i="12"/>
  <c r="K101" i="12"/>
  <c r="J101" i="12"/>
  <c r="I101" i="12"/>
  <c r="H102" i="12" s="1"/>
  <c r="N101" i="12"/>
  <c r="P101" i="12"/>
  <c r="O101" i="12"/>
  <c r="J102" i="12" l="1"/>
  <c r="I102" i="12"/>
  <c r="H103" i="12" s="1"/>
  <c r="P102" i="12"/>
  <c r="O102" i="12"/>
  <c r="N102" i="12"/>
  <c r="M102" i="12"/>
  <c r="G102" i="12"/>
  <c r="L102" i="12"/>
  <c r="K102" i="12"/>
  <c r="J101" i="11"/>
  <c r="I101" i="11"/>
  <c r="H102" i="11" s="1"/>
  <c r="G101" i="11"/>
  <c r="N101" i="11"/>
  <c r="M101" i="11"/>
  <c r="L101" i="11"/>
  <c r="K101" i="11"/>
  <c r="P101" i="11"/>
  <c r="O101" i="11"/>
  <c r="M101" i="3"/>
  <c r="K101" i="3"/>
  <c r="I101" i="3"/>
  <c r="H102" i="3" s="1"/>
  <c r="G101" i="3"/>
  <c r="P101" i="3"/>
  <c r="O101" i="3"/>
  <c r="N101" i="3"/>
  <c r="L101" i="3"/>
  <c r="J101" i="3"/>
  <c r="L102" i="11" l="1"/>
  <c r="K102" i="11"/>
  <c r="J102" i="11"/>
  <c r="I102" i="11"/>
  <c r="H103" i="11" s="1"/>
  <c r="P102" i="11"/>
  <c r="O102" i="11"/>
  <c r="N102" i="11"/>
  <c r="G102" i="11"/>
  <c r="M102" i="11"/>
  <c r="O102" i="3"/>
  <c r="M102" i="3"/>
  <c r="J102" i="3"/>
  <c r="P102" i="3"/>
  <c r="N102" i="3"/>
  <c r="L102" i="3"/>
  <c r="K102" i="3"/>
  <c r="I102" i="3"/>
  <c r="H103" i="3" s="1"/>
  <c r="G102" i="3"/>
  <c r="L103" i="12"/>
  <c r="K103" i="12"/>
  <c r="J103" i="12"/>
  <c r="G103" i="12"/>
  <c r="P103" i="12"/>
  <c r="O103" i="12"/>
  <c r="N103" i="12"/>
  <c r="M103" i="12"/>
  <c r="I103" i="12"/>
  <c r="H104" i="12" s="1"/>
  <c r="N103" i="11" l="1"/>
  <c r="M103" i="11"/>
  <c r="L103" i="11"/>
  <c r="K103" i="11"/>
  <c r="J103" i="11"/>
  <c r="I103" i="11"/>
  <c r="H104" i="11" s="1"/>
  <c r="G103" i="11"/>
  <c r="P103" i="11"/>
  <c r="O103" i="11"/>
  <c r="O103" i="3"/>
  <c r="L103" i="3"/>
  <c r="J103" i="3"/>
  <c r="G103" i="3"/>
  <c r="P103" i="3"/>
  <c r="N103" i="3"/>
  <c r="M103" i="3"/>
  <c r="K103" i="3"/>
  <c r="I103" i="3"/>
  <c r="H104" i="3" s="1"/>
  <c r="N104" i="12"/>
  <c r="M104" i="12"/>
  <c r="L104" i="12"/>
  <c r="P104" i="12"/>
  <c r="O104" i="12"/>
  <c r="K104" i="12"/>
  <c r="J104" i="12"/>
  <c r="I104" i="12"/>
  <c r="H105" i="12" s="1"/>
  <c r="G104" i="12"/>
  <c r="G104" i="3" l="1"/>
  <c r="N104" i="3"/>
  <c r="L104" i="3"/>
  <c r="O104" i="3"/>
  <c r="M104" i="3"/>
  <c r="K104" i="3"/>
  <c r="J104" i="3"/>
  <c r="I104" i="3"/>
  <c r="H105" i="3" s="1"/>
  <c r="P104" i="3"/>
  <c r="P104" i="11"/>
  <c r="O104" i="11"/>
  <c r="N104" i="11"/>
  <c r="M104" i="11"/>
  <c r="L104" i="11"/>
  <c r="K104" i="11"/>
  <c r="J104" i="11"/>
  <c r="G104" i="11"/>
  <c r="I104" i="11"/>
  <c r="H105" i="11" s="1"/>
  <c r="P105" i="12"/>
  <c r="O105" i="12"/>
  <c r="N105" i="12"/>
  <c r="M105" i="12"/>
  <c r="L105" i="12"/>
  <c r="K105" i="12"/>
  <c r="J105" i="12"/>
  <c r="I105" i="12"/>
  <c r="H106" i="12" s="1"/>
  <c r="G105" i="12"/>
  <c r="P105" i="11" l="1"/>
  <c r="O105" i="11"/>
  <c r="J105" i="11"/>
  <c r="I105" i="11"/>
  <c r="H106" i="11" s="1"/>
  <c r="G105" i="11"/>
  <c r="N105" i="11"/>
  <c r="M105" i="11"/>
  <c r="L105" i="11"/>
  <c r="K105" i="11"/>
  <c r="I105" i="3"/>
  <c r="H106" i="3" s="1"/>
  <c r="G105" i="3"/>
  <c r="P105" i="3"/>
  <c r="N105" i="3"/>
  <c r="O105" i="3"/>
  <c r="M105" i="3"/>
  <c r="L105" i="3"/>
  <c r="K105" i="3"/>
  <c r="J105" i="3"/>
  <c r="P106" i="12"/>
  <c r="K106" i="12"/>
  <c r="J106" i="12"/>
  <c r="I106" i="12"/>
  <c r="H107" i="12" s="1"/>
  <c r="G106" i="12"/>
  <c r="O106" i="12"/>
  <c r="N106" i="12"/>
  <c r="M106" i="12"/>
  <c r="L106" i="12"/>
  <c r="G106" i="11" l="1"/>
  <c r="P106" i="11"/>
  <c r="O106" i="11"/>
  <c r="N106" i="11"/>
  <c r="M106" i="11"/>
  <c r="L106" i="11"/>
  <c r="K106" i="11"/>
  <c r="J106" i="11"/>
  <c r="I106" i="11"/>
  <c r="H107" i="11" s="1"/>
  <c r="G107" i="12"/>
  <c r="P107" i="12"/>
  <c r="O107" i="12"/>
  <c r="N107" i="12"/>
  <c r="M107" i="12"/>
  <c r="L107" i="12"/>
  <c r="K107" i="12"/>
  <c r="J107" i="12"/>
  <c r="I107" i="12"/>
  <c r="H108" i="12" s="1"/>
  <c r="K106" i="3"/>
  <c r="I106" i="3"/>
  <c r="H107" i="3" s="1"/>
  <c r="P106" i="3"/>
  <c r="M106" i="3"/>
  <c r="L106" i="3"/>
  <c r="J106" i="3"/>
  <c r="G106" i="3"/>
  <c r="N106" i="3"/>
  <c r="O106" i="3"/>
  <c r="M107" i="3" l="1"/>
  <c r="K107" i="3"/>
  <c r="P107" i="3"/>
  <c r="O107" i="3"/>
  <c r="N107" i="3"/>
  <c r="L107" i="3"/>
  <c r="J107" i="3"/>
  <c r="I107" i="3"/>
  <c r="H108" i="3" s="1"/>
  <c r="G107" i="3"/>
  <c r="J107" i="11"/>
  <c r="I107" i="11"/>
  <c r="H108" i="11" s="1"/>
  <c r="G107" i="11"/>
  <c r="P107" i="11"/>
  <c r="N107" i="11"/>
  <c r="M107" i="11"/>
  <c r="L107" i="11"/>
  <c r="K107" i="11"/>
  <c r="O107" i="11"/>
  <c r="J108" i="12"/>
  <c r="I108" i="12"/>
  <c r="H109" i="12" s="1"/>
  <c r="P108" i="12"/>
  <c r="O108" i="12"/>
  <c r="N108" i="12"/>
  <c r="M108" i="12"/>
  <c r="L108" i="12"/>
  <c r="K108" i="12"/>
  <c r="G108" i="12"/>
  <c r="L109" i="12" l="1"/>
  <c r="K109" i="12"/>
  <c r="J109" i="12"/>
  <c r="N109" i="12"/>
  <c r="M109" i="12"/>
  <c r="I109" i="12"/>
  <c r="H110" i="12" s="1"/>
  <c r="G109" i="12"/>
  <c r="P109" i="12"/>
  <c r="O109" i="12"/>
  <c r="L108" i="11"/>
  <c r="K108" i="11"/>
  <c r="J108" i="11"/>
  <c r="I108" i="11"/>
  <c r="H109" i="11" s="1"/>
  <c r="P108" i="11"/>
  <c r="O108" i="11"/>
  <c r="N108" i="11"/>
  <c r="M108" i="11"/>
  <c r="G108" i="11"/>
  <c r="O108" i="3"/>
  <c r="M108" i="3"/>
  <c r="K108" i="3"/>
  <c r="J108" i="3"/>
  <c r="L108" i="3"/>
  <c r="I108" i="3"/>
  <c r="H109" i="3" s="1"/>
  <c r="G108" i="3"/>
  <c r="P108" i="3"/>
  <c r="N108" i="3"/>
  <c r="N110" i="12" l="1"/>
  <c r="M110" i="12"/>
  <c r="L110" i="12"/>
  <c r="P110" i="12"/>
  <c r="O110" i="12"/>
  <c r="I110" i="12"/>
  <c r="H111" i="12" s="1"/>
  <c r="K110" i="12"/>
  <c r="J110" i="12"/>
  <c r="G110" i="12"/>
  <c r="O109" i="3"/>
  <c r="N109" i="3"/>
  <c r="M109" i="3"/>
  <c r="L109" i="3"/>
  <c r="J109" i="3"/>
  <c r="P109" i="3"/>
  <c r="K109" i="3"/>
  <c r="I109" i="3"/>
  <c r="H110" i="3" s="1"/>
  <c r="G109" i="3"/>
  <c r="N109" i="11"/>
  <c r="M109" i="11"/>
  <c r="L109" i="11"/>
  <c r="K109" i="11"/>
  <c r="P109" i="11"/>
  <c r="J109" i="11"/>
  <c r="I109" i="11"/>
  <c r="H110" i="11" s="1"/>
  <c r="G109" i="11"/>
  <c r="O109" i="11"/>
  <c r="P111" i="12" l="1"/>
  <c r="O111" i="12"/>
  <c r="N111" i="12"/>
  <c r="I111" i="12"/>
  <c r="H112" i="12" s="1"/>
  <c r="G111" i="12"/>
  <c r="M111" i="12"/>
  <c r="L111" i="12"/>
  <c r="K111" i="12"/>
  <c r="J111" i="12"/>
  <c r="G110" i="3"/>
  <c r="P110" i="3"/>
  <c r="O110" i="3"/>
  <c r="N110" i="3"/>
  <c r="L110" i="3"/>
  <c r="M110" i="3"/>
  <c r="K110" i="3"/>
  <c r="J110" i="3"/>
  <c r="I110" i="3"/>
  <c r="H111" i="3" s="1"/>
  <c r="P110" i="11"/>
  <c r="O110" i="11"/>
  <c r="N110" i="11"/>
  <c r="M110" i="11"/>
  <c r="L110" i="11"/>
  <c r="K110" i="11"/>
  <c r="J110" i="11"/>
  <c r="I110" i="11"/>
  <c r="H111" i="11" s="1"/>
  <c r="G110" i="11"/>
  <c r="I111" i="3" l="1"/>
  <c r="H112" i="3" s="1"/>
  <c r="G111" i="3"/>
  <c r="P111" i="3"/>
  <c r="N111" i="3"/>
  <c r="O111" i="3"/>
  <c r="M111" i="3"/>
  <c r="L111" i="3"/>
  <c r="K111" i="3"/>
  <c r="J111" i="3"/>
  <c r="P112" i="12"/>
  <c r="N112" i="12"/>
  <c r="M112" i="12"/>
  <c r="L112" i="12"/>
  <c r="K112" i="12"/>
  <c r="J112" i="12"/>
  <c r="I112" i="12"/>
  <c r="H113" i="12" s="1"/>
  <c r="G112" i="12"/>
  <c r="O112" i="12"/>
  <c r="P111" i="11"/>
  <c r="O111" i="11"/>
  <c r="N111" i="11"/>
  <c r="M111" i="11"/>
  <c r="L111" i="11"/>
  <c r="J111" i="11"/>
  <c r="I111" i="11"/>
  <c r="H112" i="11" s="1"/>
  <c r="G111" i="11"/>
  <c r="K111" i="11"/>
  <c r="G113" i="12" l="1"/>
  <c r="P113" i="12"/>
  <c r="O113" i="12"/>
  <c r="N113" i="12"/>
  <c r="M113" i="12"/>
  <c r="J113" i="12"/>
  <c r="L113" i="12"/>
  <c r="I113" i="12"/>
  <c r="H114" i="12" s="1"/>
  <c r="K113" i="12"/>
  <c r="G112" i="11"/>
  <c r="L112" i="11"/>
  <c r="K112" i="11"/>
  <c r="J112" i="11"/>
  <c r="I112" i="11"/>
  <c r="H113" i="11" s="1"/>
  <c r="P112" i="11"/>
  <c r="O112" i="11"/>
  <c r="N112" i="11"/>
  <c r="M112" i="11"/>
  <c r="K112" i="3"/>
  <c r="I112" i="3"/>
  <c r="H113" i="3" s="1"/>
  <c r="G112" i="3"/>
  <c r="P112" i="3"/>
  <c r="O112" i="3"/>
  <c r="N112" i="3"/>
  <c r="M112" i="3"/>
  <c r="L112" i="3"/>
  <c r="J112" i="3"/>
  <c r="J114" i="12" l="1"/>
  <c r="I114" i="12"/>
  <c r="H115" i="12" s="1"/>
  <c r="L114" i="12"/>
  <c r="K114" i="12"/>
  <c r="G114" i="12"/>
  <c r="P114" i="12"/>
  <c r="O114" i="12"/>
  <c r="N114" i="12"/>
  <c r="M114" i="12"/>
  <c r="M113" i="3"/>
  <c r="K113" i="3"/>
  <c r="J113" i="3"/>
  <c r="I113" i="3"/>
  <c r="H114" i="3" s="1"/>
  <c r="G113" i="3"/>
  <c r="P113" i="3"/>
  <c r="O113" i="3"/>
  <c r="N113" i="3"/>
  <c r="L113" i="3"/>
  <c r="J113" i="11"/>
  <c r="I113" i="11"/>
  <c r="H114" i="11" s="1"/>
  <c r="G113" i="11"/>
  <c r="P113" i="11"/>
  <c r="O113" i="11"/>
  <c r="N113" i="11"/>
  <c r="M113" i="11"/>
  <c r="L113" i="11"/>
  <c r="K113" i="11"/>
  <c r="L114" i="11" l="1"/>
  <c r="K114" i="11"/>
  <c r="J114" i="11"/>
  <c r="I114" i="11"/>
  <c r="H115" i="11" s="1"/>
  <c r="G114" i="11"/>
  <c r="P114" i="11"/>
  <c r="O114" i="11"/>
  <c r="N114" i="11"/>
  <c r="M114" i="11"/>
  <c r="L115" i="12"/>
  <c r="K115" i="12"/>
  <c r="J115" i="12"/>
  <c r="P115" i="12"/>
  <c r="O115" i="12"/>
  <c r="N115" i="12"/>
  <c r="M115" i="12"/>
  <c r="G115" i="12"/>
  <c r="I115" i="12"/>
  <c r="H116" i="12" s="1"/>
  <c r="O114" i="3"/>
  <c r="M114" i="3"/>
  <c r="L114" i="3"/>
  <c r="K114" i="3"/>
  <c r="J114" i="3"/>
  <c r="P114" i="3"/>
  <c r="N114" i="3"/>
  <c r="I114" i="3"/>
  <c r="H115" i="3" s="1"/>
  <c r="G114" i="3"/>
  <c r="N116" i="12" l="1"/>
  <c r="M116" i="12"/>
  <c r="L116" i="12"/>
  <c r="G116" i="12"/>
  <c r="P116" i="12"/>
  <c r="O116" i="12"/>
  <c r="K116" i="12"/>
  <c r="J116" i="12"/>
  <c r="I116" i="12"/>
  <c r="H117" i="12" s="1"/>
  <c r="P115" i="3"/>
  <c r="O115" i="3"/>
  <c r="N115" i="3"/>
  <c r="M115" i="3"/>
  <c r="L115" i="3"/>
  <c r="J115" i="3"/>
  <c r="K115" i="3"/>
  <c r="I115" i="3"/>
  <c r="H116" i="3" s="1"/>
  <c r="G115" i="3"/>
  <c r="N115" i="11"/>
  <c r="M115" i="11"/>
  <c r="L115" i="11"/>
  <c r="K115" i="11"/>
  <c r="P115" i="11"/>
  <c r="O115" i="11"/>
  <c r="J115" i="11"/>
  <c r="I115" i="11"/>
  <c r="H116" i="11" s="1"/>
  <c r="G115" i="11"/>
  <c r="P117" i="12" l="1"/>
  <c r="O117" i="12"/>
  <c r="N117" i="12"/>
  <c r="L117" i="12"/>
  <c r="K117" i="12"/>
  <c r="J117" i="12"/>
  <c r="I117" i="12"/>
  <c r="H118" i="12" s="1"/>
  <c r="M117" i="12"/>
  <c r="G117" i="12"/>
  <c r="G116" i="3"/>
  <c r="P116" i="3"/>
  <c r="O116" i="3"/>
  <c r="N116" i="3"/>
  <c r="L116" i="3"/>
  <c r="M116" i="3"/>
  <c r="K116" i="3"/>
  <c r="I116" i="3"/>
  <c r="H117" i="3" s="1"/>
  <c r="J116" i="3"/>
  <c r="P116" i="11"/>
  <c r="O116" i="11"/>
  <c r="N116" i="11"/>
  <c r="M116" i="11"/>
  <c r="G116" i="11"/>
  <c r="L116" i="11"/>
  <c r="K116" i="11"/>
  <c r="J116" i="11"/>
  <c r="I116" i="11"/>
  <c r="H117" i="11" s="1"/>
  <c r="P118" i="12" l="1"/>
  <c r="N118" i="12"/>
  <c r="O118" i="12"/>
  <c r="M118" i="12"/>
  <c r="L118" i="12"/>
  <c r="G118" i="12"/>
  <c r="K118" i="12"/>
  <c r="J118" i="12"/>
  <c r="I118" i="12"/>
  <c r="H119" i="12" s="1"/>
  <c r="I117" i="3"/>
  <c r="H118" i="3" s="1"/>
  <c r="G117" i="3"/>
  <c r="P117" i="3"/>
  <c r="N117" i="3"/>
  <c r="O117" i="3"/>
  <c r="M117" i="3"/>
  <c r="L117" i="3"/>
  <c r="K117" i="3"/>
  <c r="J117" i="3"/>
  <c r="P117" i="11"/>
  <c r="O117" i="11"/>
  <c r="N117" i="11"/>
  <c r="M117" i="11"/>
  <c r="L117" i="11"/>
  <c r="K117" i="11"/>
  <c r="J117" i="11"/>
  <c r="I117" i="11"/>
  <c r="H118" i="11" s="1"/>
  <c r="G117" i="11"/>
  <c r="K118" i="3" l="1"/>
  <c r="J118" i="3"/>
  <c r="I118" i="3"/>
  <c r="H119" i="3" s="1"/>
  <c r="G118" i="3"/>
  <c r="P118" i="3"/>
  <c r="M118" i="3"/>
  <c r="L118" i="3"/>
  <c r="O118" i="3"/>
  <c r="N118" i="3"/>
  <c r="G119" i="12"/>
  <c r="P119" i="12"/>
  <c r="K119" i="12"/>
  <c r="J119" i="12"/>
  <c r="I119" i="12"/>
  <c r="H120" i="12" s="1"/>
  <c r="O119" i="12"/>
  <c r="N119" i="12"/>
  <c r="M119" i="12"/>
  <c r="L119" i="12"/>
  <c r="G118" i="11"/>
  <c r="P118" i="11"/>
  <c r="O118" i="11"/>
  <c r="N118" i="11"/>
  <c r="L118" i="11"/>
  <c r="K118" i="11"/>
  <c r="J118" i="11"/>
  <c r="I118" i="11"/>
  <c r="H119" i="11" s="1"/>
  <c r="M118" i="11"/>
  <c r="J119" i="11" l="1"/>
  <c r="I119" i="11"/>
  <c r="H120" i="11" s="1"/>
  <c r="G119" i="11"/>
  <c r="N119" i="11"/>
  <c r="M119" i="11"/>
  <c r="L119" i="11"/>
  <c r="K119" i="11"/>
  <c r="P119" i="11"/>
  <c r="O119" i="11"/>
  <c r="J120" i="12"/>
  <c r="I120" i="12"/>
  <c r="H121" i="12" s="1"/>
  <c r="P120" i="12"/>
  <c r="O120" i="12"/>
  <c r="N120" i="12"/>
  <c r="M120" i="12"/>
  <c r="L120" i="12"/>
  <c r="K120" i="12"/>
  <c r="G120" i="12"/>
  <c r="M119" i="3"/>
  <c r="L119" i="3"/>
  <c r="K119" i="3"/>
  <c r="J119" i="3"/>
  <c r="I119" i="3"/>
  <c r="H120" i="3" s="1"/>
  <c r="P119" i="3"/>
  <c r="O119" i="3"/>
  <c r="N119" i="3"/>
  <c r="G119" i="3"/>
  <c r="L121" i="12" l="1"/>
  <c r="K121" i="12"/>
  <c r="J121" i="12"/>
  <c r="G121" i="12"/>
  <c r="N121" i="12"/>
  <c r="M121" i="12"/>
  <c r="I121" i="12"/>
  <c r="H122" i="12" s="1"/>
  <c r="O121" i="12"/>
  <c r="P121" i="12"/>
  <c r="O120" i="3"/>
  <c r="N120" i="3"/>
  <c r="M120" i="3"/>
  <c r="L120" i="3"/>
  <c r="K120" i="3"/>
  <c r="J120" i="3"/>
  <c r="P120" i="3"/>
  <c r="I120" i="3"/>
  <c r="H121" i="3" s="1"/>
  <c r="G120" i="3"/>
  <c r="L120" i="11"/>
  <c r="K120" i="11"/>
  <c r="J120" i="11"/>
  <c r="I120" i="11"/>
  <c r="H121" i="11" s="1"/>
  <c r="P120" i="11"/>
  <c r="O120" i="11"/>
  <c r="N120" i="11"/>
  <c r="G120" i="11"/>
  <c r="M120" i="11"/>
  <c r="N122" i="12" l="1"/>
  <c r="M122" i="12"/>
  <c r="L122" i="12"/>
  <c r="J122" i="12"/>
  <c r="P122" i="12"/>
  <c r="O122" i="12"/>
  <c r="K122" i="12"/>
  <c r="I122" i="12"/>
  <c r="H123" i="12" s="1"/>
  <c r="G122" i="12"/>
  <c r="P121" i="3"/>
  <c r="O121" i="3"/>
  <c r="N121" i="3"/>
  <c r="M121" i="3"/>
  <c r="L121" i="3"/>
  <c r="J121" i="3"/>
  <c r="I121" i="3"/>
  <c r="H122" i="3" s="1"/>
  <c r="G121" i="3"/>
  <c r="K121" i="3"/>
  <c r="N121" i="11"/>
  <c r="M121" i="11"/>
  <c r="L121" i="11"/>
  <c r="K121" i="11"/>
  <c r="J121" i="11"/>
  <c r="I121" i="11"/>
  <c r="H122" i="11" s="1"/>
  <c r="G121" i="11"/>
  <c r="P121" i="11"/>
  <c r="O121" i="11"/>
  <c r="P122" i="11" l="1"/>
  <c r="O122" i="11"/>
  <c r="N122" i="11"/>
  <c r="M122" i="11"/>
  <c r="L122" i="11"/>
  <c r="K122" i="11"/>
  <c r="J122" i="11"/>
  <c r="G122" i="11"/>
  <c r="I122" i="11"/>
  <c r="H123" i="11" s="1"/>
  <c r="P123" i="12"/>
  <c r="O123" i="12"/>
  <c r="N123" i="12"/>
  <c r="L123" i="12"/>
  <c r="G123" i="12"/>
  <c r="M123" i="12"/>
  <c r="K123" i="12"/>
  <c r="J123" i="12"/>
  <c r="I123" i="12"/>
  <c r="H124" i="12" s="1"/>
  <c r="G122" i="3"/>
  <c r="P122" i="3"/>
  <c r="O122" i="3"/>
  <c r="N122" i="3"/>
  <c r="M122" i="3"/>
  <c r="L122" i="3"/>
  <c r="K122" i="3"/>
  <c r="J122" i="3"/>
  <c r="I122" i="3"/>
  <c r="H123" i="3" s="1"/>
  <c r="P123" i="11" l="1"/>
  <c r="O123" i="11"/>
  <c r="I123" i="11"/>
  <c r="H124" i="11" s="1"/>
  <c r="K123" i="11"/>
  <c r="J123" i="11"/>
  <c r="G123" i="11"/>
  <c r="N123" i="11"/>
  <c r="M123" i="11"/>
  <c r="L123" i="11"/>
  <c r="P124" i="12"/>
  <c r="N124" i="12"/>
  <c r="M124" i="12"/>
  <c r="L124" i="12"/>
  <c r="K124" i="12"/>
  <c r="J124" i="12"/>
  <c r="I124" i="12"/>
  <c r="H125" i="12" s="1"/>
  <c r="O124" i="12"/>
  <c r="G124" i="12"/>
  <c r="I123" i="3"/>
  <c r="H124" i="3" s="1"/>
  <c r="G123" i="3"/>
  <c r="P123" i="3"/>
  <c r="O123" i="3"/>
  <c r="N123" i="3"/>
  <c r="M123" i="3"/>
  <c r="L123" i="3"/>
  <c r="K123" i="3"/>
  <c r="J123" i="3"/>
  <c r="K124" i="3" l="1"/>
  <c r="J124" i="3"/>
  <c r="I124" i="3"/>
  <c r="H125" i="3" s="1"/>
  <c r="G124" i="3"/>
  <c r="P124" i="3"/>
  <c r="N124" i="3"/>
  <c r="M124" i="3"/>
  <c r="L124" i="3"/>
  <c r="O124" i="3"/>
  <c r="G125" i="12"/>
  <c r="P125" i="12"/>
  <c r="O125" i="12"/>
  <c r="N125" i="12"/>
  <c r="J125" i="12"/>
  <c r="I125" i="12"/>
  <c r="H126" i="12" s="1"/>
  <c r="M125" i="12"/>
  <c r="L125" i="12"/>
  <c r="K125" i="12"/>
  <c r="G124" i="11"/>
  <c r="K124" i="11"/>
  <c r="P124" i="11"/>
  <c r="O124" i="11"/>
  <c r="N124" i="11"/>
  <c r="M124" i="11"/>
  <c r="L124" i="11"/>
  <c r="I124" i="11"/>
  <c r="H125" i="11" s="1"/>
  <c r="J124" i="11"/>
  <c r="J126" i="12" l="1"/>
  <c r="I126" i="12"/>
  <c r="H127" i="12" s="1"/>
  <c r="M126" i="12"/>
  <c r="L126" i="12"/>
  <c r="K126" i="12"/>
  <c r="G126" i="12"/>
  <c r="P126" i="12"/>
  <c r="O126" i="12"/>
  <c r="N126" i="12"/>
  <c r="M125" i="3"/>
  <c r="L125" i="3"/>
  <c r="K125" i="3"/>
  <c r="J125" i="3"/>
  <c r="I125" i="3"/>
  <c r="H126" i="3" s="1"/>
  <c r="G125" i="3"/>
  <c r="P125" i="3"/>
  <c r="O125" i="3"/>
  <c r="N125" i="3"/>
  <c r="J125" i="11"/>
  <c r="I125" i="11"/>
  <c r="H126" i="11" s="1"/>
  <c r="G125" i="11"/>
  <c r="M125" i="11"/>
  <c r="L125" i="11"/>
  <c r="K125" i="11"/>
  <c r="P125" i="11"/>
  <c r="O125" i="11"/>
  <c r="N125" i="11"/>
  <c r="L126" i="11" l="1"/>
  <c r="K126" i="11"/>
  <c r="J126" i="11"/>
  <c r="I126" i="11"/>
  <c r="H127" i="11" s="1"/>
  <c r="O126" i="11"/>
  <c r="P126" i="11"/>
  <c r="N126" i="11"/>
  <c r="M126" i="11"/>
  <c r="G126" i="11"/>
  <c r="O126" i="3"/>
  <c r="N126" i="3"/>
  <c r="M126" i="3"/>
  <c r="L126" i="3"/>
  <c r="K126" i="3"/>
  <c r="J126" i="3"/>
  <c r="I126" i="3"/>
  <c r="H127" i="3" s="1"/>
  <c r="P126" i="3"/>
  <c r="G126" i="3"/>
  <c r="L127" i="12"/>
  <c r="K127" i="12"/>
  <c r="J127" i="12"/>
  <c r="P127" i="12"/>
  <c r="O127" i="12"/>
  <c r="N127" i="12"/>
  <c r="M127" i="12"/>
  <c r="I127" i="12"/>
  <c r="H128" i="12" s="1"/>
  <c r="G127" i="12"/>
  <c r="N127" i="11" l="1"/>
  <c r="M127" i="11"/>
  <c r="L127" i="11"/>
  <c r="K127" i="11"/>
  <c r="J127" i="11"/>
  <c r="I127" i="11"/>
  <c r="H128" i="11" s="1"/>
  <c r="G127" i="11"/>
  <c r="P127" i="11"/>
  <c r="O127" i="11"/>
  <c r="N128" i="12"/>
  <c r="M128" i="12"/>
  <c r="L128" i="12"/>
  <c r="J128" i="12"/>
  <c r="I128" i="12"/>
  <c r="H129" i="12" s="1"/>
  <c r="G128" i="12"/>
  <c r="P128" i="12"/>
  <c r="O128" i="12"/>
  <c r="K128" i="12"/>
  <c r="P127" i="3"/>
  <c r="O127" i="3"/>
  <c r="N127" i="3"/>
  <c r="M127" i="3"/>
  <c r="L127" i="3"/>
  <c r="K127" i="3"/>
  <c r="J127" i="3"/>
  <c r="I127" i="3"/>
  <c r="H128" i="3" s="1"/>
  <c r="G127" i="3"/>
  <c r="P128" i="11" l="1"/>
  <c r="O128" i="11"/>
  <c r="N128" i="11"/>
  <c r="M128" i="11"/>
  <c r="G128" i="11"/>
  <c r="L128" i="11"/>
  <c r="K128" i="11"/>
  <c r="I128" i="11"/>
  <c r="H129" i="11" s="1"/>
  <c r="J128" i="11"/>
  <c r="G128" i="3"/>
  <c r="P128" i="3"/>
  <c r="O128" i="3"/>
  <c r="N128" i="3"/>
  <c r="M128" i="3"/>
  <c r="L128" i="3"/>
  <c r="J128" i="3"/>
  <c r="I128" i="3"/>
  <c r="H129" i="3" s="1"/>
  <c r="K128" i="3"/>
  <c r="P129" i="12"/>
  <c r="O129" i="12"/>
  <c r="N129" i="12"/>
  <c r="L129" i="12"/>
  <c r="M129" i="12"/>
  <c r="K129" i="12"/>
  <c r="J129" i="12"/>
  <c r="I129" i="12"/>
  <c r="H130" i="12" s="1"/>
  <c r="G129" i="12"/>
  <c r="P129" i="11" l="1"/>
  <c r="O129" i="11"/>
  <c r="I129" i="11"/>
  <c r="H130" i="11" s="1"/>
  <c r="L129" i="11"/>
  <c r="K129" i="11"/>
  <c r="J129" i="11"/>
  <c r="G129" i="11"/>
  <c r="N129" i="11"/>
  <c r="M129" i="11"/>
  <c r="I129" i="3"/>
  <c r="H130" i="3" s="1"/>
  <c r="G129" i="3"/>
  <c r="P129" i="3"/>
  <c r="O129" i="3"/>
  <c r="N129" i="3"/>
  <c r="M129" i="3"/>
  <c r="L129" i="3"/>
  <c r="K129" i="3"/>
  <c r="J129" i="3"/>
  <c r="P130" i="12"/>
  <c r="N130" i="12"/>
  <c r="I130" i="12"/>
  <c r="H131" i="12" s="1"/>
  <c r="G130" i="12"/>
  <c r="O130" i="12"/>
  <c r="M130" i="12"/>
  <c r="L130" i="12"/>
  <c r="K130" i="12"/>
  <c r="J130" i="12"/>
  <c r="K130" i="3" l="1"/>
  <c r="J130" i="3"/>
  <c r="I130" i="3"/>
  <c r="H131" i="3" s="1"/>
  <c r="G130" i="3"/>
  <c r="P130" i="3"/>
  <c r="O130" i="3"/>
  <c r="N130" i="3"/>
  <c r="M130" i="3"/>
  <c r="L130" i="3"/>
  <c r="G131" i="12"/>
  <c r="P131" i="12"/>
  <c r="O131" i="12"/>
  <c r="N131" i="12"/>
  <c r="M131" i="12"/>
  <c r="L131" i="12"/>
  <c r="K131" i="12"/>
  <c r="J131" i="12"/>
  <c r="I131" i="12"/>
  <c r="H132" i="12" s="1"/>
  <c r="G130" i="11"/>
  <c r="K130" i="11"/>
  <c r="P130" i="11"/>
  <c r="O130" i="11"/>
  <c r="N130" i="11"/>
  <c r="M130" i="11"/>
  <c r="J130" i="11"/>
  <c r="I130" i="11"/>
  <c r="H131" i="11" s="1"/>
  <c r="L130" i="11"/>
  <c r="J132" i="12" l="1"/>
  <c r="I132" i="12"/>
  <c r="H133" i="12" s="1"/>
  <c r="P132" i="12"/>
  <c r="L132" i="12"/>
  <c r="K132" i="12"/>
  <c r="G132" i="12"/>
  <c r="O132" i="12"/>
  <c r="N132" i="12"/>
  <c r="M132" i="12"/>
  <c r="M131" i="3"/>
  <c r="L131" i="3"/>
  <c r="K131" i="3"/>
  <c r="J131" i="3"/>
  <c r="I131" i="3"/>
  <c r="H132" i="3" s="1"/>
  <c r="G131" i="3"/>
  <c r="P131" i="3"/>
  <c r="O131" i="3"/>
  <c r="N131" i="3"/>
  <c r="J131" i="11"/>
  <c r="I131" i="11"/>
  <c r="H132" i="11" s="1"/>
  <c r="G131" i="11"/>
  <c r="M131" i="11"/>
  <c r="N131" i="11"/>
  <c r="L131" i="11"/>
  <c r="K131" i="11"/>
  <c r="P131" i="11"/>
  <c r="O131" i="11"/>
  <c r="L132" i="11" l="1"/>
  <c r="K132" i="11"/>
  <c r="J132" i="11"/>
  <c r="I132" i="11"/>
  <c r="H133" i="11" s="1"/>
  <c r="O132" i="11"/>
  <c r="P132" i="11"/>
  <c r="N132" i="11"/>
  <c r="G132" i="11"/>
  <c r="M132" i="11"/>
  <c r="O132" i="3"/>
  <c r="N132" i="3"/>
  <c r="M132" i="3"/>
  <c r="L132" i="3"/>
  <c r="K132" i="3"/>
  <c r="J132" i="3"/>
  <c r="I132" i="3"/>
  <c r="H133" i="3" s="1"/>
  <c r="P132" i="3"/>
  <c r="G132" i="3"/>
  <c r="L133" i="12"/>
  <c r="K133" i="12"/>
  <c r="J133" i="12"/>
  <c r="O133" i="12"/>
  <c r="N133" i="12"/>
  <c r="M133" i="12"/>
  <c r="I133" i="12"/>
  <c r="H134" i="12" s="1"/>
  <c r="G133" i="12"/>
  <c r="P133" i="12"/>
  <c r="P133" i="3" l="1"/>
  <c r="O133" i="3"/>
  <c r="N133" i="3"/>
  <c r="M133" i="3"/>
  <c r="L133" i="3"/>
  <c r="K133" i="3"/>
  <c r="J133" i="3"/>
  <c r="I133" i="3"/>
  <c r="H134" i="3" s="1"/>
  <c r="G133" i="3"/>
  <c r="N133" i="11"/>
  <c r="M133" i="11"/>
  <c r="L133" i="11"/>
  <c r="K133" i="11"/>
  <c r="O133" i="11"/>
  <c r="J133" i="11"/>
  <c r="I133" i="11"/>
  <c r="H134" i="11" s="1"/>
  <c r="G133" i="11"/>
  <c r="P133" i="11"/>
  <c r="N134" i="12"/>
  <c r="M134" i="12"/>
  <c r="L134" i="12"/>
  <c r="J134" i="12"/>
  <c r="P134" i="12"/>
  <c r="O134" i="12"/>
  <c r="K134" i="12"/>
  <c r="I134" i="12"/>
  <c r="H135" i="12" s="1"/>
  <c r="G134" i="12"/>
  <c r="P134" i="11" l="1"/>
  <c r="O134" i="11"/>
  <c r="N134" i="11"/>
  <c r="M134" i="11"/>
  <c r="G134" i="11"/>
  <c r="L134" i="11"/>
  <c r="J134" i="11"/>
  <c r="I134" i="11"/>
  <c r="H135" i="11" s="1"/>
  <c r="K134" i="11"/>
  <c r="P135" i="12"/>
  <c r="O135" i="12"/>
  <c r="N135" i="12"/>
  <c r="L135" i="12"/>
  <c r="K135" i="12"/>
  <c r="J135" i="12"/>
  <c r="I135" i="12"/>
  <c r="H136" i="12" s="1"/>
  <c r="G135" i="12"/>
  <c r="M135" i="12"/>
  <c r="G134" i="3"/>
  <c r="P134" i="3"/>
  <c r="O134" i="3"/>
  <c r="N134" i="3"/>
  <c r="M134" i="3"/>
  <c r="L134" i="3"/>
  <c r="K134" i="3"/>
  <c r="J134" i="3"/>
  <c r="I134" i="3"/>
  <c r="H135" i="3" s="1"/>
  <c r="P135" i="11" l="1"/>
  <c r="O135" i="11"/>
  <c r="I135" i="11"/>
  <c r="H136" i="11" s="1"/>
  <c r="M135" i="11"/>
  <c r="L135" i="11"/>
  <c r="K135" i="11"/>
  <c r="J135" i="11"/>
  <c r="G135" i="11"/>
  <c r="N135" i="11"/>
  <c r="P136" i="12"/>
  <c r="N136" i="12"/>
  <c r="O136" i="12"/>
  <c r="M136" i="12"/>
  <c r="L136" i="12"/>
  <c r="G136" i="12"/>
  <c r="K136" i="12"/>
  <c r="J136" i="12"/>
  <c r="I136" i="12"/>
  <c r="H137" i="12" s="1"/>
  <c r="I135" i="3"/>
  <c r="H136" i="3" s="1"/>
  <c r="G135" i="3"/>
  <c r="P135" i="3"/>
  <c r="O135" i="3"/>
  <c r="N135" i="3"/>
  <c r="L135" i="3"/>
  <c r="K135" i="3"/>
  <c r="J135" i="3"/>
  <c r="M135" i="3"/>
  <c r="K136" i="3" l="1"/>
  <c r="J136" i="3"/>
  <c r="I136" i="3"/>
  <c r="H137" i="3" s="1"/>
  <c r="G136" i="3"/>
  <c r="P136" i="3"/>
  <c r="O136" i="3"/>
  <c r="N136" i="3"/>
  <c r="M136" i="3"/>
  <c r="L136" i="3"/>
  <c r="G136" i="11"/>
  <c r="K136" i="11"/>
  <c r="P136" i="11"/>
  <c r="O136" i="11"/>
  <c r="N136" i="11"/>
  <c r="L136" i="11"/>
  <c r="J136" i="11"/>
  <c r="I136" i="11"/>
  <c r="H137" i="11" s="1"/>
  <c r="M136" i="11"/>
  <c r="G137" i="12"/>
  <c r="P137" i="12"/>
  <c r="K137" i="12"/>
  <c r="J137" i="12"/>
  <c r="I137" i="12"/>
  <c r="H138" i="12" s="1"/>
  <c r="O137" i="12"/>
  <c r="N137" i="12"/>
  <c r="M137" i="12"/>
  <c r="L137" i="12"/>
  <c r="J138" i="12" l="1"/>
  <c r="I138" i="12"/>
  <c r="H139" i="12" s="1"/>
  <c r="P138" i="12"/>
  <c r="O138" i="12"/>
  <c r="N138" i="12"/>
  <c r="M138" i="12"/>
  <c r="L138" i="12"/>
  <c r="K138" i="12"/>
  <c r="G138" i="12"/>
  <c r="J137" i="11"/>
  <c r="I137" i="11"/>
  <c r="H138" i="11" s="1"/>
  <c r="G137" i="11"/>
  <c r="M137" i="11"/>
  <c r="O137" i="11"/>
  <c r="N137" i="11"/>
  <c r="L137" i="11"/>
  <c r="K137" i="11"/>
  <c r="P137" i="11"/>
  <c r="M137" i="3"/>
  <c r="L137" i="3"/>
  <c r="K137" i="3"/>
  <c r="J137" i="3"/>
  <c r="I137" i="3"/>
  <c r="H138" i="3" s="1"/>
  <c r="G137" i="3"/>
  <c r="P137" i="3"/>
  <c r="O137" i="3"/>
  <c r="N137" i="3"/>
  <c r="O138" i="3" l="1"/>
  <c r="N138" i="3"/>
  <c r="M138" i="3"/>
  <c r="L138" i="3"/>
  <c r="K138" i="3"/>
  <c r="J138" i="3"/>
  <c r="I138" i="3"/>
  <c r="H139" i="3" s="1"/>
  <c r="P138" i="3"/>
  <c r="G138" i="3"/>
  <c r="L138" i="11"/>
  <c r="K138" i="11"/>
  <c r="J138" i="11"/>
  <c r="I138" i="11"/>
  <c r="H139" i="11" s="1"/>
  <c r="O138" i="11"/>
  <c r="P138" i="11"/>
  <c r="M138" i="11"/>
  <c r="G138" i="11"/>
  <c r="N138" i="11"/>
  <c r="L139" i="12"/>
  <c r="K139" i="12"/>
  <c r="J139" i="12"/>
  <c r="G139" i="12"/>
  <c r="N139" i="12"/>
  <c r="M139" i="12"/>
  <c r="I139" i="12"/>
  <c r="H140" i="12" s="1"/>
  <c r="P139" i="12"/>
  <c r="O139" i="12"/>
  <c r="P139" i="3" l="1"/>
  <c r="O139" i="3"/>
  <c r="N139" i="3"/>
  <c r="M139" i="3"/>
  <c r="L139" i="3"/>
  <c r="K139" i="3"/>
  <c r="J139" i="3"/>
  <c r="G139" i="3"/>
  <c r="I139" i="3"/>
  <c r="H140" i="3" s="1"/>
  <c r="N140" i="12"/>
  <c r="M140" i="12"/>
  <c r="L140" i="12"/>
  <c r="J140" i="12"/>
  <c r="P140" i="12"/>
  <c r="O140" i="12"/>
  <c r="K140" i="12"/>
  <c r="I140" i="12"/>
  <c r="H141" i="12" s="1"/>
  <c r="G140" i="12"/>
  <c r="N139" i="11"/>
  <c r="M139" i="11"/>
  <c r="L139" i="11"/>
  <c r="K139" i="11"/>
  <c r="P139" i="11"/>
  <c r="O139" i="11"/>
  <c r="J139" i="11"/>
  <c r="I139" i="11"/>
  <c r="H140" i="11" s="1"/>
  <c r="G139" i="11"/>
  <c r="G140" i="3" l="1"/>
  <c r="P140" i="3"/>
  <c r="O140" i="3"/>
  <c r="N140" i="3"/>
  <c r="M140" i="3"/>
  <c r="L140" i="3"/>
  <c r="K140" i="3"/>
  <c r="J140" i="3"/>
  <c r="I140" i="3"/>
  <c r="H141" i="3" s="1"/>
  <c r="P141" i="12"/>
  <c r="O141" i="12"/>
  <c r="N141" i="12"/>
  <c r="L141" i="12"/>
  <c r="G141" i="12"/>
  <c r="M141" i="12"/>
  <c r="K141" i="12"/>
  <c r="J141" i="12"/>
  <c r="I141" i="12"/>
  <c r="H142" i="12" s="1"/>
  <c r="P140" i="11"/>
  <c r="O140" i="11"/>
  <c r="N140" i="11"/>
  <c r="M140" i="11"/>
  <c r="G140" i="11"/>
  <c r="L140" i="11"/>
  <c r="K140" i="11"/>
  <c r="J140" i="11"/>
  <c r="I140" i="11"/>
  <c r="H141" i="11" s="1"/>
  <c r="P142" i="12" l="1"/>
  <c r="N142" i="12"/>
  <c r="M142" i="12"/>
  <c r="L142" i="12"/>
  <c r="K142" i="12"/>
  <c r="J142" i="12"/>
  <c r="I142" i="12"/>
  <c r="H143" i="12" s="1"/>
  <c r="O142" i="12"/>
  <c r="G142" i="12"/>
  <c r="I141" i="3"/>
  <c r="H142" i="3" s="1"/>
  <c r="G141" i="3"/>
  <c r="P141" i="3"/>
  <c r="O141" i="3"/>
  <c r="N141" i="3"/>
  <c r="M141" i="3"/>
  <c r="L141" i="3"/>
  <c r="K141" i="3"/>
  <c r="J141" i="3"/>
  <c r="P141" i="11"/>
  <c r="O141" i="11"/>
  <c r="J141" i="11"/>
  <c r="I141" i="11"/>
  <c r="H142" i="11" s="1"/>
  <c r="N141" i="11"/>
  <c r="M141" i="11"/>
  <c r="L141" i="11"/>
  <c r="K141" i="11"/>
  <c r="G141" i="11"/>
  <c r="G142" i="11" l="1"/>
  <c r="L142" i="11"/>
  <c r="K142" i="11"/>
  <c r="J142" i="11"/>
  <c r="I142" i="11"/>
  <c r="H143" i="11" s="1"/>
  <c r="P142" i="11"/>
  <c r="O142" i="11"/>
  <c r="N142" i="11"/>
  <c r="M142" i="11"/>
  <c r="K142" i="3"/>
  <c r="J142" i="3"/>
  <c r="I142" i="3"/>
  <c r="H143" i="3" s="1"/>
  <c r="G142" i="3"/>
  <c r="P142" i="3"/>
  <c r="N142" i="3"/>
  <c r="M142" i="3"/>
  <c r="L142" i="3"/>
  <c r="O142" i="3"/>
  <c r="G143" i="12"/>
  <c r="P143" i="12"/>
  <c r="O143" i="12"/>
  <c r="N143" i="12"/>
  <c r="J143" i="12"/>
  <c r="I143" i="12"/>
  <c r="H144" i="12" s="1"/>
  <c r="M143" i="12"/>
  <c r="L143" i="12"/>
  <c r="K143" i="12"/>
  <c r="O144" i="12" l="1"/>
  <c r="J144" i="12"/>
  <c r="I144" i="12"/>
  <c r="H145" i="12" s="1"/>
  <c r="M144" i="12"/>
  <c r="L144" i="12"/>
  <c r="K144" i="12"/>
  <c r="G144" i="12"/>
  <c r="P144" i="12"/>
  <c r="N144" i="12"/>
  <c r="J143" i="11"/>
  <c r="I143" i="11"/>
  <c r="H144" i="11" s="1"/>
  <c r="G143" i="11"/>
  <c r="N143" i="11"/>
  <c r="M143" i="11"/>
  <c r="P143" i="11"/>
  <c r="O143" i="11"/>
  <c r="L143" i="11"/>
  <c r="K143" i="11"/>
  <c r="M143" i="3"/>
  <c r="L143" i="3"/>
  <c r="K143" i="3"/>
  <c r="J143" i="3"/>
  <c r="I143" i="3"/>
  <c r="H144" i="3" s="1"/>
  <c r="G143" i="3"/>
  <c r="P143" i="3"/>
  <c r="N143" i="3"/>
  <c r="O143" i="3"/>
  <c r="M145" i="12" l="1"/>
  <c r="L145" i="12"/>
  <c r="K145" i="12"/>
  <c r="I145" i="12"/>
  <c r="H146" i="12" s="1"/>
  <c r="P145" i="12"/>
  <c r="O145" i="12"/>
  <c r="N145" i="12"/>
  <c r="J145" i="12"/>
  <c r="G145" i="12"/>
  <c r="O144" i="3"/>
  <c r="N144" i="3"/>
  <c r="M144" i="3"/>
  <c r="L144" i="3"/>
  <c r="K144" i="3"/>
  <c r="J144" i="3"/>
  <c r="I144" i="3"/>
  <c r="H145" i="3" s="1"/>
  <c r="P144" i="3"/>
  <c r="G144" i="3"/>
  <c r="L144" i="11"/>
  <c r="K144" i="11"/>
  <c r="J144" i="11"/>
  <c r="I144" i="11"/>
  <c r="H145" i="11" s="1"/>
  <c r="P144" i="11"/>
  <c r="O144" i="11"/>
  <c r="N144" i="11"/>
  <c r="M144" i="11"/>
  <c r="G144" i="11"/>
  <c r="N145" i="11" l="1"/>
  <c r="M145" i="11"/>
  <c r="L145" i="11"/>
  <c r="K145" i="11"/>
  <c r="P145" i="11"/>
  <c r="J145" i="11"/>
  <c r="I145" i="11"/>
  <c r="H146" i="11" s="1"/>
  <c r="G145" i="11"/>
  <c r="O145" i="11"/>
  <c r="G146" i="12"/>
  <c r="P146" i="12"/>
  <c r="O146" i="12"/>
  <c r="N146" i="12"/>
  <c r="L146" i="12"/>
  <c r="K146" i="12"/>
  <c r="J146" i="12"/>
  <c r="I146" i="12"/>
  <c r="H147" i="12" s="1"/>
  <c r="M146" i="12"/>
  <c r="P145" i="3"/>
  <c r="O145" i="3"/>
  <c r="N145" i="3"/>
  <c r="M145" i="3"/>
  <c r="L145" i="3"/>
  <c r="K145" i="3"/>
  <c r="J145" i="3"/>
  <c r="I145" i="3"/>
  <c r="H146" i="3" s="1"/>
  <c r="G145" i="3"/>
  <c r="P146" i="11" l="1"/>
  <c r="O146" i="11"/>
  <c r="N146" i="11"/>
  <c r="M146" i="11"/>
  <c r="G146" i="11"/>
  <c r="L146" i="11"/>
  <c r="K146" i="11"/>
  <c r="J146" i="11"/>
  <c r="I146" i="11"/>
  <c r="H147" i="11" s="1"/>
  <c r="G146" i="3"/>
  <c r="P146" i="3"/>
  <c r="O146" i="3"/>
  <c r="N146" i="3"/>
  <c r="M146" i="3"/>
  <c r="L146" i="3"/>
  <c r="J146" i="3"/>
  <c r="I146" i="3"/>
  <c r="H147" i="3" s="1"/>
  <c r="K146" i="3"/>
  <c r="I147" i="12"/>
  <c r="H148" i="12" s="1"/>
  <c r="O147" i="12"/>
  <c r="P147" i="12"/>
  <c r="N147" i="12"/>
  <c r="M147" i="12"/>
  <c r="G147" i="12"/>
  <c r="L147" i="12"/>
  <c r="K147" i="12"/>
  <c r="J147" i="12"/>
  <c r="P147" i="11" l="1"/>
  <c r="O147" i="11"/>
  <c r="J147" i="11"/>
  <c r="I147" i="11"/>
  <c r="H148" i="11" s="1"/>
  <c r="G147" i="11"/>
  <c r="N147" i="11"/>
  <c r="M147" i="11"/>
  <c r="L147" i="11"/>
  <c r="K147" i="11"/>
  <c r="I147" i="3"/>
  <c r="H148" i="3" s="1"/>
  <c r="G147" i="3"/>
  <c r="P147" i="3"/>
  <c r="O147" i="3"/>
  <c r="N147" i="3"/>
  <c r="M147" i="3"/>
  <c r="L147" i="3"/>
  <c r="K147" i="3"/>
  <c r="J147" i="3"/>
  <c r="K148" i="12"/>
  <c r="I148" i="12"/>
  <c r="H149" i="12" s="1"/>
  <c r="G148" i="12"/>
  <c r="M148" i="12"/>
  <c r="L148" i="12"/>
  <c r="J148" i="12"/>
  <c r="P148" i="12"/>
  <c r="O148" i="12"/>
  <c r="N148" i="12"/>
  <c r="K148" i="3" l="1"/>
  <c r="J148" i="3"/>
  <c r="I148" i="3"/>
  <c r="H149" i="3" s="1"/>
  <c r="G148" i="3"/>
  <c r="P148" i="3"/>
  <c r="O148" i="3"/>
  <c r="N148" i="3"/>
  <c r="M148" i="3"/>
  <c r="L148" i="3"/>
  <c r="G148" i="11"/>
  <c r="L148" i="11"/>
  <c r="K148" i="11"/>
  <c r="P148" i="11"/>
  <c r="O148" i="11"/>
  <c r="N148" i="11"/>
  <c r="M148" i="11"/>
  <c r="J148" i="11"/>
  <c r="I148" i="11"/>
  <c r="H149" i="11" s="1"/>
  <c r="M149" i="12"/>
  <c r="L149" i="12"/>
  <c r="K149" i="12"/>
  <c r="J149" i="12"/>
  <c r="P149" i="12"/>
  <c r="O149" i="12"/>
  <c r="N149" i="12"/>
  <c r="I149" i="12"/>
  <c r="H150" i="12" s="1"/>
  <c r="G149" i="12"/>
  <c r="J149" i="11" l="1"/>
  <c r="I149" i="11"/>
  <c r="H150" i="11" s="1"/>
  <c r="G149" i="11"/>
  <c r="N149" i="11"/>
  <c r="M149" i="11"/>
  <c r="L149" i="11"/>
  <c r="K149" i="11"/>
  <c r="P149" i="11"/>
  <c r="O149" i="11"/>
  <c r="M149" i="3"/>
  <c r="L149" i="3"/>
  <c r="K149" i="3"/>
  <c r="J149" i="3"/>
  <c r="I149" i="3"/>
  <c r="H150" i="3" s="1"/>
  <c r="G149" i="3"/>
  <c r="P149" i="3"/>
  <c r="O149" i="3"/>
  <c r="N149" i="3"/>
  <c r="O150" i="12"/>
  <c r="P150" i="12"/>
  <c r="N150" i="12"/>
  <c r="M150" i="12"/>
  <c r="K150" i="12"/>
  <c r="J150" i="12"/>
  <c r="I150" i="12"/>
  <c r="H151" i="12" s="1"/>
  <c r="G150" i="12"/>
  <c r="L150" i="12"/>
  <c r="O150" i="3" l="1"/>
  <c r="N150" i="3"/>
  <c r="M150" i="3"/>
  <c r="L150" i="3"/>
  <c r="K150" i="3"/>
  <c r="J150" i="3"/>
  <c r="I150" i="3"/>
  <c r="H151" i="3" s="1"/>
  <c r="P150" i="3"/>
  <c r="G150" i="3"/>
  <c r="L150" i="11"/>
  <c r="K150" i="11"/>
  <c r="J150" i="11"/>
  <c r="I150" i="11"/>
  <c r="H151" i="11" s="1"/>
  <c r="P150" i="11"/>
  <c r="O150" i="11"/>
  <c r="N150" i="11"/>
  <c r="G150" i="11"/>
  <c r="M150" i="11"/>
  <c r="P151" i="12"/>
  <c r="N151" i="12"/>
  <c r="M151" i="12"/>
  <c r="O151" i="12"/>
  <c r="L151" i="12"/>
  <c r="G151" i="12"/>
  <c r="K151" i="12"/>
  <c r="J151" i="12"/>
  <c r="I151" i="12"/>
  <c r="H152" i="12" s="1"/>
  <c r="P151" i="3" l="1"/>
  <c r="O151" i="3"/>
  <c r="N151" i="3"/>
  <c r="M151" i="3"/>
  <c r="L151" i="3"/>
  <c r="K151" i="3"/>
  <c r="J151" i="3"/>
  <c r="I151" i="3"/>
  <c r="H152" i="3" s="1"/>
  <c r="G151" i="3"/>
  <c r="G152" i="12"/>
  <c r="I152" i="12"/>
  <c r="H153" i="12" s="1"/>
  <c r="P152" i="12"/>
  <c r="M152" i="12"/>
  <c r="L152" i="12"/>
  <c r="K152" i="12"/>
  <c r="J152" i="12"/>
  <c r="O152" i="12"/>
  <c r="N152" i="12"/>
  <c r="N151" i="11"/>
  <c r="M151" i="11"/>
  <c r="L151" i="11"/>
  <c r="K151" i="11"/>
  <c r="P151" i="11"/>
  <c r="O151" i="11"/>
  <c r="J151" i="11"/>
  <c r="I151" i="11"/>
  <c r="H152" i="11" s="1"/>
  <c r="G151" i="11"/>
  <c r="I153" i="12" l="1"/>
  <c r="H154" i="12" s="1"/>
  <c r="L153" i="12"/>
  <c r="K153" i="12"/>
  <c r="J153" i="12"/>
  <c r="G153" i="12"/>
  <c r="P153" i="12"/>
  <c r="O153" i="12"/>
  <c r="N153" i="12"/>
  <c r="M153" i="12"/>
  <c r="G152" i="3"/>
  <c r="P152" i="3"/>
  <c r="O152" i="3"/>
  <c r="N152" i="3"/>
  <c r="M152" i="3"/>
  <c r="L152" i="3"/>
  <c r="K152" i="3"/>
  <c r="J152" i="3"/>
  <c r="I152" i="3"/>
  <c r="H153" i="3" s="1"/>
  <c r="P152" i="11"/>
  <c r="O152" i="11"/>
  <c r="N152" i="11"/>
  <c r="M152" i="11"/>
  <c r="G152" i="11"/>
  <c r="L152" i="11"/>
  <c r="K152" i="11"/>
  <c r="J152" i="11"/>
  <c r="I152" i="11"/>
  <c r="H153" i="11" s="1"/>
  <c r="I153" i="3" l="1"/>
  <c r="H154" i="3" s="1"/>
  <c r="G153" i="3"/>
  <c r="P153" i="3"/>
  <c r="O153" i="3"/>
  <c r="N153" i="3"/>
  <c r="L153" i="3"/>
  <c r="K153" i="3"/>
  <c r="J153" i="3"/>
  <c r="M153" i="3"/>
  <c r="P153" i="11"/>
  <c r="O153" i="11"/>
  <c r="J153" i="11"/>
  <c r="I153" i="11"/>
  <c r="H154" i="11" s="1"/>
  <c r="N153" i="11"/>
  <c r="M153" i="11"/>
  <c r="L153" i="11"/>
  <c r="K153" i="11"/>
  <c r="G153" i="11"/>
  <c r="K154" i="12"/>
  <c r="O154" i="12"/>
  <c r="N154" i="12"/>
  <c r="M154" i="12"/>
  <c r="J154" i="12"/>
  <c r="I154" i="12"/>
  <c r="H155" i="12" s="1"/>
  <c r="P154" i="12"/>
  <c r="L154" i="12"/>
  <c r="G154" i="12"/>
  <c r="M155" i="12" l="1"/>
  <c r="P155" i="12"/>
  <c r="N155" i="12"/>
  <c r="L155" i="12"/>
  <c r="G155" i="12"/>
  <c r="J155" i="12"/>
  <c r="I155" i="12"/>
  <c r="H156" i="12" s="1"/>
  <c r="O155" i="12"/>
  <c r="K155" i="12"/>
  <c r="G154" i="11"/>
  <c r="L154" i="11"/>
  <c r="K154" i="11"/>
  <c r="J154" i="11"/>
  <c r="I154" i="11"/>
  <c r="H155" i="11" s="1"/>
  <c r="P154" i="11"/>
  <c r="O154" i="11"/>
  <c r="N154" i="11"/>
  <c r="M154" i="11"/>
  <c r="K154" i="3"/>
  <c r="J154" i="3"/>
  <c r="I154" i="3"/>
  <c r="H155" i="3" s="1"/>
  <c r="G154" i="3"/>
  <c r="P154" i="3"/>
  <c r="O154" i="3"/>
  <c r="N154" i="3"/>
  <c r="M154" i="3"/>
  <c r="L154" i="3"/>
  <c r="O156" i="12" l="1"/>
  <c r="G156" i="12"/>
  <c r="P156" i="12"/>
  <c r="N156" i="12"/>
  <c r="M156" i="12"/>
  <c r="L156" i="12"/>
  <c r="K156" i="12"/>
  <c r="J156" i="12"/>
  <c r="I156" i="12"/>
  <c r="H157" i="12" s="1"/>
  <c r="M155" i="3"/>
  <c r="L155" i="3"/>
  <c r="K155" i="3"/>
  <c r="J155" i="3"/>
  <c r="I155" i="3"/>
  <c r="H156" i="3" s="1"/>
  <c r="G155" i="3"/>
  <c r="P155" i="3"/>
  <c r="O155" i="3"/>
  <c r="N155" i="3"/>
  <c r="J155" i="11"/>
  <c r="I155" i="11"/>
  <c r="H156" i="11" s="1"/>
  <c r="G155" i="11"/>
  <c r="N155" i="11"/>
  <c r="M155" i="11"/>
  <c r="P155" i="11"/>
  <c r="O155" i="11"/>
  <c r="L155" i="11"/>
  <c r="K155" i="11"/>
  <c r="K157" i="12" l="1"/>
  <c r="J157" i="12"/>
  <c r="I157" i="12"/>
  <c r="H158" i="12" s="1"/>
  <c r="G157" i="12"/>
  <c r="P157" i="12"/>
  <c r="O157" i="12"/>
  <c r="N157" i="12"/>
  <c r="M157" i="12"/>
  <c r="L157" i="12"/>
  <c r="L156" i="11"/>
  <c r="K156" i="11"/>
  <c r="J156" i="11"/>
  <c r="I156" i="11"/>
  <c r="H157" i="11" s="1"/>
  <c r="P156" i="11"/>
  <c r="O156" i="11"/>
  <c r="N156" i="11"/>
  <c r="M156" i="11"/>
  <c r="G156" i="11"/>
  <c r="O156" i="3"/>
  <c r="N156" i="3"/>
  <c r="M156" i="3"/>
  <c r="L156" i="3"/>
  <c r="K156" i="3"/>
  <c r="J156" i="3"/>
  <c r="I156" i="3"/>
  <c r="H157" i="3" s="1"/>
  <c r="P156" i="3"/>
  <c r="G156" i="3"/>
  <c r="G158" i="12" l="1"/>
  <c r="N158" i="12"/>
  <c r="M158" i="12"/>
  <c r="L158" i="12"/>
  <c r="J158" i="12"/>
  <c r="I158" i="12"/>
  <c r="H159" i="12" s="1"/>
  <c r="P158" i="12"/>
  <c r="O158" i="12"/>
  <c r="K158" i="12"/>
  <c r="P157" i="3"/>
  <c r="O157" i="3"/>
  <c r="N157" i="3"/>
  <c r="M157" i="3"/>
  <c r="L157" i="3"/>
  <c r="K157" i="3"/>
  <c r="J157" i="3"/>
  <c r="G157" i="3"/>
  <c r="I157" i="3"/>
  <c r="H158" i="3" s="1"/>
  <c r="N157" i="11"/>
  <c r="M157" i="11"/>
  <c r="L157" i="11"/>
  <c r="K157" i="11"/>
  <c r="P157" i="11"/>
  <c r="J157" i="11"/>
  <c r="I157" i="11"/>
  <c r="H158" i="11" s="1"/>
  <c r="G157" i="11"/>
  <c r="O157" i="11"/>
  <c r="G158" i="3" l="1"/>
  <c r="P158" i="3"/>
  <c r="O158" i="3"/>
  <c r="N158" i="3"/>
  <c r="M158" i="3"/>
  <c r="L158" i="3"/>
  <c r="K158" i="3"/>
  <c r="J158" i="3"/>
  <c r="I158" i="3"/>
  <c r="H159" i="3" s="1"/>
  <c r="I159" i="12"/>
  <c r="H160" i="12" s="1"/>
  <c r="P159" i="12"/>
  <c r="O159" i="12"/>
  <c r="M159" i="12"/>
  <c r="L159" i="12"/>
  <c r="J159" i="12"/>
  <c r="G159" i="12"/>
  <c r="N159" i="12"/>
  <c r="K159" i="12"/>
  <c r="P158" i="11"/>
  <c r="O158" i="11"/>
  <c r="N158" i="11"/>
  <c r="M158" i="11"/>
  <c r="G158" i="11"/>
  <c r="L158" i="11"/>
  <c r="K158" i="11"/>
  <c r="J158" i="11"/>
  <c r="I158" i="11"/>
  <c r="H159" i="11" s="1"/>
  <c r="K160" i="12" l="1"/>
  <c r="G160" i="12"/>
  <c r="P160" i="12"/>
  <c r="O160" i="12"/>
  <c r="N160" i="12"/>
  <c r="M160" i="12"/>
  <c r="L160" i="12"/>
  <c r="J160" i="12"/>
  <c r="I160" i="12"/>
  <c r="H161" i="12" s="1"/>
  <c r="I159" i="3"/>
  <c r="H160" i="3" s="1"/>
  <c r="G159" i="3"/>
  <c r="P159" i="3"/>
  <c r="O159" i="3"/>
  <c r="N159" i="3"/>
  <c r="M159" i="3"/>
  <c r="L159" i="3"/>
  <c r="K159" i="3"/>
  <c r="J159" i="3"/>
  <c r="P159" i="11"/>
  <c r="O159" i="11"/>
  <c r="J159" i="11"/>
  <c r="I159" i="11"/>
  <c r="H160" i="11" s="1"/>
  <c r="G159" i="11"/>
  <c r="N159" i="11"/>
  <c r="M159" i="11"/>
  <c r="L159" i="11"/>
  <c r="K159" i="11"/>
  <c r="K160" i="3" l="1"/>
  <c r="J160" i="3"/>
  <c r="I160" i="3"/>
  <c r="H161" i="3" s="1"/>
  <c r="G160" i="3"/>
  <c r="P160" i="3"/>
  <c r="N160" i="3"/>
  <c r="M160" i="3"/>
  <c r="L160" i="3"/>
  <c r="O160" i="3"/>
  <c r="M161" i="12"/>
  <c r="J161" i="12"/>
  <c r="I161" i="12"/>
  <c r="H162" i="12" s="1"/>
  <c r="N161" i="12"/>
  <c r="L161" i="12"/>
  <c r="K161" i="12"/>
  <c r="G161" i="12"/>
  <c r="P161" i="12"/>
  <c r="O161" i="12"/>
  <c r="G160" i="11"/>
  <c r="L160" i="11"/>
  <c r="K160" i="11"/>
  <c r="P160" i="11"/>
  <c r="O160" i="11"/>
  <c r="N160" i="11"/>
  <c r="M160" i="11"/>
  <c r="J160" i="11"/>
  <c r="I160" i="11"/>
  <c r="H161" i="11" s="1"/>
  <c r="M161" i="3" l="1"/>
  <c r="L161" i="3"/>
  <c r="K161" i="3"/>
  <c r="J161" i="3"/>
  <c r="I161" i="3"/>
  <c r="H162" i="3" s="1"/>
  <c r="G161" i="3"/>
  <c r="P161" i="3"/>
  <c r="O161" i="3"/>
  <c r="N161" i="3"/>
  <c r="O162" i="12"/>
  <c r="M162" i="12"/>
  <c r="L162" i="12"/>
  <c r="K162" i="12"/>
  <c r="I162" i="12"/>
  <c r="H163" i="12" s="1"/>
  <c r="P162" i="12"/>
  <c r="N162" i="12"/>
  <c r="J162" i="12"/>
  <c r="G162" i="12"/>
  <c r="J161" i="11"/>
  <c r="I161" i="11"/>
  <c r="H162" i="11" s="1"/>
  <c r="G161" i="11"/>
  <c r="N161" i="11"/>
  <c r="M161" i="11"/>
  <c r="L161" i="11"/>
  <c r="K161" i="11"/>
  <c r="P161" i="11"/>
  <c r="O161" i="11"/>
  <c r="O162" i="3" l="1"/>
  <c r="N162" i="3"/>
  <c r="M162" i="3"/>
  <c r="L162" i="3"/>
  <c r="K162" i="3"/>
  <c r="J162" i="3"/>
  <c r="I162" i="3"/>
  <c r="H163" i="3" s="1"/>
  <c r="P162" i="3"/>
  <c r="G162" i="3"/>
  <c r="L162" i="11"/>
  <c r="K162" i="11"/>
  <c r="J162" i="11"/>
  <c r="I162" i="11"/>
  <c r="H163" i="11" s="1"/>
  <c r="P162" i="11"/>
  <c r="O162" i="11"/>
  <c r="N162" i="11"/>
  <c r="G162" i="11"/>
  <c r="M162" i="11"/>
  <c r="P163" i="12"/>
  <c r="O163" i="12"/>
  <c r="N163" i="12"/>
  <c r="L163" i="12"/>
  <c r="K163" i="12"/>
  <c r="M163" i="12"/>
  <c r="J163" i="12"/>
  <c r="I163" i="12"/>
  <c r="H164" i="12" s="1"/>
  <c r="G163" i="12"/>
  <c r="P163" i="3" l="1"/>
  <c r="O163" i="3"/>
  <c r="N163" i="3"/>
  <c r="M163" i="3"/>
  <c r="L163" i="3"/>
  <c r="K163" i="3"/>
  <c r="J163" i="3"/>
  <c r="I163" i="3"/>
  <c r="H164" i="3" s="1"/>
  <c r="G163" i="3"/>
  <c r="G164" i="12"/>
  <c r="O164" i="12"/>
  <c r="N164" i="12"/>
  <c r="K164" i="12"/>
  <c r="J164" i="12"/>
  <c r="I164" i="12"/>
  <c r="H165" i="12" s="1"/>
  <c r="P164" i="12"/>
  <c r="M164" i="12"/>
  <c r="L164" i="12"/>
  <c r="N163" i="11"/>
  <c r="M163" i="11"/>
  <c r="L163" i="11"/>
  <c r="K163" i="11"/>
  <c r="P163" i="11"/>
  <c r="O163" i="11"/>
  <c r="J163" i="11"/>
  <c r="I163" i="11"/>
  <c r="H164" i="11" s="1"/>
  <c r="G163" i="11"/>
  <c r="G164" i="3" l="1"/>
  <c r="P164" i="3"/>
  <c r="O164" i="3"/>
  <c r="N164" i="3"/>
  <c r="M164" i="3"/>
  <c r="L164" i="3"/>
  <c r="J164" i="3"/>
  <c r="I164" i="3"/>
  <c r="H165" i="3" s="1"/>
  <c r="K164" i="3"/>
  <c r="I165" i="12"/>
  <c r="H166" i="12" s="1"/>
  <c r="J165" i="12"/>
  <c r="G165" i="12"/>
  <c r="P165" i="12"/>
  <c r="O165" i="12"/>
  <c r="N165" i="12"/>
  <c r="M165" i="12"/>
  <c r="L165" i="12"/>
  <c r="K165" i="12"/>
  <c r="G164" i="11"/>
  <c r="P164" i="11"/>
  <c r="O164" i="11"/>
  <c r="N164" i="11"/>
  <c r="K164" i="11"/>
  <c r="I164" i="11"/>
  <c r="H165" i="11" s="1"/>
  <c r="J164" i="11"/>
  <c r="M164" i="11"/>
  <c r="L164" i="11"/>
  <c r="I165" i="3" l="1"/>
  <c r="H166" i="3" s="1"/>
  <c r="G165" i="3"/>
  <c r="P165" i="3"/>
  <c r="O165" i="3"/>
  <c r="N165" i="3"/>
  <c r="M165" i="3"/>
  <c r="L165" i="3"/>
  <c r="K165" i="3"/>
  <c r="J165" i="3"/>
  <c r="K166" i="12"/>
  <c r="M166" i="12"/>
  <c r="L166" i="12"/>
  <c r="J166" i="12"/>
  <c r="G166" i="12"/>
  <c r="P166" i="12"/>
  <c r="O166" i="12"/>
  <c r="N166" i="12"/>
  <c r="I166" i="12"/>
  <c r="H167" i="12" s="1"/>
  <c r="K165" i="11"/>
  <c r="I165" i="11"/>
  <c r="H166" i="11" s="1"/>
  <c r="G165" i="11"/>
  <c r="O165" i="11"/>
  <c r="M165" i="11"/>
  <c r="L165" i="11"/>
  <c r="P165" i="11"/>
  <c r="J165" i="11"/>
  <c r="N165" i="11"/>
  <c r="M166" i="11" l="1"/>
  <c r="K166" i="11"/>
  <c r="L166" i="11"/>
  <c r="J166" i="11"/>
  <c r="I166" i="11"/>
  <c r="H167" i="11" s="1"/>
  <c r="P166" i="11"/>
  <c r="O166" i="11"/>
  <c r="N166" i="11"/>
  <c r="G166" i="11"/>
  <c r="M167" i="12"/>
  <c r="P167" i="12"/>
  <c r="O167" i="12"/>
  <c r="N167" i="12"/>
  <c r="K167" i="12"/>
  <c r="J167" i="12"/>
  <c r="L167" i="12"/>
  <c r="I167" i="12"/>
  <c r="H168" i="12" s="1"/>
  <c r="G167" i="12"/>
  <c r="K166" i="3"/>
  <c r="J166" i="3"/>
  <c r="I166" i="3"/>
  <c r="H167" i="3" s="1"/>
  <c r="G166" i="3"/>
  <c r="P166" i="3"/>
  <c r="O166" i="3"/>
  <c r="N166" i="3"/>
  <c r="M166" i="3"/>
  <c r="L166" i="3"/>
  <c r="M167" i="3" l="1"/>
  <c r="L167" i="3"/>
  <c r="K167" i="3"/>
  <c r="J167" i="3"/>
  <c r="I167" i="3"/>
  <c r="H168" i="3" s="1"/>
  <c r="G167" i="3"/>
  <c r="P167" i="3"/>
  <c r="O167" i="3"/>
  <c r="N167" i="3"/>
  <c r="O167" i="11"/>
  <c r="M167" i="11"/>
  <c r="P167" i="11"/>
  <c r="N167" i="11"/>
  <c r="L167" i="11"/>
  <c r="I167" i="11"/>
  <c r="H168" i="11" s="1"/>
  <c r="G167" i="11"/>
  <c r="K167" i="11"/>
  <c r="J167" i="11"/>
  <c r="O168" i="12"/>
  <c r="M168" i="12"/>
  <c r="P168" i="12"/>
  <c r="N168" i="12"/>
  <c r="J168" i="12"/>
  <c r="I168" i="12"/>
  <c r="H169" i="12" s="1"/>
  <c r="G168" i="12"/>
  <c r="L168" i="12"/>
  <c r="K168" i="12"/>
  <c r="P169" i="12" l="1"/>
  <c r="O169" i="12"/>
  <c r="J169" i="12"/>
  <c r="I169" i="12"/>
  <c r="H170" i="12" s="1"/>
  <c r="N169" i="12"/>
  <c r="G169" i="12"/>
  <c r="M169" i="12"/>
  <c r="K169" i="12"/>
  <c r="L169" i="12"/>
  <c r="O168" i="3"/>
  <c r="N168" i="3"/>
  <c r="M168" i="3"/>
  <c r="L168" i="3"/>
  <c r="K168" i="3"/>
  <c r="J168" i="3"/>
  <c r="I168" i="3"/>
  <c r="H169" i="3" s="1"/>
  <c r="P168" i="3"/>
  <c r="G168" i="3"/>
  <c r="O168" i="11"/>
  <c r="G168" i="11"/>
  <c r="M168" i="11"/>
  <c r="K168" i="11"/>
  <c r="J168" i="11"/>
  <c r="N168" i="11"/>
  <c r="L168" i="11"/>
  <c r="I168" i="11"/>
  <c r="H169" i="11" s="1"/>
  <c r="P168" i="11"/>
  <c r="G170" i="12" l="1"/>
  <c r="O170" i="12"/>
  <c r="N170" i="12"/>
  <c r="M170" i="12"/>
  <c r="L170" i="12"/>
  <c r="K170" i="12"/>
  <c r="J170" i="12"/>
  <c r="P170" i="12"/>
  <c r="I170" i="12"/>
  <c r="H171" i="12" s="1"/>
  <c r="P169" i="3"/>
  <c r="O169" i="3"/>
  <c r="N169" i="3"/>
  <c r="M169" i="3"/>
  <c r="L169" i="3"/>
  <c r="K169" i="3"/>
  <c r="J169" i="3"/>
  <c r="I169" i="3"/>
  <c r="H170" i="3" s="1"/>
  <c r="G169" i="3"/>
  <c r="G169" i="11"/>
  <c r="K169" i="11"/>
  <c r="J169" i="11"/>
  <c r="I169" i="11"/>
  <c r="H170" i="11" s="1"/>
  <c r="O169" i="11"/>
  <c r="N169" i="11"/>
  <c r="P169" i="11"/>
  <c r="M169" i="11"/>
  <c r="L169" i="11"/>
  <c r="G170" i="3" l="1"/>
  <c r="P170" i="3"/>
  <c r="O170" i="3"/>
  <c r="N170" i="3"/>
  <c r="M170" i="3"/>
  <c r="L170" i="3"/>
  <c r="K170" i="3"/>
  <c r="J170" i="3"/>
  <c r="I170" i="3"/>
  <c r="H171" i="3" s="1"/>
  <c r="I170" i="11"/>
  <c r="H171" i="11" s="1"/>
  <c r="G170" i="11"/>
  <c r="O170" i="11"/>
  <c r="N170" i="11"/>
  <c r="M170" i="11"/>
  <c r="L170" i="11"/>
  <c r="P170" i="11"/>
  <c r="K170" i="11"/>
  <c r="J170" i="11"/>
  <c r="I171" i="12"/>
  <c r="H172" i="12" s="1"/>
  <c r="G171" i="12"/>
  <c r="P171" i="12"/>
  <c r="O171" i="12"/>
  <c r="K171" i="12"/>
  <c r="J171" i="12"/>
  <c r="N171" i="12"/>
  <c r="M171" i="12"/>
  <c r="L171" i="12"/>
  <c r="I171" i="3" l="1"/>
  <c r="H172" i="3" s="1"/>
  <c r="G171" i="3"/>
  <c r="P171" i="3"/>
  <c r="O171" i="3"/>
  <c r="N171" i="3"/>
  <c r="L171" i="3"/>
  <c r="K171" i="3"/>
  <c r="J171" i="3"/>
  <c r="M171" i="3"/>
  <c r="K171" i="11"/>
  <c r="I171" i="11"/>
  <c r="H172" i="11" s="1"/>
  <c r="P171" i="11"/>
  <c r="M171" i="11"/>
  <c r="J171" i="11"/>
  <c r="G171" i="11"/>
  <c r="O171" i="11"/>
  <c r="N171" i="11"/>
  <c r="L171" i="11"/>
  <c r="K172" i="12"/>
  <c r="J172" i="12"/>
  <c r="I172" i="12"/>
  <c r="H173" i="12" s="1"/>
  <c r="M172" i="12"/>
  <c r="L172" i="12"/>
  <c r="G172" i="12"/>
  <c r="P172" i="12"/>
  <c r="O172" i="12"/>
  <c r="N172" i="12"/>
  <c r="M173" i="12" l="1"/>
  <c r="L173" i="12"/>
  <c r="K173" i="12"/>
  <c r="P173" i="12"/>
  <c r="O173" i="12"/>
  <c r="N173" i="12"/>
  <c r="J173" i="12"/>
  <c r="I173" i="12"/>
  <c r="H174" i="12" s="1"/>
  <c r="G173" i="12"/>
  <c r="M172" i="11"/>
  <c r="K172" i="11"/>
  <c r="I172" i="11"/>
  <c r="H173" i="11" s="1"/>
  <c r="G172" i="11"/>
  <c r="O172" i="11"/>
  <c r="N172" i="11"/>
  <c r="P172" i="11"/>
  <c r="J172" i="11"/>
  <c r="L172" i="11"/>
  <c r="K172" i="3"/>
  <c r="J172" i="3"/>
  <c r="I172" i="3"/>
  <c r="H173" i="3" s="1"/>
  <c r="G172" i="3"/>
  <c r="P172" i="3"/>
  <c r="O172" i="3"/>
  <c r="N172" i="3"/>
  <c r="M172" i="3"/>
  <c r="L172" i="3"/>
  <c r="O174" i="12" l="1"/>
  <c r="N174" i="12"/>
  <c r="M174" i="12"/>
  <c r="G174" i="12"/>
  <c r="K174" i="12"/>
  <c r="J174" i="12"/>
  <c r="I174" i="12"/>
  <c r="H175" i="12" s="1"/>
  <c r="P174" i="12"/>
  <c r="L174" i="12"/>
  <c r="O173" i="11"/>
  <c r="M173" i="11"/>
  <c r="N173" i="11"/>
  <c r="L173" i="11"/>
  <c r="K173" i="11"/>
  <c r="J173" i="11"/>
  <c r="G173" i="11"/>
  <c r="P173" i="11"/>
  <c r="I173" i="11"/>
  <c r="H174" i="11" s="1"/>
  <c r="M173" i="3"/>
  <c r="L173" i="3"/>
  <c r="K173" i="3"/>
  <c r="J173" i="3"/>
  <c r="I173" i="3"/>
  <c r="H174" i="3" s="1"/>
  <c r="G173" i="3"/>
  <c r="P173" i="3"/>
  <c r="O173" i="3"/>
  <c r="N173" i="3"/>
  <c r="P175" i="12" l="1"/>
  <c r="O175" i="12"/>
  <c r="M175" i="12"/>
  <c r="L175" i="12"/>
  <c r="K175" i="12"/>
  <c r="J175" i="12"/>
  <c r="I175" i="12"/>
  <c r="H176" i="12" s="1"/>
  <c r="G175" i="12"/>
  <c r="N175" i="12"/>
  <c r="O174" i="11"/>
  <c r="P174" i="11"/>
  <c r="N174" i="11"/>
  <c r="K174" i="11"/>
  <c r="I174" i="11"/>
  <c r="H175" i="11" s="1"/>
  <c r="L174" i="11"/>
  <c r="J174" i="11"/>
  <c r="G174" i="11"/>
  <c r="M174" i="11"/>
  <c r="O174" i="3"/>
  <c r="N174" i="3"/>
  <c r="M174" i="3"/>
  <c r="L174" i="3"/>
  <c r="K174" i="3"/>
  <c r="J174" i="3"/>
  <c r="I174" i="3"/>
  <c r="H175" i="3" s="1"/>
  <c r="P174" i="3"/>
  <c r="G174" i="3"/>
  <c r="L176" i="12" l="1"/>
  <c r="G176" i="12"/>
  <c r="P176" i="12"/>
  <c r="O176" i="12"/>
  <c r="N176" i="12"/>
  <c r="M176" i="12"/>
  <c r="K176" i="12"/>
  <c r="J176" i="12"/>
  <c r="I176" i="12"/>
  <c r="H177" i="12" s="1"/>
  <c r="G175" i="11"/>
  <c r="I175" i="11"/>
  <c r="H176" i="11" s="1"/>
  <c r="O175" i="11"/>
  <c r="M175" i="11"/>
  <c r="L175" i="11"/>
  <c r="N175" i="11"/>
  <c r="K175" i="11"/>
  <c r="J175" i="11"/>
  <c r="P175" i="11"/>
  <c r="P175" i="3"/>
  <c r="O175" i="3"/>
  <c r="N175" i="3"/>
  <c r="M175" i="3"/>
  <c r="L175" i="3"/>
  <c r="K175" i="3"/>
  <c r="J175" i="3"/>
  <c r="G175" i="3"/>
  <c r="I175" i="3"/>
  <c r="H176" i="3" s="1"/>
  <c r="O177" i="12" l="1"/>
  <c r="N177" i="12"/>
  <c r="J177" i="12"/>
  <c r="I177" i="12"/>
  <c r="H178" i="12" s="1"/>
  <c r="L177" i="12"/>
  <c r="K177" i="12"/>
  <c r="G177" i="12"/>
  <c r="P177" i="12"/>
  <c r="M177" i="12"/>
  <c r="I176" i="11"/>
  <c r="H177" i="11" s="1"/>
  <c r="G176" i="11"/>
  <c r="M176" i="11"/>
  <c r="L176" i="11"/>
  <c r="K176" i="11"/>
  <c r="J176" i="11"/>
  <c r="P176" i="11"/>
  <c r="O176" i="11"/>
  <c r="N176" i="11"/>
  <c r="G176" i="3"/>
  <c r="P176" i="3"/>
  <c r="O176" i="3"/>
  <c r="N176" i="3"/>
  <c r="M176" i="3"/>
  <c r="L176" i="3"/>
  <c r="K176" i="3"/>
  <c r="J176" i="3"/>
  <c r="I176" i="3"/>
  <c r="H177" i="3" s="1"/>
  <c r="P178" i="12" l="1"/>
  <c r="N178" i="12"/>
  <c r="M178" i="12"/>
  <c r="L178" i="12"/>
  <c r="O178" i="12"/>
  <c r="K178" i="12"/>
  <c r="G178" i="12"/>
  <c r="J178" i="12"/>
  <c r="I178" i="12"/>
  <c r="H179" i="12" s="1"/>
  <c r="K177" i="11"/>
  <c r="I177" i="11"/>
  <c r="H178" i="11" s="1"/>
  <c r="P177" i="11"/>
  <c r="O177" i="11"/>
  <c r="N177" i="11"/>
  <c r="J177" i="11"/>
  <c r="G177" i="11"/>
  <c r="M177" i="11"/>
  <c r="L177" i="11"/>
  <c r="I177" i="3"/>
  <c r="H178" i="3" s="1"/>
  <c r="G177" i="3"/>
  <c r="P177" i="3"/>
  <c r="O177" i="3"/>
  <c r="N177" i="3"/>
  <c r="M177" i="3"/>
  <c r="L177" i="3"/>
  <c r="K177" i="3"/>
  <c r="J177" i="3"/>
  <c r="G179" i="12" l="1"/>
  <c r="P179" i="12"/>
  <c r="K179" i="12"/>
  <c r="J179" i="12"/>
  <c r="I179" i="12"/>
  <c r="H180" i="12" s="1"/>
  <c r="O179" i="12"/>
  <c r="N179" i="12"/>
  <c r="M179" i="12"/>
  <c r="L179" i="12"/>
  <c r="M178" i="11"/>
  <c r="K178" i="11"/>
  <c r="G178" i="11"/>
  <c r="O178" i="11"/>
  <c r="L178" i="11"/>
  <c r="J178" i="11"/>
  <c r="P178" i="11"/>
  <c r="N178" i="11"/>
  <c r="I178" i="11"/>
  <c r="H179" i="11" s="1"/>
  <c r="K178" i="3"/>
  <c r="J178" i="3"/>
  <c r="I178" i="3"/>
  <c r="H179" i="3" s="1"/>
  <c r="G178" i="3"/>
  <c r="P178" i="3"/>
  <c r="N178" i="3"/>
  <c r="M178" i="3"/>
  <c r="L178" i="3"/>
  <c r="O178" i="3"/>
  <c r="I180" i="12" l="1"/>
  <c r="H181" i="12" s="1"/>
  <c r="J180" i="12"/>
  <c r="G180" i="12"/>
  <c r="P180" i="12"/>
  <c r="O180" i="12"/>
  <c r="N180" i="12"/>
  <c r="M180" i="12"/>
  <c r="L180" i="12"/>
  <c r="K180" i="12"/>
  <c r="O179" i="11"/>
  <c r="M179" i="11"/>
  <c r="K179" i="11"/>
  <c r="J179" i="11"/>
  <c r="I179" i="11"/>
  <c r="H180" i="11" s="1"/>
  <c r="P179" i="11"/>
  <c r="N179" i="11"/>
  <c r="G179" i="11"/>
  <c r="L179" i="11"/>
  <c r="M179" i="3"/>
  <c r="L179" i="3"/>
  <c r="K179" i="3"/>
  <c r="J179" i="3"/>
  <c r="I179" i="3"/>
  <c r="H180" i="3" s="1"/>
  <c r="G179" i="3"/>
  <c r="P179" i="3"/>
  <c r="O179" i="3"/>
  <c r="N179" i="3"/>
  <c r="O180" i="3" l="1"/>
  <c r="N180" i="3"/>
  <c r="M180" i="3"/>
  <c r="L180" i="3"/>
  <c r="K180" i="3"/>
  <c r="J180" i="3"/>
  <c r="I180" i="3"/>
  <c r="H181" i="3" s="1"/>
  <c r="P180" i="3"/>
  <c r="G180" i="3"/>
  <c r="O180" i="11"/>
  <c r="M180" i="11"/>
  <c r="L180" i="11"/>
  <c r="P180" i="11"/>
  <c r="N180" i="11"/>
  <c r="I180" i="11"/>
  <c r="H181" i="11" s="1"/>
  <c r="G180" i="11"/>
  <c r="K180" i="11"/>
  <c r="J180" i="11"/>
  <c r="K181" i="12"/>
  <c r="J181" i="12"/>
  <c r="N181" i="12"/>
  <c r="M181" i="12"/>
  <c r="L181" i="12"/>
  <c r="G181" i="12"/>
  <c r="P181" i="12"/>
  <c r="O181" i="12"/>
  <c r="I181" i="12"/>
  <c r="H182" i="12" s="1"/>
  <c r="M182" i="12" l="1"/>
  <c r="L182" i="12"/>
  <c r="K182" i="12"/>
  <c r="P182" i="12"/>
  <c r="O182" i="12"/>
  <c r="N182" i="12"/>
  <c r="J182" i="12"/>
  <c r="I182" i="12"/>
  <c r="H183" i="12" s="1"/>
  <c r="G182" i="12"/>
  <c r="P181" i="3"/>
  <c r="O181" i="3"/>
  <c r="N181" i="3"/>
  <c r="M181" i="3"/>
  <c r="L181" i="3"/>
  <c r="K181" i="3"/>
  <c r="J181" i="3"/>
  <c r="I181" i="3"/>
  <c r="H182" i="3" s="1"/>
  <c r="G181" i="3"/>
  <c r="G181" i="11"/>
  <c r="P181" i="11"/>
  <c r="O181" i="11"/>
  <c r="N181" i="11"/>
  <c r="I181" i="11"/>
  <c r="H182" i="11" s="1"/>
  <c r="M181" i="11"/>
  <c r="L181" i="11"/>
  <c r="K181" i="11"/>
  <c r="J181" i="11"/>
  <c r="I182" i="11" l="1"/>
  <c r="H183" i="11" s="1"/>
  <c r="G182" i="11"/>
  <c r="P182" i="11"/>
  <c r="O182" i="11"/>
  <c r="N182" i="11"/>
  <c r="M182" i="11"/>
  <c r="J182" i="11"/>
  <c r="L182" i="11"/>
  <c r="K182" i="11"/>
  <c r="O183" i="12"/>
  <c r="N183" i="12"/>
  <c r="M183" i="12"/>
  <c r="I183" i="12"/>
  <c r="H184" i="12" s="1"/>
  <c r="G183" i="12"/>
  <c r="K183" i="12"/>
  <c r="J183" i="12"/>
  <c r="P183" i="12"/>
  <c r="L183" i="12"/>
  <c r="K182" i="3"/>
  <c r="G182" i="3"/>
  <c r="P182" i="3"/>
  <c r="O182" i="3"/>
  <c r="N182" i="3"/>
  <c r="M182" i="3"/>
  <c r="J182" i="3"/>
  <c r="I182" i="3"/>
  <c r="H183" i="3" s="1"/>
  <c r="L182" i="3"/>
  <c r="M183" i="3" l="1"/>
  <c r="J183" i="3"/>
  <c r="I183" i="3"/>
  <c r="H184" i="3" s="1"/>
  <c r="G183" i="3"/>
  <c r="P183" i="3"/>
  <c r="O183" i="3"/>
  <c r="N183" i="3"/>
  <c r="L183" i="3"/>
  <c r="K183" i="3"/>
  <c r="P184" i="12"/>
  <c r="O184" i="12"/>
  <c r="N184" i="12"/>
  <c r="M184" i="12"/>
  <c r="L184" i="12"/>
  <c r="K184" i="12"/>
  <c r="J184" i="12"/>
  <c r="I184" i="12"/>
  <c r="H185" i="12" s="1"/>
  <c r="G184" i="12"/>
  <c r="K183" i="11"/>
  <c r="I183" i="11"/>
  <c r="H184" i="11" s="1"/>
  <c r="G183" i="11"/>
  <c r="J183" i="11"/>
  <c r="O183" i="11"/>
  <c r="N183" i="11"/>
  <c r="M183" i="11"/>
  <c r="L183" i="11"/>
  <c r="P183" i="11"/>
  <c r="M184" i="11" l="1"/>
  <c r="L184" i="11"/>
  <c r="K184" i="11"/>
  <c r="J184" i="11"/>
  <c r="I184" i="11"/>
  <c r="H185" i="11" s="1"/>
  <c r="P184" i="11"/>
  <c r="G184" i="11"/>
  <c r="O184" i="11"/>
  <c r="N184" i="11"/>
  <c r="G185" i="12"/>
  <c r="M185" i="12"/>
  <c r="L185" i="12"/>
  <c r="K185" i="12"/>
  <c r="J185" i="12"/>
  <c r="I185" i="12"/>
  <c r="H186" i="12" s="1"/>
  <c r="P185" i="12"/>
  <c r="O185" i="12"/>
  <c r="N185" i="12"/>
  <c r="O184" i="3"/>
  <c r="M184" i="3"/>
  <c r="L184" i="3"/>
  <c r="K184" i="3"/>
  <c r="J184" i="3"/>
  <c r="I184" i="3"/>
  <c r="H185" i="3" s="1"/>
  <c r="G184" i="3"/>
  <c r="P184" i="3"/>
  <c r="N184" i="3"/>
  <c r="P185" i="3" l="1"/>
  <c r="O185" i="3"/>
  <c r="N185" i="3"/>
  <c r="M185" i="3"/>
  <c r="L185" i="3"/>
  <c r="K185" i="3"/>
  <c r="J185" i="3"/>
  <c r="I185" i="3"/>
  <c r="H186" i="3" s="1"/>
  <c r="G185" i="3"/>
  <c r="O185" i="11"/>
  <c r="N185" i="11"/>
  <c r="M185" i="11"/>
  <c r="L185" i="11"/>
  <c r="K185" i="11"/>
  <c r="J185" i="11"/>
  <c r="I185" i="11"/>
  <c r="H186" i="11" s="1"/>
  <c r="G185" i="11"/>
  <c r="P185" i="11"/>
  <c r="J186" i="12"/>
  <c r="I186" i="12"/>
  <c r="H187" i="12" s="1"/>
  <c r="G186" i="12"/>
  <c r="N186" i="12"/>
  <c r="M186" i="12"/>
  <c r="L186" i="12"/>
  <c r="P186" i="12"/>
  <c r="O186" i="12"/>
  <c r="K186" i="12"/>
  <c r="G186" i="3" l="1"/>
  <c r="P186" i="3"/>
  <c r="O186" i="3"/>
  <c r="N186" i="3"/>
  <c r="M186" i="3"/>
  <c r="L186" i="3"/>
  <c r="J186" i="3"/>
  <c r="I186" i="3"/>
  <c r="H187" i="3" s="1"/>
  <c r="K186" i="3"/>
  <c r="L187" i="12"/>
  <c r="K187" i="12"/>
  <c r="J187" i="12"/>
  <c r="I187" i="12"/>
  <c r="H188" i="12" s="1"/>
  <c r="P187" i="12"/>
  <c r="O187" i="12"/>
  <c r="N187" i="12"/>
  <c r="M187" i="12"/>
  <c r="G187" i="12"/>
  <c r="P186" i="11"/>
  <c r="O186" i="11"/>
  <c r="N186" i="11"/>
  <c r="M186" i="11"/>
  <c r="L186" i="11"/>
  <c r="K186" i="11"/>
  <c r="I186" i="11"/>
  <c r="H187" i="11" s="1"/>
  <c r="J186" i="11"/>
  <c r="G186" i="11"/>
  <c r="I187" i="3" l="1"/>
  <c r="H188" i="3" s="1"/>
  <c r="J187" i="3"/>
  <c r="G187" i="3"/>
  <c r="P187" i="3"/>
  <c r="O187" i="3"/>
  <c r="N187" i="3"/>
  <c r="M187" i="3"/>
  <c r="K187" i="3"/>
  <c r="L187" i="3"/>
  <c r="G187" i="11"/>
  <c r="P187" i="11"/>
  <c r="O187" i="11"/>
  <c r="N187" i="11"/>
  <c r="M187" i="11"/>
  <c r="L187" i="11"/>
  <c r="K187" i="11"/>
  <c r="J187" i="11"/>
  <c r="I187" i="11"/>
  <c r="H188" i="11" s="1"/>
  <c r="N188" i="12"/>
  <c r="M188" i="12"/>
  <c r="L188" i="12"/>
  <c r="K188" i="12"/>
  <c r="J188" i="12"/>
  <c r="I188" i="12"/>
  <c r="H189" i="12" s="1"/>
  <c r="P188" i="12"/>
  <c r="O188" i="12"/>
  <c r="G188" i="12"/>
  <c r="P189" i="12" l="1"/>
  <c r="O189" i="12"/>
  <c r="N189" i="12"/>
  <c r="M189" i="12"/>
  <c r="L189" i="12"/>
  <c r="K189" i="12"/>
  <c r="J189" i="12"/>
  <c r="I189" i="12"/>
  <c r="H190" i="12" s="1"/>
  <c r="G189" i="12"/>
  <c r="I188" i="11"/>
  <c r="H189" i="11" s="1"/>
  <c r="G188" i="11"/>
  <c r="P188" i="11"/>
  <c r="O188" i="11"/>
  <c r="M188" i="11"/>
  <c r="L188" i="11"/>
  <c r="N188" i="11"/>
  <c r="K188" i="11"/>
  <c r="J188" i="11"/>
  <c r="K188" i="3"/>
  <c r="M188" i="3"/>
  <c r="L188" i="3"/>
  <c r="J188" i="3"/>
  <c r="I188" i="3"/>
  <c r="H189" i="3" s="1"/>
  <c r="G188" i="3"/>
  <c r="P188" i="3"/>
  <c r="O188" i="3"/>
  <c r="N188" i="3"/>
  <c r="K189" i="11" l="1"/>
  <c r="J189" i="11"/>
  <c r="I189" i="11"/>
  <c r="H190" i="11" s="1"/>
  <c r="G189" i="11"/>
  <c r="P189" i="11"/>
  <c r="O189" i="11"/>
  <c r="N189" i="11"/>
  <c r="L189" i="11"/>
  <c r="M189" i="11"/>
  <c r="P190" i="12"/>
  <c r="O190" i="12"/>
  <c r="J190" i="12"/>
  <c r="I190" i="12"/>
  <c r="H191" i="12" s="1"/>
  <c r="L190" i="12"/>
  <c r="K190" i="12"/>
  <c r="G190" i="12"/>
  <c r="N190" i="12"/>
  <c r="M190" i="12"/>
  <c r="M189" i="3"/>
  <c r="P189" i="3"/>
  <c r="O189" i="3"/>
  <c r="N189" i="3"/>
  <c r="L189" i="3"/>
  <c r="K189" i="3"/>
  <c r="J189" i="3"/>
  <c r="I189" i="3"/>
  <c r="H190" i="3" s="1"/>
  <c r="G189" i="3"/>
  <c r="M190" i="11" l="1"/>
  <c r="L190" i="11"/>
  <c r="K190" i="11"/>
  <c r="J190" i="11"/>
  <c r="I190" i="11"/>
  <c r="H191" i="11" s="1"/>
  <c r="G190" i="11"/>
  <c r="P190" i="11"/>
  <c r="O190" i="11"/>
  <c r="N190" i="11"/>
  <c r="O190" i="3"/>
  <c r="P190" i="3"/>
  <c r="N190" i="3"/>
  <c r="M190" i="3"/>
  <c r="L190" i="3"/>
  <c r="K190" i="3"/>
  <c r="I190" i="3"/>
  <c r="H191" i="3" s="1"/>
  <c r="G190" i="3"/>
  <c r="J190" i="3"/>
  <c r="G191" i="12"/>
  <c r="P191" i="12"/>
  <c r="O191" i="12"/>
  <c r="N191" i="12"/>
  <c r="M191" i="12"/>
  <c r="I191" i="12"/>
  <c r="H192" i="12" s="1"/>
  <c r="L191" i="12"/>
  <c r="K191" i="12"/>
  <c r="J191" i="12"/>
  <c r="O191" i="11" l="1"/>
  <c r="N191" i="11"/>
  <c r="M191" i="11"/>
  <c r="L191" i="11"/>
  <c r="K191" i="11"/>
  <c r="J191" i="11"/>
  <c r="I191" i="11"/>
  <c r="H192" i="11" s="1"/>
  <c r="G191" i="11"/>
  <c r="P191" i="11"/>
  <c r="J192" i="12"/>
  <c r="I192" i="12"/>
  <c r="H193" i="12" s="1"/>
  <c r="G192" i="12"/>
  <c r="O192" i="12"/>
  <c r="N192" i="12"/>
  <c r="M192" i="12"/>
  <c r="L192" i="12"/>
  <c r="K192" i="12"/>
  <c r="P192" i="12"/>
  <c r="I191" i="3"/>
  <c r="H192" i="3" s="1"/>
  <c r="G191" i="3"/>
  <c r="P191" i="3"/>
  <c r="O191" i="3"/>
  <c r="N191" i="3"/>
  <c r="M191" i="3"/>
  <c r="L191" i="3"/>
  <c r="K191" i="3"/>
  <c r="J191" i="3"/>
  <c r="L193" i="12" l="1"/>
  <c r="K193" i="12"/>
  <c r="J193" i="12"/>
  <c r="I193" i="12"/>
  <c r="H194" i="12" s="1"/>
  <c r="P193" i="12"/>
  <c r="O193" i="12"/>
  <c r="N193" i="12"/>
  <c r="M193" i="12"/>
  <c r="G193" i="12"/>
  <c r="G192" i="3"/>
  <c r="L192" i="3"/>
  <c r="K192" i="3"/>
  <c r="J192" i="3"/>
  <c r="I192" i="3"/>
  <c r="H193" i="3" s="1"/>
  <c r="P192" i="3"/>
  <c r="O192" i="3"/>
  <c r="N192" i="3"/>
  <c r="M192" i="3"/>
  <c r="P192" i="11"/>
  <c r="O192" i="11"/>
  <c r="N192" i="11"/>
  <c r="M192" i="11"/>
  <c r="L192" i="11"/>
  <c r="K192" i="11"/>
  <c r="J192" i="11"/>
  <c r="I192" i="11"/>
  <c r="H193" i="11" s="1"/>
  <c r="G192" i="11"/>
  <c r="N194" i="12" l="1"/>
  <c r="M194" i="12"/>
  <c r="L194" i="12"/>
  <c r="K194" i="12"/>
  <c r="P194" i="12"/>
  <c r="O194" i="12"/>
  <c r="J194" i="12"/>
  <c r="I194" i="12"/>
  <c r="H195" i="12" s="1"/>
  <c r="G194" i="12"/>
  <c r="I193" i="3"/>
  <c r="H194" i="3" s="1"/>
  <c r="O193" i="3"/>
  <c r="N193" i="3"/>
  <c r="M193" i="3"/>
  <c r="L193" i="3"/>
  <c r="K193" i="3"/>
  <c r="J193" i="3"/>
  <c r="G193" i="3"/>
  <c r="P193" i="3"/>
  <c r="G193" i="11"/>
  <c r="P193" i="11"/>
  <c r="O193" i="11"/>
  <c r="N193" i="11"/>
  <c r="M193" i="11"/>
  <c r="K193" i="11"/>
  <c r="J193" i="11"/>
  <c r="I193" i="11"/>
  <c r="H194" i="11" s="1"/>
  <c r="L193" i="11"/>
  <c r="K194" i="3" l="1"/>
  <c r="P194" i="3"/>
  <c r="O194" i="3"/>
  <c r="N194" i="3"/>
  <c r="M194" i="3"/>
  <c r="L194" i="3"/>
  <c r="J194" i="3"/>
  <c r="G194" i="3"/>
  <c r="I194" i="3"/>
  <c r="H195" i="3" s="1"/>
  <c r="I194" i="11"/>
  <c r="H195" i="11" s="1"/>
  <c r="G194" i="11"/>
  <c r="P194" i="11"/>
  <c r="O194" i="11"/>
  <c r="N194" i="11"/>
  <c r="M194" i="11"/>
  <c r="L194" i="11"/>
  <c r="K194" i="11"/>
  <c r="J194" i="11"/>
  <c r="P195" i="12"/>
  <c r="O195" i="12"/>
  <c r="N195" i="12"/>
  <c r="M195" i="12"/>
  <c r="L195" i="12"/>
  <c r="K195" i="12"/>
  <c r="J195" i="12"/>
  <c r="G195" i="12"/>
  <c r="I195" i="12"/>
  <c r="H196" i="12" s="1"/>
  <c r="K195" i="11" l="1"/>
  <c r="J195" i="11"/>
  <c r="I195" i="11"/>
  <c r="H196" i="11" s="1"/>
  <c r="G195" i="11"/>
  <c r="O195" i="11"/>
  <c r="N195" i="11"/>
  <c r="P195" i="11"/>
  <c r="L195" i="11"/>
  <c r="M195" i="11"/>
  <c r="M195" i="3"/>
  <c r="G195" i="3"/>
  <c r="P195" i="3"/>
  <c r="O195" i="3"/>
  <c r="N195" i="3"/>
  <c r="L195" i="3"/>
  <c r="K195" i="3"/>
  <c r="J195" i="3"/>
  <c r="I195" i="3"/>
  <c r="H196" i="3" s="1"/>
  <c r="P196" i="12"/>
  <c r="O196" i="12"/>
  <c r="N196" i="12"/>
  <c r="M196" i="12"/>
  <c r="L196" i="12"/>
  <c r="G196" i="12"/>
  <c r="K196" i="12"/>
  <c r="J196" i="12"/>
  <c r="I196" i="12"/>
  <c r="H197" i="12" s="1"/>
  <c r="O196" i="3" l="1"/>
  <c r="K196" i="3"/>
  <c r="J196" i="3"/>
  <c r="I196" i="3"/>
  <c r="H197" i="3" s="1"/>
  <c r="G196" i="3"/>
  <c r="P196" i="3"/>
  <c r="N196" i="3"/>
  <c r="M196" i="3"/>
  <c r="L196" i="3"/>
  <c r="M196" i="11"/>
  <c r="L196" i="11"/>
  <c r="K196" i="11"/>
  <c r="J196" i="11"/>
  <c r="I196" i="11"/>
  <c r="H197" i="11" s="1"/>
  <c r="P196" i="11"/>
  <c r="G196" i="11"/>
  <c r="O196" i="11"/>
  <c r="N196" i="11"/>
  <c r="G197" i="12"/>
  <c r="L197" i="12"/>
  <c r="K197" i="12"/>
  <c r="J197" i="12"/>
  <c r="N197" i="12"/>
  <c r="M197" i="12"/>
  <c r="I197" i="12"/>
  <c r="H198" i="12" s="1"/>
  <c r="P197" i="12"/>
  <c r="O197" i="12"/>
  <c r="N197" i="3" l="1"/>
  <c r="M197" i="3"/>
  <c r="L197" i="3"/>
  <c r="K197" i="3"/>
  <c r="J197" i="3"/>
  <c r="I197" i="3"/>
  <c r="H198" i="3" s="1"/>
  <c r="G197" i="3"/>
  <c r="P197" i="3"/>
  <c r="O197" i="3"/>
  <c r="J198" i="12"/>
  <c r="I198" i="12"/>
  <c r="H199" i="12" s="1"/>
  <c r="G198" i="12"/>
  <c r="P198" i="12"/>
  <c r="O198" i="12"/>
  <c r="N198" i="12"/>
  <c r="M198" i="12"/>
  <c r="L198" i="12"/>
  <c r="K198" i="12"/>
  <c r="O197" i="11"/>
  <c r="N197" i="11"/>
  <c r="M197" i="11"/>
  <c r="L197" i="11"/>
  <c r="K197" i="11"/>
  <c r="J197" i="11"/>
  <c r="I197" i="11"/>
  <c r="H198" i="11" s="1"/>
  <c r="G197" i="11"/>
  <c r="P197" i="11"/>
  <c r="G198" i="3" l="1"/>
  <c r="P198" i="3"/>
  <c r="O198" i="3"/>
  <c r="N198" i="3"/>
  <c r="M198" i="3"/>
  <c r="L198" i="3"/>
  <c r="K198" i="3"/>
  <c r="J198" i="3"/>
  <c r="I198" i="3"/>
  <c r="H199" i="3" s="1"/>
  <c r="L199" i="12"/>
  <c r="K199" i="12"/>
  <c r="J199" i="12"/>
  <c r="I199" i="12"/>
  <c r="H200" i="12" s="1"/>
  <c r="G199" i="12"/>
  <c r="P199" i="12"/>
  <c r="O199" i="12"/>
  <c r="N199" i="12"/>
  <c r="M199" i="12"/>
  <c r="P198" i="11"/>
  <c r="O198" i="11"/>
  <c r="N198" i="11"/>
  <c r="M198" i="11"/>
  <c r="L198" i="11"/>
  <c r="K198" i="11"/>
  <c r="I198" i="11"/>
  <c r="H199" i="11" s="1"/>
  <c r="J198" i="11"/>
  <c r="G198" i="11"/>
  <c r="I199" i="3" l="1"/>
  <c r="H200" i="3" s="1"/>
  <c r="G199" i="3"/>
  <c r="P199" i="3"/>
  <c r="O199" i="3"/>
  <c r="N199" i="3"/>
  <c r="M199" i="3"/>
  <c r="L199" i="3"/>
  <c r="K199" i="3"/>
  <c r="J199" i="3"/>
  <c r="G199" i="11"/>
  <c r="P199" i="11"/>
  <c r="O199" i="11"/>
  <c r="N199" i="11"/>
  <c r="M199" i="11"/>
  <c r="L199" i="11"/>
  <c r="K199" i="11"/>
  <c r="J199" i="11"/>
  <c r="I199" i="11"/>
  <c r="H200" i="11" s="1"/>
  <c r="N200" i="12"/>
  <c r="M200" i="12"/>
  <c r="L200" i="12"/>
  <c r="K200" i="12"/>
  <c r="P200" i="12"/>
  <c r="G200" i="12"/>
  <c r="J200" i="12"/>
  <c r="I200" i="12"/>
  <c r="H201" i="12" s="1"/>
  <c r="O200" i="12"/>
  <c r="I200" i="11" l="1"/>
  <c r="H201" i="11" s="1"/>
  <c r="G200" i="11"/>
  <c r="P200" i="11"/>
  <c r="O200" i="11"/>
  <c r="M200" i="11"/>
  <c r="L200" i="11"/>
  <c r="N200" i="11"/>
  <c r="K200" i="11"/>
  <c r="J200" i="11"/>
  <c r="P201" i="12"/>
  <c r="O201" i="12"/>
  <c r="N201" i="12"/>
  <c r="M201" i="12"/>
  <c r="G201" i="12"/>
  <c r="L201" i="12"/>
  <c r="K201" i="12"/>
  <c r="J201" i="12"/>
  <c r="I201" i="12"/>
  <c r="H202" i="12" s="1"/>
  <c r="K200" i="3"/>
  <c r="J200" i="3"/>
  <c r="I200" i="3"/>
  <c r="H201" i="3" s="1"/>
  <c r="G200" i="3"/>
  <c r="P200" i="3"/>
  <c r="O200" i="3"/>
  <c r="N200" i="3"/>
  <c r="M200" i="3"/>
  <c r="L200" i="3"/>
  <c r="P202" i="12" l="1"/>
  <c r="O202" i="12"/>
  <c r="N202" i="12"/>
  <c r="M202" i="12"/>
  <c r="L202" i="12"/>
  <c r="J202" i="12"/>
  <c r="I202" i="12"/>
  <c r="H203" i="12" s="1"/>
  <c r="G202" i="12"/>
  <c r="K202" i="12"/>
  <c r="M201" i="3"/>
  <c r="N201" i="3"/>
  <c r="L201" i="3"/>
  <c r="K201" i="3"/>
  <c r="J201" i="3"/>
  <c r="I201" i="3"/>
  <c r="H202" i="3" s="1"/>
  <c r="G201" i="3"/>
  <c r="P201" i="3"/>
  <c r="O201" i="3"/>
  <c r="K201" i="11"/>
  <c r="J201" i="11"/>
  <c r="I201" i="11"/>
  <c r="H202" i="11" s="1"/>
  <c r="G201" i="11"/>
  <c r="P201" i="11"/>
  <c r="O201" i="11"/>
  <c r="N201" i="11"/>
  <c r="M201" i="11"/>
  <c r="L201" i="11"/>
  <c r="P203" i="12" l="1"/>
  <c r="G203" i="12"/>
  <c r="O203" i="12"/>
  <c r="N203" i="12"/>
  <c r="M203" i="12"/>
  <c r="L203" i="12"/>
  <c r="K203" i="12"/>
  <c r="J203" i="12"/>
  <c r="I203" i="12"/>
  <c r="H204" i="12" s="1"/>
  <c r="M202" i="11"/>
  <c r="L202" i="11"/>
  <c r="K202" i="11"/>
  <c r="J202" i="11"/>
  <c r="I202" i="11"/>
  <c r="H203" i="11" s="1"/>
  <c r="G202" i="11"/>
  <c r="P202" i="11"/>
  <c r="O202" i="11"/>
  <c r="N202" i="11"/>
  <c r="O202" i="3"/>
  <c r="P202" i="3"/>
  <c r="N202" i="3"/>
  <c r="M202" i="3"/>
  <c r="L202" i="3"/>
  <c r="K202" i="3"/>
  <c r="J202" i="3"/>
  <c r="I202" i="3"/>
  <c r="H203" i="3" s="1"/>
  <c r="G202" i="3"/>
  <c r="G204" i="12" l="1"/>
  <c r="M204" i="12"/>
  <c r="L204" i="12"/>
  <c r="K204" i="12"/>
  <c r="J204" i="12"/>
  <c r="P204" i="12"/>
  <c r="O204" i="12"/>
  <c r="N204" i="12"/>
  <c r="I204" i="12"/>
  <c r="H205" i="12" s="1"/>
  <c r="G203" i="3"/>
  <c r="P203" i="3"/>
  <c r="O203" i="3"/>
  <c r="N203" i="3"/>
  <c r="M203" i="3"/>
  <c r="L203" i="3"/>
  <c r="K203" i="3"/>
  <c r="J203" i="3"/>
  <c r="I203" i="3"/>
  <c r="H204" i="3" s="1"/>
  <c r="O203" i="11"/>
  <c r="N203" i="11"/>
  <c r="M203" i="11"/>
  <c r="L203" i="11"/>
  <c r="K203" i="11"/>
  <c r="J203" i="11"/>
  <c r="I203" i="11"/>
  <c r="H204" i="11" s="1"/>
  <c r="G203" i="11"/>
  <c r="P203" i="11"/>
  <c r="J205" i="12" l="1"/>
  <c r="I205" i="12"/>
  <c r="H206" i="12" s="1"/>
  <c r="P205" i="12"/>
  <c r="O205" i="12"/>
  <c r="G205" i="12"/>
  <c r="L205" i="12"/>
  <c r="K205" i="12"/>
  <c r="N205" i="12"/>
  <c r="M205" i="12"/>
  <c r="G204" i="3"/>
  <c r="J204" i="3"/>
  <c r="I204" i="3"/>
  <c r="H205" i="3" s="1"/>
  <c r="P204" i="3"/>
  <c r="O204" i="3"/>
  <c r="N204" i="3"/>
  <c r="M204" i="3"/>
  <c r="L204" i="3"/>
  <c r="K204" i="3"/>
  <c r="P204" i="11"/>
  <c r="O204" i="11"/>
  <c r="N204" i="11"/>
  <c r="M204" i="11"/>
  <c r="L204" i="11"/>
  <c r="K204" i="11"/>
  <c r="J204" i="11"/>
  <c r="I204" i="11"/>
  <c r="H205" i="11" s="1"/>
  <c r="G204" i="11"/>
  <c r="I205" i="3" l="1"/>
  <c r="H206" i="3" s="1"/>
  <c r="M205" i="3"/>
  <c r="L205" i="3"/>
  <c r="K205" i="3"/>
  <c r="J205" i="3"/>
  <c r="G205" i="3"/>
  <c r="P205" i="3"/>
  <c r="O205" i="3"/>
  <c r="N205" i="3"/>
  <c r="L206" i="12"/>
  <c r="K206" i="12"/>
  <c r="J206" i="12"/>
  <c r="G206" i="12"/>
  <c r="P206" i="12"/>
  <c r="I206" i="12"/>
  <c r="H207" i="12" s="1"/>
  <c r="O206" i="12"/>
  <c r="N206" i="12"/>
  <c r="M206" i="12"/>
  <c r="G205" i="11"/>
  <c r="P205" i="11"/>
  <c r="O205" i="11"/>
  <c r="N205" i="11"/>
  <c r="M205" i="11"/>
  <c r="K205" i="11"/>
  <c r="J205" i="11"/>
  <c r="L205" i="11"/>
  <c r="I205" i="11"/>
  <c r="H206" i="11" s="1"/>
  <c r="N207" i="12" l="1"/>
  <c r="M207" i="12"/>
  <c r="L207" i="12"/>
  <c r="P207" i="12"/>
  <c r="O207" i="12"/>
  <c r="K207" i="12"/>
  <c r="J207" i="12"/>
  <c r="I207" i="12"/>
  <c r="H208" i="12" s="1"/>
  <c r="G207" i="12"/>
  <c r="I206" i="11"/>
  <c r="H207" i="11" s="1"/>
  <c r="G206" i="11"/>
  <c r="P206" i="11"/>
  <c r="O206" i="11"/>
  <c r="N206" i="11"/>
  <c r="M206" i="11"/>
  <c r="L206" i="11"/>
  <c r="K206" i="11"/>
  <c r="J206" i="11"/>
  <c r="K206" i="3"/>
  <c r="P206" i="3"/>
  <c r="O206" i="3"/>
  <c r="N206" i="3"/>
  <c r="M206" i="3"/>
  <c r="L206" i="3"/>
  <c r="J206" i="3"/>
  <c r="I206" i="3"/>
  <c r="H207" i="3" s="1"/>
  <c r="G206" i="3"/>
  <c r="K207" i="11" l="1"/>
  <c r="J207" i="11"/>
  <c r="I207" i="11"/>
  <c r="H208" i="11" s="1"/>
  <c r="G207" i="11"/>
  <c r="O207" i="11"/>
  <c r="N207" i="11"/>
  <c r="P207" i="11"/>
  <c r="M207" i="11"/>
  <c r="L207" i="11"/>
  <c r="P208" i="12"/>
  <c r="O208" i="12"/>
  <c r="N208" i="12"/>
  <c r="L208" i="12"/>
  <c r="K208" i="12"/>
  <c r="J208" i="12"/>
  <c r="I208" i="12"/>
  <c r="H209" i="12" s="1"/>
  <c r="G208" i="12"/>
  <c r="M208" i="12"/>
  <c r="M207" i="3"/>
  <c r="L207" i="3"/>
  <c r="P207" i="3"/>
  <c r="O207" i="3"/>
  <c r="N207" i="3"/>
  <c r="K207" i="3"/>
  <c r="J207" i="3"/>
  <c r="I207" i="3"/>
  <c r="H208" i="3" s="1"/>
  <c r="G207" i="3"/>
  <c r="M208" i="11" l="1"/>
  <c r="L208" i="11"/>
  <c r="K208" i="11"/>
  <c r="J208" i="11"/>
  <c r="I208" i="11"/>
  <c r="H209" i="11" s="1"/>
  <c r="P208" i="11"/>
  <c r="G208" i="11"/>
  <c r="O208" i="11"/>
  <c r="N208" i="11"/>
  <c r="P209" i="12"/>
  <c r="K209" i="12"/>
  <c r="J209" i="12"/>
  <c r="I209" i="12"/>
  <c r="H210" i="12" s="1"/>
  <c r="O209" i="12"/>
  <c r="N209" i="12"/>
  <c r="M209" i="12"/>
  <c r="L209" i="12"/>
  <c r="G209" i="12"/>
  <c r="O208" i="3"/>
  <c r="N208" i="3"/>
  <c r="J208" i="3"/>
  <c r="I208" i="3"/>
  <c r="H209" i="3" s="1"/>
  <c r="G208" i="3"/>
  <c r="P208" i="3"/>
  <c r="M208" i="3"/>
  <c r="L208" i="3"/>
  <c r="K208" i="3"/>
  <c r="P209" i="3" l="1"/>
  <c r="N209" i="3"/>
  <c r="M209" i="3"/>
  <c r="L209" i="3"/>
  <c r="K209" i="3"/>
  <c r="J209" i="3"/>
  <c r="I209" i="3"/>
  <c r="H210" i="3" s="1"/>
  <c r="G209" i="3"/>
  <c r="O209" i="3"/>
  <c r="O209" i="11"/>
  <c r="N209" i="11"/>
  <c r="M209" i="11"/>
  <c r="L209" i="11"/>
  <c r="K209" i="11"/>
  <c r="J209" i="11"/>
  <c r="I209" i="11"/>
  <c r="H210" i="11" s="1"/>
  <c r="G209" i="11"/>
  <c r="P209" i="11"/>
  <c r="G210" i="12"/>
  <c r="P210" i="12"/>
  <c r="O210" i="12"/>
  <c r="N210" i="12"/>
  <c r="M210" i="12"/>
  <c r="L210" i="12"/>
  <c r="K210" i="12"/>
  <c r="J210" i="12"/>
  <c r="I210" i="12"/>
  <c r="H211" i="12" s="1"/>
  <c r="G210" i="3" l="1"/>
  <c r="P210" i="3"/>
  <c r="O210" i="3"/>
  <c r="N210" i="3"/>
  <c r="M210" i="3"/>
  <c r="L210" i="3"/>
  <c r="K210" i="3"/>
  <c r="I210" i="3"/>
  <c r="H211" i="3" s="1"/>
  <c r="J210" i="3"/>
  <c r="P210" i="11"/>
  <c r="O210" i="11"/>
  <c r="N210" i="11"/>
  <c r="M210" i="11"/>
  <c r="L210" i="11"/>
  <c r="K210" i="11"/>
  <c r="I210" i="11"/>
  <c r="H211" i="11" s="1"/>
  <c r="J210" i="11"/>
  <c r="G210" i="11"/>
  <c r="J211" i="12"/>
  <c r="I211" i="12"/>
  <c r="H212" i="12" s="1"/>
  <c r="P211" i="12"/>
  <c r="O211" i="12"/>
  <c r="N211" i="12"/>
  <c r="M211" i="12"/>
  <c r="L211" i="12"/>
  <c r="K211" i="12"/>
  <c r="G211" i="12"/>
  <c r="L212" i="12" l="1"/>
  <c r="K212" i="12"/>
  <c r="J212" i="12"/>
  <c r="N212" i="12"/>
  <c r="M212" i="12"/>
  <c r="I212" i="12"/>
  <c r="H213" i="12" s="1"/>
  <c r="G212" i="12"/>
  <c r="P212" i="12"/>
  <c r="O212" i="12"/>
  <c r="I211" i="3"/>
  <c r="H212" i="3" s="1"/>
  <c r="J211" i="3"/>
  <c r="G211" i="3"/>
  <c r="P211" i="3"/>
  <c r="O211" i="3"/>
  <c r="N211" i="3"/>
  <c r="M211" i="3"/>
  <c r="L211" i="3"/>
  <c r="K211" i="3"/>
  <c r="G211" i="11"/>
  <c r="P211" i="11"/>
  <c r="O211" i="11"/>
  <c r="N211" i="11"/>
  <c r="M211" i="11"/>
  <c r="L211" i="11"/>
  <c r="K211" i="11"/>
  <c r="J211" i="11"/>
  <c r="I211" i="11"/>
  <c r="H212" i="11" s="1"/>
  <c r="K212" i="3" l="1"/>
  <c r="J212" i="3"/>
  <c r="N212" i="3"/>
  <c r="M212" i="3"/>
  <c r="L212" i="3"/>
  <c r="I212" i="3"/>
  <c r="H213" i="3" s="1"/>
  <c r="G212" i="3"/>
  <c r="P212" i="3"/>
  <c r="O212" i="3"/>
  <c r="N213" i="12"/>
  <c r="M213" i="12"/>
  <c r="L213" i="12"/>
  <c r="P213" i="12"/>
  <c r="I213" i="12"/>
  <c r="H214" i="12" s="1"/>
  <c r="G213" i="12"/>
  <c r="O213" i="12"/>
  <c r="K213" i="12"/>
  <c r="J213" i="12"/>
  <c r="I212" i="11"/>
  <c r="H213" i="11" s="1"/>
  <c r="G212" i="11"/>
  <c r="P212" i="11"/>
  <c r="O212" i="11"/>
  <c r="M212" i="11"/>
  <c r="L212" i="11"/>
  <c r="K212" i="11"/>
  <c r="J212" i="11"/>
  <c r="N212" i="11"/>
  <c r="M213" i="3" l="1"/>
  <c r="L213" i="3"/>
  <c r="P213" i="3"/>
  <c r="O213" i="3"/>
  <c r="N213" i="3"/>
  <c r="K213" i="3"/>
  <c r="J213" i="3"/>
  <c r="I213" i="3"/>
  <c r="H214" i="3" s="1"/>
  <c r="G213" i="3"/>
  <c r="K213" i="11"/>
  <c r="J213" i="11"/>
  <c r="I213" i="11"/>
  <c r="H214" i="11" s="1"/>
  <c r="G213" i="11"/>
  <c r="P213" i="11"/>
  <c r="O213" i="11"/>
  <c r="N213" i="11"/>
  <c r="M213" i="11"/>
  <c r="L213" i="11"/>
  <c r="P214" i="12"/>
  <c r="O214" i="12"/>
  <c r="N214" i="12"/>
  <c r="I214" i="12"/>
  <c r="H215" i="12" s="1"/>
  <c r="G214" i="12"/>
  <c r="M214" i="12"/>
  <c r="L214" i="12"/>
  <c r="K214" i="12"/>
  <c r="J214" i="12"/>
  <c r="M214" i="11" l="1"/>
  <c r="L214" i="11"/>
  <c r="K214" i="11"/>
  <c r="J214" i="11"/>
  <c r="I214" i="11"/>
  <c r="H215" i="11" s="1"/>
  <c r="G214" i="11"/>
  <c r="P214" i="11"/>
  <c r="O214" i="11"/>
  <c r="N214" i="11"/>
  <c r="P215" i="12"/>
  <c r="N215" i="12"/>
  <c r="M215" i="12"/>
  <c r="L215" i="12"/>
  <c r="K215" i="12"/>
  <c r="O215" i="12"/>
  <c r="J215" i="12"/>
  <c r="I215" i="12"/>
  <c r="H216" i="12" s="1"/>
  <c r="G215" i="12"/>
  <c r="O214" i="3"/>
  <c r="N214" i="3"/>
  <c r="G214" i="3"/>
  <c r="P214" i="3"/>
  <c r="M214" i="3"/>
  <c r="K214" i="3"/>
  <c r="J214" i="3"/>
  <c r="I214" i="3"/>
  <c r="H215" i="3" s="1"/>
  <c r="L214" i="3"/>
  <c r="O215" i="11" l="1"/>
  <c r="N215" i="11"/>
  <c r="M215" i="11"/>
  <c r="L215" i="11"/>
  <c r="K215" i="11"/>
  <c r="J215" i="11"/>
  <c r="I215" i="11"/>
  <c r="H216" i="11" s="1"/>
  <c r="G215" i="11"/>
  <c r="P215" i="11"/>
  <c r="G216" i="12"/>
  <c r="P216" i="12"/>
  <c r="O216" i="12"/>
  <c r="N216" i="12"/>
  <c r="M216" i="12"/>
  <c r="L216" i="12"/>
  <c r="I216" i="12"/>
  <c r="H217" i="12" s="1"/>
  <c r="K216" i="12"/>
  <c r="J216" i="12"/>
  <c r="P215" i="3"/>
  <c r="L215" i="3"/>
  <c r="K215" i="3"/>
  <c r="J215" i="3"/>
  <c r="I215" i="3"/>
  <c r="H216" i="3" s="1"/>
  <c r="G215" i="3"/>
  <c r="O215" i="3"/>
  <c r="N215" i="3"/>
  <c r="M215" i="3"/>
  <c r="G216" i="3" l="1"/>
  <c r="P216" i="3"/>
  <c r="O216" i="3"/>
  <c r="N216" i="3"/>
  <c r="M216" i="3"/>
  <c r="L216" i="3"/>
  <c r="K216" i="3"/>
  <c r="J216" i="3"/>
  <c r="I216" i="3"/>
  <c r="H217" i="3" s="1"/>
  <c r="P216" i="11"/>
  <c r="O216" i="11"/>
  <c r="N216" i="11"/>
  <c r="M216" i="11"/>
  <c r="L216" i="11"/>
  <c r="K216" i="11"/>
  <c r="J216" i="11"/>
  <c r="I216" i="11"/>
  <c r="H217" i="11" s="1"/>
  <c r="G216" i="11"/>
  <c r="J217" i="12"/>
  <c r="I217" i="12"/>
  <c r="H218" i="12" s="1"/>
  <c r="L217" i="12"/>
  <c r="K217" i="12"/>
  <c r="G217" i="12"/>
  <c r="P217" i="12"/>
  <c r="O217" i="12"/>
  <c r="N217" i="12"/>
  <c r="M217" i="12"/>
  <c r="I217" i="3" l="1"/>
  <c r="H218" i="3" s="1"/>
  <c r="P217" i="3"/>
  <c r="O217" i="3"/>
  <c r="N217" i="3"/>
  <c r="M217" i="3"/>
  <c r="L217" i="3"/>
  <c r="K217" i="3"/>
  <c r="J217" i="3"/>
  <c r="G217" i="3"/>
  <c r="G217" i="11"/>
  <c r="P217" i="11"/>
  <c r="O217" i="11"/>
  <c r="N217" i="11"/>
  <c r="M217" i="11"/>
  <c r="K217" i="11"/>
  <c r="J217" i="11"/>
  <c r="L217" i="11"/>
  <c r="I217" i="11"/>
  <c r="H218" i="11" s="1"/>
  <c r="L218" i="12"/>
  <c r="K218" i="12"/>
  <c r="J218" i="12"/>
  <c r="P218" i="12"/>
  <c r="O218" i="12"/>
  <c r="N218" i="12"/>
  <c r="M218" i="12"/>
  <c r="I218" i="12"/>
  <c r="H219" i="12" s="1"/>
  <c r="G218" i="12"/>
  <c r="I218" i="11" l="1"/>
  <c r="H219" i="11" s="1"/>
  <c r="G218" i="11"/>
  <c r="P218" i="11"/>
  <c r="O218" i="11"/>
  <c r="N218" i="11"/>
  <c r="M218" i="11"/>
  <c r="L218" i="11"/>
  <c r="J218" i="11"/>
  <c r="K218" i="11"/>
  <c r="N219" i="12"/>
  <c r="M219" i="12"/>
  <c r="L219" i="12"/>
  <c r="G219" i="12"/>
  <c r="K219" i="12"/>
  <c r="J219" i="12"/>
  <c r="I219" i="12"/>
  <c r="H220" i="12" s="1"/>
  <c r="P219" i="12"/>
  <c r="O219" i="12"/>
  <c r="K218" i="3"/>
  <c r="J218" i="3"/>
  <c r="L218" i="3"/>
  <c r="I218" i="3"/>
  <c r="H219" i="3" s="1"/>
  <c r="G218" i="3"/>
  <c r="O218" i="3"/>
  <c r="N218" i="3"/>
  <c r="M218" i="3"/>
  <c r="P218" i="3"/>
  <c r="M219" i="3" l="1"/>
  <c r="L219" i="3"/>
  <c r="P219" i="3"/>
  <c r="O219" i="3"/>
  <c r="N219" i="3"/>
  <c r="K219" i="3"/>
  <c r="J219" i="3"/>
  <c r="I219" i="3"/>
  <c r="H220" i="3" s="1"/>
  <c r="G219" i="3"/>
  <c r="P220" i="12"/>
  <c r="O220" i="12"/>
  <c r="N220" i="12"/>
  <c r="L220" i="12"/>
  <c r="K220" i="12"/>
  <c r="J220" i="12"/>
  <c r="I220" i="12"/>
  <c r="H221" i="12" s="1"/>
  <c r="M220" i="12"/>
  <c r="G220" i="12"/>
  <c r="K219" i="11"/>
  <c r="J219" i="11"/>
  <c r="I219" i="11"/>
  <c r="H220" i="11" s="1"/>
  <c r="G219" i="11"/>
  <c r="O219" i="11"/>
  <c r="N219" i="11"/>
  <c r="P219" i="11"/>
  <c r="M219" i="11"/>
  <c r="L219" i="11"/>
  <c r="O220" i="3" l="1"/>
  <c r="N220" i="3"/>
  <c r="P220" i="3"/>
  <c r="M220" i="3"/>
  <c r="L220" i="3"/>
  <c r="K220" i="3"/>
  <c r="J220" i="3"/>
  <c r="I220" i="3"/>
  <c r="H221" i="3" s="1"/>
  <c r="G220" i="3"/>
  <c r="P221" i="12"/>
  <c r="O221" i="12"/>
  <c r="N221" i="12"/>
  <c r="M221" i="12"/>
  <c r="L221" i="12"/>
  <c r="K221" i="12"/>
  <c r="J221" i="12"/>
  <c r="I221" i="12"/>
  <c r="H222" i="12" s="1"/>
  <c r="G221" i="12"/>
  <c r="M220" i="11"/>
  <c r="L220" i="11"/>
  <c r="K220" i="11"/>
  <c r="J220" i="11"/>
  <c r="I220" i="11"/>
  <c r="H221" i="11" s="1"/>
  <c r="P220" i="11"/>
  <c r="G220" i="11"/>
  <c r="O220" i="11"/>
  <c r="N220" i="11"/>
  <c r="O221" i="11" l="1"/>
  <c r="N221" i="11"/>
  <c r="M221" i="11"/>
  <c r="L221" i="11"/>
  <c r="K221" i="11"/>
  <c r="J221" i="11"/>
  <c r="I221" i="11"/>
  <c r="H222" i="11" s="1"/>
  <c r="G221" i="11"/>
  <c r="P221" i="11"/>
  <c r="P221" i="3"/>
  <c r="J221" i="3"/>
  <c r="I221" i="3"/>
  <c r="H222" i="3" s="1"/>
  <c r="G221" i="3"/>
  <c r="O221" i="3"/>
  <c r="N221" i="3"/>
  <c r="M221" i="3"/>
  <c r="L221" i="3"/>
  <c r="K221" i="3"/>
  <c r="G222" i="12"/>
  <c r="J222" i="12"/>
  <c r="I222" i="12"/>
  <c r="H223" i="12" s="1"/>
  <c r="P222" i="12"/>
  <c r="O222" i="12"/>
  <c r="N222" i="12"/>
  <c r="M222" i="12"/>
  <c r="L222" i="12"/>
  <c r="K222" i="12"/>
  <c r="G222" i="3" l="1"/>
  <c r="N222" i="3"/>
  <c r="M222" i="3"/>
  <c r="L222" i="3"/>
  <c r="K222" i="3"/>
  <c r="J222" i="3"/>
  <c r="I222" i="3"/>
  <c r="H223" i="3" s="1"/>
  <c r="P222" i="3"/>
  <c r="O222" i="3"/>
  <c r="J223" i="12"/>
  <c r="I223" i="12"/>
  <c r="H224" i="12" s="1"/>
  <c r="O223" i="12"/>
  <c r="N223" i="12"/>
  <c r="M223" i="12"/>
  <c r="L223" i="12"/>
  <c r="P223" i="12"/>
  <c r="K223" i="12"/>
  <c r="G223" i="12"/>
  <c r="P222" i="11"/>
  <c r="O222" i="11"/>
  <c r="N222" i="11"/>
  <c r="M222" i="11"/>
  <c r="L222" i="11"/>
  <c r="K222" i="11"/>
  <c r="I222" i="11"/>
  <c r="H223" i="11" s="1"/>
  <c r="G222" i="11"/>
  <c r="J222" i="11"/>
  <c r="I223" i="3" l="1"/>
  <c r="H224" i="3" s="1"/>
  <c r="P223" i="3"/>
  <c r="O223" i="3"/>
  <c r="N223" i="3"/>
  <c r="M223" i="3"/>
  <c r="L223" i="3"/>
  <c r="K223" i="3"/>
  <c r="G223" i="3"/>
  <c r="J223" i="3"/>
  <c r="L224" i="12"/>
  <c r="K224" i="12"/>
  <c r="J224" i="12"/>
  <c r="I224" i="12"/>
  <c r="H225" i="12" s="1"/>
  <c r="G224" i="12"/>
  <c r="M224" i="12"/>
  <c r="P224" i="12"/>
  <c r="O224" i="12"/>
  <c r="N224" i="12"/>
  <c r="G223" i="11"/>
  <c r="P223" i="11"/>
  <c r="O223" i="11"/>
  <c r="N223" i="11"/>
  <c r="M223" i="11"/>
  <c r="L223" i="11"/>
  <c r="K223" i="11"/>
  <c r="J223" i="11"/>
  <c r="I223" i="11"/>
  <c r="H224" i="11" s="1"/>
  <c r="I224" i="11" l="1"/>
  <c r="H225" i="11" s="1"/>
  <c r="G224" i="11"/>
  <c r="P224" i="11"/>
  <c r="O224" i="11"/>
  <c r="M224" i="11"/>
  <c r="L224" i="11"/>
  <c r="N224" i="11"/>
  <c r="J224" i="11"/>
  <c r="K224" i="11"/>
  <c r="N225" i="12"/>
  <c r="M225" i="12"/>
  <c r="L225" i="12"/>
  <c r="J225" i="12"/>
  <c r="I225" i="12"/>
  <c r="H226" i="12" s="1"/>
  <c r="G225" i="12"/>
  <c r="P225" i="12"/>
  <c r="O225" i="12"/>
  <c r="K225" i="12"/>
  <c r="K224" i="3"/>
  <c r="J224" i="3"/>
  <c r="G224" i="3"/>
  <c r="P224" i="3"/>
  <c r="O224" i="3"/>
  <c r="N224" i="3"/>
  <c r="M224" i="3"/>
  <c r="L224" i="3"/>
  <c r="I224" i="3"/>
  <c r="H225" i="3" s="1"/>
  <c r="M225" i="3" l="1"/>
  <c r="L225" i="3"/>
  <c r="N225" i="3"/>
  <c r="K225" i="3"/>
  <c r="J225" i="3"/>
  <c r="I225" i="3"/>
  <c r="H226" i="3" s="1"/>
  <c r="G225" i="3"/>
  <c r="P225" i="3"/>
  <c r="O225" i="3"/>
  <c r="P226" i="12"/>
  <c r="O226" i="12"/>
  <c r="N226" i="12"/>
  <c r="M226" i="12"/>
  <c r="L226" i="12"/>
  <c r="K226" i="12"/>
  <c r="J226" i="12"/>
  <c r="I226" i="12"/>
  <c r="H227" i="12" s="1"/>
  <c r="G226" i="12"/>
  <c r="K225" i="11"/>
  <c r="J225" i="11"/>
  <c r="I225" i="11"/>
  <c r="H226" i="11" s="1"/>
  <c r="G225" i="11"/>
  <c r="P225" i="11"/>
  <c r="O225" i="11"/>
  <c r="N225" i="11"/>
  <c r="M225" i="11"/>
  <c r="L225" i="11"/>
  <c r="M226" i="11" l="1"/>
  <c r="L226" i="11"/>
  <c r="K226" i="11"/>
  <c r="J226" i="11"/>
  <c r="I226" i="11"/>
  <c r="H227" i="11" s="1"/>
  <c r="G226" i="11"/>
  <c r="P226" i="11"/>
  <c r="O226" i="11"/>
  <c r="N226" i="11"/>
  <c r="O226" i="3"/>
  <c r="N226" i="3"/>
  <c r="P226" i="3"/>
  <c r="M226" i="3"/>
  <c r="L226" i="3"/>
  <c r="K226" i="3"/>
  <c r="J226" i="3"/>
  <c r="I226" i="3"/>
  <c r="H227" i="3" s="1"/>
  <c r="G226" i="3"/>
  <c r="P227" i="12"/>
  <c r="G227" i="12"/>
  <c r="J227" i="12"/>
  <c r="I227" i="12"/>
  <c r="H228" i="12" s="1"/>
  <c r="M227" i="12"/>
  <c r="O227" i="12"/>
  <c r="N227" i="12"/>
  <c r="L227" i="12"/>
  <c r="K227" i="12"/>
  <c r="P227" i="3" l="1"/>
  <c r="G227" i="3"/>
  <c r="O227" i="3"/>
  <c r="N227" i="3"/>
  <c r="M227" i="3"/>
  <c r="K227" i="3"/>
  <c r="J227" i="3"/>
  <c r="I227" i="3"/>
  <c r="H228" i="3" s="1"/>
  <c r="L227" i="3"/>
  <c r="O227" i="11"/>
  <c r="N227" i="11"/>
  <c r="M227" i="11"/>
  <c r="L227" i="11"/>
  <c r="K227" i="11"/>
  <c r="J227" i="11"/>
  <c r="I227" i="11"/>
  <c r="H228" i="11" s="1"/>
  <c r="G227" i="11"/>
  <c r="P227" i="11"/>
  <c r="G228" i="12"/>
  <c r="M228" i="12"/>
  <c r="L228" i="12"/>
  <c r="K228" i="12"/>
  <c r="J228" i="12"/>
  <c r="P228" i="12"/>
  <c r="O228" i="12"/>
  <c r="N228" i="12"/>
  <c r="I228" i="12"/>
  <c r="H229" i="12" s="1"/>
  <c r="G228" i="3" l="1"/>
  <c r="L228" i="3"/>
  <c r="K228" i="3"/>
  <c r="J228" i="3"/>
  <c r="I228" i="3"/>
  <c r="H229" i="3" s="1"/>
  <c r="P228" i="3"/>
  <c r="O228" i="3"/>
  <c r="N228" i="3"/>
  <c r="M228" i="3"/>
  <c r="P228" i="11"/>
  <c r="O228" i="11"/>
  <c r="N228" i="11"/>
  <c r="M228" i="11"/>
  <c r="L228" i="11"/>
  <c r="K228" i="11"/>
  <c r="J228" i="11"/>
  <c r="I228" i="11"/>
  <c r="H229" i="11" s="1"/>
  <c r="G228" i="11"/>
  <c r="J229" i="12"/>
  <c r="I229" i="12"/>
  <c r="H230" i="12" s="1"/>
  <c r="P229" i="12"/>
  <c r="O229" i="12"/>
  <c r="G229" i="12"/>
  <c r="N229" i="12"/>
  <c r="M229" i="12"/>
  <c r="L229" i="12"/>
  <c r="K229" i="12"/>
  <c r="G229" i="11" l="1"/>
  <c r="P229" i="11"/>
  <c r="O229" i="11"/>
  <c r="N229" i="11"/>
  <c r="M229" i="11"/>
  <c r="K229" i="11"/>
  <c r="J229" i="11"/>
  <c r="L229" i="11"/>
  <c r="I229" i="11"/>
  <c r="H230" i="11" s="1"/>
  <c r="I229" i="3"/>
  <c r="H230" i="3" s="1"/>
  <c r="P229" i="3"/>
  <c r="O229" i="3"/>
  <c r="N229" i="3"/>
  <c r="M229" i="3"/>
  <c r="L229" i="3"/>
  <c r="K229" i="3"/>
  <c r="J229" i="3"/>
  <c r="G229" i="3"/>
  <c r="L230" i="12"/>
  <c r="K230" i="12"/>
  <c r="J230" i="12"/>
  <c r="G230" i="12"/>
  <c r="P230" i="12"/>
  <c r="M230" i="12"/>
  <c r="I230" i="12"/>
  <c r="H231" i="12" s="1"/>
  <c r="O230" i="12"/>
  <c r="N230" i="12"/>
  <c r="I230" i="11" l="1"/>
  <c r="H231" i="11" s="1"/>
  <c r="G230" i="11"/>
  <c r="P230" i="11"/>
  <c r="O230" i="11"/>
  <c r="N230" i="11"/>
  <c r="M230" i="11"/>
  <c r="L230" i="11"/>
  <c r="K230" i="11"/>
  <c r="J230" i="11"/>
  <c r="K230" i="3"/>
  <c r="J230" i="3"/>
  <c r="P230" i="3"/>
  <c r="O230" i="3"/>
  <c r="N230" i="3"/>
  <c r="M230" i="3"/>
  <c r="L230" i="3"/>
  <c r="I230" i="3"/>
  <c r="H231" i="3" s="1"/>
  <c r="G230" i="3"/>
  <c r="N231" i="12"/>
  <c r="M231" i="12"/>
  <c r="L231" i="12"/>
  <c r="P231" i="12"/>
  <c r="O231" i="12"/>
  <c r="K231" i="12"/>
  <c r="J231" i="12"/>
  <c r="I231" i="12"/>
  <c r="H232" i="12" s="1"/>
  <c r="G231" i="12"/>
  <c r="M231" i="3" l="1"/>
  <c r="L231" i="3"/>
  <c r="J231" i="3"/>
  <c r="I231" i="3"/>
  <c r="H232" i="3" s="1"/>
  <c r="G231" i="3"/>
  <c r="O231" i="3"/>
  <c r="N231" i="3"/>
  <c r="K231" i="3"/>
  <c r="P231" i="3"/>
  <c r="P232" i="12"/>
  <c r="O232" i="12"/>
  <c r="N232" i="12"/>
  <c r="M232" i="12"/>
  <c r="L232" i="12"/>
  <c r="K232" i="12"/>
  <c r="G232" i="12"/>
  <c r="J232" i="12"/>
  <c r="I232" i="12"/>
  <c r="H233" i="12" s="1"/>
  <c r="M231" i="11"/>
  <c r="K231" i="11"/>
  <c r="J231" i="11"/>
  <c r="I231" i="11"/>
  <c r="H232" i="11" s="1"/>
  <c r="G231" i="11"/>
  <c r="P231" i="11"/>
  <c r="O231" i="11"/>
  <c r="N231" i="11"/>
  <c r="L231" i="11"/>
  <c r="O232" i="11" l="1"/>
  <c r="N232" i="11"/>
  <c r="M232" i="11"/>
  <c r="L232" i="11"/>
  <c r="K232" i="11"/>
  <c r="J232" i="11"/>
  <c r="I232" i="11"/>
  <c r="H233" i="11" s="1"/>
  <c r="P232" i="11"/>
  <c r="G232" i="11"/>
  <c r="P233" i="12"/>
  <c r="K233" i="12"/>
  <c r="J233" i="12"/>
  <c r="I233" i="12"/>
  <c r="H234" i="12" s="1"/>
  <c r="O233" i="12"/>
  <c r="N233" i="12"/>
  <c r="M233" i="12"/>
  <c r="L233" i="12"/>
  <c r="G233" i="12"/>
  <c r="O232" i="3"/>
  <c r="N232" i="3"/>
  <c r="P232" i="3"/>
  <c r="M232" i="3"/>
  <c r="L232" i="3"/>
  <c r="K232" i="3"/>
  <c r="J232" i="3"/>
  <c r="I232" i="3"/>
  <c r="H233" i="3" s="1"/>
  <c r="G232" i="3"/>
  <c r="P233" i="11" l="1"/>
  <c r="O233" i="11"/>
  <c r="N233" i="11"/>
  <c r="M233" i="11"/>
  <c r="L233" i="11"/>
  <c r="K233" i="11"/>
  <c r="J233" i="11"/>
  <c r="I233" i="11"/>
  <c r="H234" i="11" s="1"/>
  <c r="G233" i="11"/>
  <c r="P233" i="3"/>
  <c r="O233" i="3"/>
  <c r="N233" i="3"/>
  <c r="M233" i="3"/>
  <c r="L233" i="3"/>
  <c r="K233" i="3"/>
  <c r="J233" i="3"/>
  <c r="I233" i="3"/>
  <c r="H234" i="3" s="1"/>
  <c r="G233" i="3"/>
  <c r="G234" i="12"/>
  <c r="P234" i="12"/>
  <c r="O234" i="12"/>
  <c r="N234" i="12"/>
  <c r="M234" i="12"/>
  <c r="J234" i="12"/>
  <c r="I234" i="12"/>
  <c r="H235" i="12" s="1"/>
  <c r="L234" i="12"/>
  <c r="K234" i="12"/>
  <c r="G234" i="11" l="1"/>
  <c r="M234" i="11"/>
  <c r="P234" i="11"/>
  <c r="O234" i="11"/>
  <c r="L234" i="11"/>
  <c r="K234" i="11"/>
  <c r="I234" i="11"/>
  <c r="H235" i="11" s="1"/>
  <c r="N234" i="11"/>
  <c r="J234" i="11"/>
  <c r="G234" i="3"/>
  <c r="J234" i="3"/>
  <c r="I234" i="3"/>
  <c r="H235" i="3" s="1"/>
  <c r="P234" i="3"/>
  <c r="O234" i="3"/>
  <c r="N234" i="3"/>
  <c r="M234" i="3"/>
  <c r="L234" i="3"/>
  <c r="K234" i="3"/>
  <c r="J235" i="12"/>
  <c r="I235" i="12"/>
  <c r="H236" i="12" s="1"/>
  <c r="P235" i="12"/>
  <c r="O235" i="12"/>
  <c r="N235" i="12"/>
  <c r="G235" i="12"/>
  <c r="M235" i="12"/>
  <c r="L235" i="12"/>
  <c r="K235" i="12"/>
  <c r="I235" i="3" l="1"/>
  <c r="H236" i="3" s="1"/>
  <c r="N235" i="3"/>
  <c r="M235" i="3"/>
  <c r="L235" i="3"/>
  <c r="K235" i="3"/>
  <c r="J235" i="3"/>
  <c r="G235" i="3"/>
  <c r="P235" i="3"/>
  <c r="O235" i="3"/>
  <c r="I235" i="11"/>
  <c r="H236" i="11" s="1"/>
  <c r="O235" i="11"/>
  <c r="L235" i="11"/>
  <c r="K235" i="11"/>
  <c r="J235" i="11"/>
  <c r="G235" i="11"/>
  <c r="P235" i="11"/>
  <c r="N235" i="11"/>
  <c r="M235" i="11"/>
  <c r="L236" i="12"/>
  <c r="K236" i="12"/>
  <c r="J236" i="12"/>
  <c r="N236" i="12"/>
  <c r="M236" i="12"/>
  <c r="I236" i="12"/>
  <c r="H237" i="12" s="1"/>
  <c r="G236" i="12"/>
  <c r="P236" i="12"/>
  <c r="O236" i="12"/>
  <c r="K236" i="11" l="1"/>
  <c r="J236" i="11"/>
  <c r="P236" i="11"/>
  <c r="O236" i="11"/>
  <c r="N236" i="11"/>
  <c r="M236" i="11"/>
  <c r="L236" i="11"/>
  <c r="I236" i="11"/>
  <c r="H237" i="11" s="1"/>
  <c r="G236" i="11"/>
  <c r="N237" i="12"/>
  <c r="M237" i="12"/>
  <c r="L237" i="12"/>
  <c r="P237" i="12"/>
  <c r="J237" i="12"/>
  <c r="I237" i="12"/>
  <c r="H238" i="12" s="1"/>
  <c r="G237" i="12"/>
  <c r="K237" i="12"/>
  <c r="O237" i="12"/>
  <c r="K236" i="3"/>
  <c r="J236" i="3"/>
  <c r="P236" i="3"/>
  <c r="O236" i="3"/>
  <c r="N236" i="3"/>
  <c r="M236" i="3"/>
  <c r="L236" i="3"/>
  <c r="I236" i="3"/>
  <c r="H237" i="3" s="1"/>
  <c r="G236" i="3"/>
  <c r="M237" i="11" l="1"/>
  <c r="L237" i="11"/>
  <c r="G237" i="11"/>
  <c r="I237" i="11"/>
  <c r="H238" i="11" s="1"/>
  <c r="O237" i="11"/>
  <c r="N237" i="11"/>
  <c r="P237" i="11"/>
  <c r="K237" i="11"/>
  <c r="J237" i="11"/>
  <c r="P238" i="12"/>
  <c r="O238" i="12"/>
  <c r="N238" i="12"/>
  <c r="I238" i="12"/>
  <c r="H239" i="12" s="1"/>
  <c r="G238" i="12"/>
  <c r="M238" i="12"/>
  <c r="L238" i="12"/>
  <c r="K238" i="12"/>
  <c r="J238" i="12"/>
  <c r="M237" i="3"/>
  <c r="L237" i="3"/>
  <c r="G237" i="3"/>
  <c r="P237" i="3"/>
  <c r="O237" i="3"/>
  <c r="N237" i="3"/>
  <c r="K237" i="3"/>
  <c r="I237" i="3"/>
  <c r="H238" i="3" s="1"/>
  <c r="J237" i="3"/>
  <c r="O238" i="11" l="1"/>
  <c r="N238" i="11"/>
  <c r="I238" i="11"/>
  <c r="H239" i="11" s="1"/>
  <c r="P238" i="11"/>
  <c r="M238" i="11"/>
  <c r="L238" i="11"/>
  <c r="K238" i="11"/>
  <c r="J238" i="11"/>
  <c r="G238" i="11"/>
  <c r="O238" i="3"/>
  <c r="N238" i="3"/>
  <c r="L238" i="3"/>
  <c r="K238" i="3"/>
  <c r="J238" i="3"/>
  <c r="I238" i="3"/>
  <c r="H239" i="3" s="1"/>
  <c r="G238" i="3"/>
  <c r="P238" i="3"/>
  <c r="M238" i="3"/>
  <c r="P239" i="12"/>
  <c r="N239" i="12"/>
  <c r="M239" i="12"/>
  <c r="L239" i="12"/>
  <c r="K239" i="12"/>
  <c r="O239" i="12"/>
  <c r="G239" i="12"/>
  <c r="J239" i="12"/>
  <c r="I239" i="12"/>
  <c r="H240" i="12" s="1"/>
  <c r="P239" i="3" l="1"/>
  <c r="O239" i="3"/>
  <c r="N239" i="3"/>
  <c r="M239" i="3"/>
  <c r="L239" i="3"/>
  <c r="K239" i="3"/>
  <c r="J239" i="3"/>
  <c r="I239" i="3"/>
  <c r="H240" i="3" s="1"/>
  <c r="G239" i="3"/>
  <c r="P239" i="11"/>
  <c r="K239" i="11"/>
  <c r="J239" i="11"/>
  <c r="G239" i="11"/>
  <c r="O239" i="11"/>
  <c r="N239" i="11"/>
  <c r="M239" i="11"/>
  <c r="L239" i="11"/>
  <c r="I239" i="11"/>
  <c r="H240" i="11" s="1"/>
  <c r="G240" i="12"/>
  <c r="P240" i="12"/>
  <c r="O240" i="12"/>
  <c r="N240" i="12"/>
  <c r="M240" i="12"/>
  <c r="L240" i="12"/>
  <c r="K240" i="12"/>
  <c r="J240" i="12"/>
  <c r="I240" i="12"/>
  <c r="H241" i="12" s="1"/>
  <c r="G240" i="3" l="1"/>
  <c r="P240" i="3"/>
  <c r="O240" i="3"/>
  <c r="N240" i="3"/>
  <c r="M240" i="3"/>
  <c r="K240" i="3"/>
  <c r="J240" i="3"/>
  <c r="I240" i="3"/>
  <c r="H241" i="3" s="1"/>
  <c r="L240" i="3"/>
  <c r="G240" i="11"/>
  <c r="N240" i="11"/>
  <c r="M240" i="11"/>
  <c r="L240" i="11"/>
  <c r="P240" i="11"/>
  <c r="O240" i="11"/>
  <c r="K240" i="11"/>
  <c r="J240" i="11"/>
  <c r="I240" i="11"/>
  <c r="H241" i="11" s="1"/>
  <c r="J241" i="12"/>
  <c r="I241" i="12"/>
  <c r="H242" i="12" s="1"/>
  <c r="L241" i="12"/>
  <c r="K241" i="12"/>
  <c r="G241" i="12"/>
  <c r="N241" i="12"/>
  <c r="M241" i="12"/>
  <c r="P241" i="12"/>
  <c r="O241" i="12"/>
  <c r="I241" i="3" l="1"/>
  <c r="H242" i="3" s="1"/>
  <c r="L241" i="3"/>
  <c r="K241" i="3"/>
  <c r="J241" i="3"/>
  <c r="G241" i="3"/>
  <c r="P241" i="3"/>
  <c r="O241" i="3"/>
  <c r="N241" i="3"/>
  <c r="M241" i="3"/>
  <c r="I241" i="11"/>
  <c r="H242" i="11" s="1"/>
  <c r="P241" i="11"/>
  <c r="O241" i="11"/>
  <c r="N241" i="11"/>
  <c r="L241" i="11"/>
  <c r="K241" i="11"/>
  <c r="M241" i="11"/>
  <c r="J241" i="11"/>
  <c r="G241" i="11"/>
  <c r="L242" i="12"/>
  <c r="K242" i="12"/>
  <c r="J242" i="12"/>
  <c r="P242" i="12"/>
  <c r="O242" i="12"/>
  <c r="N242" i="12"/>
  <c r="G242" i="12"/>
  <c r="M242" i="12"/>
  <c r="I242" i="12"/>
  <c r="H243" i="12" s="1"/>
  <c r="K242" i="11" l="1"/>
  <c r="J242" i="11"/>
  <c r="P242" i="11"/>
  <c r="O242" i="11"/>
  <c r="N242" i="11"/>
  <c r="M242" i="11"/>
  <c r="L242" i="11"/>
  <c r="I242" i="11"/>
  <c r="H243" i="11" s="1"/>
  <c r="G242" i="11"/>
  <c r="N243" i="12"/>
  <c r="M243" i="12"/>
  <c r="L243" i="12"/>
  <c r="G243" i="12"/>
  <c r="K243" i="12"/>
  <c r="J243" i="12"/>
  <c r="I243" i="12"/>
  <c r="H244" i="12" s="1"/>
  <c r="P243" i="12"/>
  <c r="O243" i="12"/>
  <c r="K242" i="3"/>
  <c r="J242" i="3"/>
  <c r="P242" i="3"/>
  <c r="O242" i="3"/>
  <c r="N242" i="3"/>
  <c r="M242" i="3"/>
  <c r="L242" i="3"/>
  <c r="I242" i="3"/>
  <c r="H243" i="3" s="1"/>
  <c r="G242" i="3"/>
  <c r="P244" i="12" l="1"/>
  <c r="O244" i="12"/>
  <c r="N244" i="12"/>
  <c r="L244" i="12"/>
  <c r="K244" i="12"/>
  <c r="J244" i="12"/>
  <c r="I244" i="12"/>
  <c r="H245" i="12" s="1"/>
  <c r="M244" i="12"/>
  <c r="G244" i="12"/>
  <c r="M243" i="11"/>
  <c r="L243" i="11"/>
  <c r="G243" i="11"/>
  <c r="P243" i="11"/>
  <c r="O243" i="11"/>
  <c r="N243" i="11"/>
  <c r="K243" i="11"/>
  <c r="J243" i="11"/>
  <c r="I243" i="11"/>
  <c r="H244" i="11" s="1"/>
  <c r="M243" i="3"/>
  <c r="L243" i="3"/>
  <c r="P243" i="3"/>
  <c r="O243" i="3"/>
  <c r="N243" i="3"/>
  <c r="K243" i="3"/>
  <c r="J243" i="3"/>
  <c r="I243" i="3"/>
  <c r="H244" i="3" s="1"/>
  <c r="G243" i="3"/>
  <c r="P245" i="12" l="1"/>
  <c r="O245" i="12"/>
  <c r="N245" i="12"/>
  <c r="M245" i="12"/>
  <c r="L245" i="12"/>
  <c r="K245" i="12"/>
  <c r="J245" i="12"/>
  <c r="G245" i="12"/>
  <c r="I245" i="12"/>
  <c r="H246" i="12" s="1"/>
  <c r="O244" i="11"/>
  <c r="N244" i="11"/>
  <c r="J244" i="11"/>
  <c r="I244" i="11"/>
  <c r="H245" i="11" s="1"/>
  <c r="P244" i="11"/>
  <c r="M244" i="11"/>
  <c r="L244" i="11"/>
  <c r="K244" i="11"/>
  <c r="G244" i="11"/>
  <c r="O244" i="3"/>
  <c r="N244" i="3"/>
  <c r="J244" i="3"/>
  <c r="I244" i="3"/>
  <c r="H245" i="3" s="1"/>
  <c r="G244" i="3"/>
  <c r="M244" i="3"/>
  <c r="L244" i="3"/>
  <c r="K244" i="3"/>
  <c r="P244" i="3"/>
  <c r="P245" i="3" l="1"/>
  <c r="N245" i="3"/>
  <c r="M245" i="3"/>
  <c r="L245" i="3"/>
  <c r="K245" i="3"/>
  <c r="J245" i="3"/>
  <c r="I245" i="3"/>
  <c r="H246" i="3" s="1"/>
  <c r="G245" i="3"/>
  <c r="O245" i="3"/>
  <c r="G246" i="12"/>
  <c r="J246" i="12"/>
  <c r="I246" i="12"/>
  <c r="H247" i="12" s="1"/>
  <c r="P246" i="12"/>
  <c r="O246" i="12"/>
  <c r="K246" i="12"/>
  <c r="M246" i="12"/>
  <c r="L246" i="12"/>
  <c r="N246" i="12"/>
  <c r="P245" i="11"/>
  <c r="L245" i="11"/>
  <c r="K245" i="11"/>
  <c r="J245" i="11"/>
  <c r="G245" i="11"/>
  <c r="N245" i="11"/>
  <c r="M245" i="11"/>
  <c r="I245" i="11"/>
  <c r="H246" i="11" s="1"/>
  <c r="O245" i="11"/>
  <c r="G246" i="3" l="1"/>
  <c r="P246" i="3"/>
  <c r="O246" i="3"/>
  <c r="N246" i="3"/>
  <c r="M246" i="3"/>
  <c r="L246" i="3"/>
  <c r="K246" i="3"/>
  <c r="J246" i="3"/>
  <c r="I246" i="3"/>
  <c r="H247" i="3" s="1"/>
  <c r="G246" i="11"/>
  <c r="N246" i="11"/>
  <c r="M246" i="11"/>
  <c r="L246" i="11"/>
  <c r="P246" i="11"/>
  <c r="O246" i="11"/>
  <c r="K246" i="11"/>
  <c r="J246" i="11"/>
  <c r="I246" i="11"/>
  <c r="H247" i="11" s="1"/>
  <c r="J247" i="12"/>
  <c r="I247" i="12"/>
  <c r="H248" i="12" s="1"/>
  <c r="O247" i="12"/>
  <c r="N247" i="12"/>
  <c r="M247" i="12"/>
  <c r="L247" i="12"/>
  <c r="P247" i="12"/>
  <c r="K247" i="12"/>
  <c r="G247" i="12"/>
  <c r="L248" i="12" l="1"/>
  <c r="K248" i="12"/>
  <c r="J248" i="12"/>
  <c r="I248" i="12"/>
  <c r="H249" i="12" s="1"/>
  <c r="G248" i="12"/>
  <c r="N248" i="12"/>
  <c r="M248" i="12"/>
  <c r="P248" i="12"/>
  <c r="O248" i="12"/>
  <c r="I247" i="3"/>
  <c r="H248" i="3" s="1"/>
  <c r="J247" i="3"/>
  <c r="G247" i="3"/>
  <c r="P247" i="3"/>
  <c r="O247" i="3"/>
  <c r="N247" i="3"/>
  <c r="M247" i="3"/>
  <c r="L247" i="3"/>
  <c r="K247" i="3"/>
  <c r="I247" i="11"/>
  <c r="H248" i="11" s="1"/>
  <c r="P247" i="11"/>
  <c r="O247" i="11"/>
  <c r="N247" i="11"/>
  <c r="G247" i="11"/>
  <c r="M247" i="11"/>
  <c r="L247" i="11"/>
  <c r="K247" i="11"/>
  <c r="J247" i="11"/>
  <c r="K248" i="3" l="1"/>
  <c r="J248" i="3"/>
  <c r="N248" i="3"/>
  <c r="M248" i="3"/>
  <c r="L248" i="3"/>
  <c r="I248" i="3"/>
  <c r="H249" i="3" s="1"/>
  <c r="G248" i="3"/>
  <c r="P248" i="3"/>
  <c r="O248" i="3"/>
  <c r="K248" i="11"/>
  <c r="J248" i="11"/>
  <c r="P248" i="11"/>
  <c r="O248" i="11"/>
  <c r="N248" i="11"/>
  <c r="M248" i="11"/>
  <c r="L248" i="11"/>
  <c r="I248" i="11"/>
  <c r="H249" i="11" s="1"/>
  <c r="G248" i="11"/>
  <c r="N249" i="12"/>
  <c r="M249" i="12"/>
  <c r="L249" i="12"/>
  <c r="J249" i="12"/>
  <c r="I249" i="12"/>
  <c r="H250" i="12" s="1"/>
  <c r="G249" i="12"/>
  <c r="K249" i="12"/>
  <c r="O249" i="12"/>
  <c r="P249" i="12"/>
  <c r="P250" i="12" l="1"/>
  <c r="O250" i="12"/>
  <c r="N250" i="12"/>
  <c r="M250" i="12"/>
  <c r="L250" i="12"/>
  <c r="K250" i="12"/>
  <c r="J250" i="12"/>
  <c r="I250" i="12"/>
  <c r="H251" i="12" s="1"/>
  <c r="G250" i="12"/>
  <c r="M249" i="3"/>
  <c r="L249" i="3"/>
  <c r="P249" i="3"/>
  <c r="O249" i="3"/>
  <c r="N249" i="3"/>
  <c r="K249" i="3"/>
  <c r="J249" i="3"/>
  <c r="I249" i="3"/>
  <c r="H250" i="3" s="1"/>
  <c r="G249" i="3"/>
  <c r="M249" i="11"/>
  <c r="L249" i="11"/>
  <c r="G249" i="11"/>
  <c r="I249" i="11"/>
  <c r="H250" i="11" s="1"/>
  <c r="O249" i="11"/>
  <c r="N249" i="11"/>
  <c r="P249" i="11"/>
  <c r="K249" i="11"/>
  <c r="J249" i="11"/>
  <c r="P251" i="12" l="1"/>
  <c r="G251" i="12"/>
  <c r="N251" i="12"/>
  <c r="M251" i="12"/>
  <c r="L251" i="12"/>
  <c r="K251" i="12"/>
  <c r="J251" i="12"/>
  <c r="I251" i="12"/>
  <c r="H252" i="12" s="1"/>
  <c r="O251" i="12"/>
  <c r="O250" i="11"/>
  <c r="N250" i="11"/>
  <c r="J250" i="11"/>
  <c r="I250" i="11"/>
  <c r="H251" i="11" s="1"/>
  <c r="P250" i="11"/>
  <c r="M250" i="11"/>
  <c r="L250" i="11"/>
  <c r="K250" i="11"/>
  <c r="G250" i="11"/>
  <c r="O250" i="3"/>
  <c r="N250" i="3"/>
  <c r="G250" i="3"/>
  <c r="P250" i="3"/>
  <c r="M250" i="3"/>
  <c r="L250" i="3"/>
  <c r="K250" i="3"/>
  <c r="J250" i="3"/>
  <c r="I250" i="3"/>
  <c r="H251" i="3" s="1"/>
  <c r="G252" i="12" l="1"/>
  <c r="M252" i="12"/>
  <c r="L252" i="12"/>
  <c r="K252" i="12"/>
  <c r="J252" i="12"/>
  <c r="P252" i="12"/>
  <c r="O252" i="12"/>
  <c r="N252" i="12"/>
  <c r="I252" i="12"/>
  <c r="H253" i="12" s="1"/>
  <c r="P251" i="3"/>
  <c r="L251" i="3"/>
  <c r="K251" i="3"/>
  <c r="J251" i="3"/>
  <c r="I251" i="3"/>
  <c r="H252" i="3" s="1"/>
  <c r="G251" i="3"/>
  <c r="O251" i="3"/>
  <c r="N251" i="3"/>
  <c r="M251" i="3"/>
  <c r="P251" i="11"/>
  <c r="L251" i="11"/>
  <c r="K251" i="11"/>
  <c r="J251" i="11"/>
  <c r="G251" i="11"/>
  <c r="O251" i="11"/>
  <c r="N251" i="11"/>
  <c r="M251" i="11"/>
  <c r="I251" i="11"/>
  <c r="H252" i="11" s="1"/>
  <c r="J253" i="12" l="1"/>
  <c r="I253" i="12"/>
  <c r="H254" i="12" s="1"/>
  <c r="P253" i="12"/>
  <c r="O253" i="12"/>
  <c r="G253" i="12"/>
  <c r="K253" i="12"/>
  <c r="N253" i="12"/>
  <c r="M253" i="12"/>
  <c r="L253" i="12"/>
  <c r="G252" i="3"/>
  <c r="P252" i="3"/>
  <c r="O252" i="3"/>
  <c r="N252" i="3"/>
  <c r="M252" i="3"/>
  <c r="L252" i="3"/>
  <c r="K252" i="3"/>
  <c r="J252" i="3"/>
  <c r="I252" i="3"/>
  <c r="H253" i="3" s="1"/>
  <c r="G252" i="11"/>
  <c r="N252" i="11"/>
  <c r="M252" i="11"/>
  <c r="L252" i="11"/>
  <c r="P252" i="11"/>
  <c r="O252" i="11"/>
  <c r="K252" i="11"/>
  <c r="J252" i="11"/>
  <c r="I252" i="11"/>
  <c r="H253" i="11" s="1"/>
  <c r="I253" i="3" l="1"/>
  <c r="H254" i="3" s="1"/>
  <c r="P253" i="3"/>
  <c r="O253" i="3"/>
  <c r="N253" i="3"/>
  <c r="M253" i="3"/>
  <c r="K253" i="3"/>
  <c r="J253" i="3"/>
  <c r="G253" i="3"/>
  <c r="L253" i="3"/>
  <c r="L254" i="12"/>
  <c r="K254" i="12"/>
  <c r="J254" i="12"/>
  <c r="G254" i="12"/>
  <c r="P254" i="12"/>
  <c r="O254" i="12"/>
  <c r="N254" i="12"/>
  <c r="M254" i="12"/>
  <c r="I254" i="12"/>
  <c r="H255" i="12" s="1"/>
  <c r="I253" i="11"/>
  <c r="H254" i="11" s="1"/>
  <c r="P253" i="11"/>
  <c r="O253" i="11"/>
  <c r="N253" i="11"/>
  <c r="J253" i="11"/>
  <c r="G253" i="11"/>
  <c r="M253" i="11"/>
  <c r="L253" i="11"/>
  <c r="K253" i="11"/>
  <c r="K254" i="11" l="1"/>
  <c r="J254" i="11"/>
  <c r="P254" i="11"/>
  <c r="O254" i="11"/>
  <c r="N254" i="11"/>
  <c r="M254" i="11"/>
  <c r="L254" i="11"/>
  <c r="I254" i="11"/>
  <c r="H255" i="11" s="1"/>
  <c r="G254" i="11"/>
  <c r="N255" i="12"/>
  <c r="M255" i="12"/>
  <c r="L255" i="12"/>
  <c r="P255" i="12"/>
  <c r="O255" i="12"/>
  <c r="K255" i="12"/>
  <c r="J255" i="12"/>
  <c r="I255" i="12"/>
  <c r="H256" i="12" s="1"/>
  <c r="G255" i="12"/>
  <c r="K254" i="3"/>
  <c r="J254" i="3"/>
  <c r="L254" i="3"/>
  <c r="I254" i="3"/>
  <c r="H255" i="3" s="1"/>
  <c r="G254" i="3"/>
  <c r="P254" i="3"/>
  <c r="O254" i="3"/>
  <c r="M254" i="3"/>
  <c r="N254" i="3"/>
  <c r="M255" i="3" l="1"/>
  <c r="L255" i="3"/>
  <c r="P255" i="3"/>
  <c r="O255" i="3"/>
  <c r="N255" i="3"/>
  <c r="K255" i="3"/>
  <c r="J255" i="3"/>
  <c r="I255" i="3"/>
  <c r="H256" i="3" s="1"/>
  <c r="G255" i="3"/>
  <c r="M255" i="11"/>
  <c r="L255" i="11"/>
  <c r="G255" i="11"/>
  <c r="J255" i="11"/>
  <c r="I255" i="11"/>
  <c r="H256" i="11" s="1"/>
  <c r="P255" i="11"/>
  <c r="O255" i="11"/>
  <c r="K255" i="11"/>
  <c r="N255" i="11"/>
  <c r="P256" i="12"/>
  <c r="O256" i="12"/>
  <c r="N256" i="12"/>
  <c r="G256" i="12"/>
  <c r="K256" i="12"/>
  <c r="J256" i="12"/>
  <c r="M256" i="12"/>
  <c r="L256" i="12"/>
  <c r="I256" i="12"/>
  <c r="H257" i="12" s="1"/>
  <c r="O256" i="3" l="1"/>
  <c r="N256" i="3"/>
  <c r="P256" i="3"/>
  <c r="M256" i="3"/>
  <c r="L256" i="3"/>
  <c r="K256" i="3"/>
  <c r="J256" i="3"/>
  <c r="I256" i="3"/>
  <c r="H257" i="3" s="1"/>
  <c r="G256" i="3"/>
  <c r="P257" i="12"/>
  <c r="K257" i="12"/>
  <c r="J257" i="12"/>
  <c r="I257" i="12"/>
  <c r="H258" i="12" s="1"/>
  <c r="O257" i="12"/>
  <c r="N257" i="12"/>
  <c r="M257" i="12"/>
  <c r="L257" i="12"/>
  <c r="G257" i="12"/>
  <c r="O256" i="11"/>
  <c r="N256" i="11"/>
  <c r="J256" i="11"/>
  <c r="I256" i="11"/>
  <c r="H257" i="11" s="1"/>
  <c r="P256" i="11"/>
  <c r="M256" i="11"/>
  <c r="L256" i="11"/>
  <c r="K256" i="11"/>
  <c r="G256" i="11"/>
  <c r="P257" i="3" l="1"/>
  <c r="J257" i="3"/>
  <c r="I257" i="3"/>
  <c r="H258" i="3" s="1"/>
  <c r="G257" i="3"/>
  <c r="O257" i="3"/>
  <c r="M257" i="3"/>
  <c r="L257" i="3"/>
  <c r="K257" i="3"/>
  <c r="N257" i="3"/>
  <c r="P257" i="11"/>
  <c r="L257" i="11"/>
  <c r="K257" i="11"/>
  <c r="J257" i="11"/>
  <c r="I257" i="11"/>
  <c r="H258" i="11" s="1"/>
  <c r="G257" i="11"/>
  <c r="M257" i="11"/>
  <c r="O257" i="11"/>
  <c r="N257" i="11"/>
  <c r="G258" i="12"/>
  <c r="P258" i="12"/>
  <c r="O258" i="12"/>
  <c r="N258" i="12"/>
  <c r="M258" i="12"/>
  <c r="L258" i="12"/>
  <c r="K258" i="12"/>
  <c r="J258" i="12"/>
  <c r="I258" i="12"/>
  <c r="H259" i="12" s="1"/>
  <c r="J259" i="12" l="1"/>
  <c r="I259" i="12"/>
  <c r="H260" i="12" s="1"/>
  <c r="P259" i="12"/>
  <c r="O259" i="12"/>
  <c r="N259" i="12"/>
  <c r="K259" i="12"/>
  <c r="G259" i="12"/>
  <c r="M259" i="12"/>
  <c r="L259" i="12"/>
  <c r="G258" i="3"/>
  <c r="N258" i="3"/>
  <c r="M258" i="3"/>
  <c r="L258" i="3"/>
  <c r="K258" i="3"/>
  <c r="J258" i="3"/>
  <c r="I258" i="3"/>
  <c r="H259" i="3" s="1"/>
  <c r="P258" i="3"/>
  <c r="O258" i="3"/>
  <c r="G258" i="11"/>
  <c r="N258" i="11"/>
  <c r="M258" i="11"/>
  <c r="L258" i="11"/>
  <c r="P258" i="11"/>
  <c r="O258" i="11"/>
  <c r="K258" i="11"/>
  <c r="J258" i="11"/>
  <c r="I258" i="11"/>
  <c r="H259" i="11" s="1"/>
  <c r="I259" i="3" l="1"/>
  <c r="H260" i="3" s="1"/>
  <c r="P259" i="3"/>
  <c r="O259" i="3"/>
  <c r="N259" i="3"/>
  <c r="M259" i="3"/>
  <c r="L259" i="3"/>
  <c r="K259" i="3"/>
  <c r="J259" i="3"/>
  <c r="G259" i="3"/>
  <c r="L260" i="12"/>
  <c r="K260" i="12"/>
  <c r="J260" i="12"/>
  <c r="N260" i="12"/>
  <c r="M260" i="12"/>
  <c r="I260" i="12"/>
  <c r="H261" i="12" s="1"/>
  <c r="G260" i="12"/>
  <c r="O260" i="12"/>
  <c r="P260" i="12"/>
  <c r="I259" i="11"/>
  <c r="H260" i="11" s="1"/>
  <c r="P259" i="11"/>
  <c r="O259" i="11"/>
  <c r="N259" i="11"/>
  <c r="K259" i="11"/>
  <c r="J259" i="11"/>
  <c r="G259" i="11"/>
  <c r="M259" i="11"/>
  <c r="L259" i="11"/>
  <c r="K260" i="11" l="1"/>
  <c r="J260" i="11"/>
  <c r="P260" i="11"/>
  <c r="O260" i="11"/>
  <c r="N260" i="11"/>
  <c r="M260" i="11"/>
  <c r="L260" i="11"/>
  <c r="I260" i="11"/>
  <c r="H261" i="11" s="1"/>
  <c r="G260" i="11"/>
  <c r="N261" i="12"/>
  <c r="M261" i="12"/>
  <c r="L261" i="12"/>
  <c r="P261" i="12"/>
  <c r="O261" i="12"/>
  <c r="K261" i="12"/>
  <c r="J261" i="12"/>
  <c r="I261" i="12"/>
  <c r="H262" i="12" s="1"/>
  <c r="G261" i="12"/>
  <c r="K260" i="3"/>
  <c r="J260" i="3"/>
  <c r="G260" i="3"/>
  <c r="P260" i="3"/>
  <c r="O260" i="3"/>
  <c r="N260" i="3"/>
  <c r="M260" i="3"/>
  <c r="L260" i="3"/>
  <c r="I260" i="3"/>
  <c r="H261" i="3" s="1"/>
  <c r="M261" i="11" l="1"/>
  <c r="L261" i="11"/>
  <c r="G261" i="11"/>
  <c r="K261" i="11"/>
  <c r="J261" i="11"/>
  <c r="I261" i="11"/>
  <c r="H262" i="11" s="1"/>
  <c r="P261" i="11"/>
  <c r="O261" i="11"/>
  <c r="N261" i="11"/>
  <c r="P262" i="12"/>
  <c r="O262" i="12"/>
  <c r="N262" i="12"/>
  <c r="I262" i="12"/>
  <c r="H263" i="12" s="1"/>
  <c r="G262" i="12"/>
  <c r="M262" i="12"/>
  <c r="L262" i="12"/>
  <c r="K262" i="12"/>
  <c r="J262" i="12"/>
  <c r="M261" i="3"/>
  <c r="L261" i="3"/>
  <c r="N261" i="3"/>
  <c r="K261" i="3"/>
  <c r="J261" i="3"/>
  <c r="I261" i="3"/>
  <c r="H262" i="3" s="1"/>
  <c r="G261" i="3"/>
  <c r="P261" i="3"/>
  <c r="O261" i="3"/>
  <c r="O262" i="3" l="1"/>
  <c r="N262" i="3"/>
  <c r="P262" i="3"/>
  <c r="M262" i="3"/>
  <c r="L262" i="3"/>
  <c r="K262" i="3"/>
  <c r="J262" i="3"/>
  <c r="I262" i="3"/>
  <c r="H263" i="3" s="1"/>
  <c r="G262" i="3"/>
  <c r="O262" i="11"/>
  <c r="N262" i="11"/>
  <c r="J262" i="11"/>
  <c r="I262" i="11"/>
  <c r="H263" i="11" s="1"/>
  <c r="P262" i="11"/>
  <c r="M262" i="11"/>
  <c r="L262" i="11"/>
  <c r="K262" i="11"/>
  <c r="G262" i="11"/>
  <c r="P263" i="12"/>
  <c r="N263" i="12"/>
  <c r="M263" i="12"/>
  <c r="L263" i="12"/>
  <c r="K263" i="12"/>
  <c r="G263" i="12"/>
  <c r="O263" i="12"/>
  <c r="J263" i="12"/>
  <c r="I263" i="12"/>
  <c r="H264" i="12" s="1"/>
  <c r="P263" i="3" l="1"/>
  <c r="G263" i="3"/>
  <c r="O263" i="3"/>
  <c r="N263" i="3"/>
  <c r="M263" i="3"/>
  <c r="L263" i="3"/>
  <c r="K263" i="3"/>
  <c r="J263" i="3"/>
  <c r="I263" i="3"/>
  <c r="H264" i="3" s="1"/>
  <c r="G264" i="12"/>
  <c r="P264" i="12"/>
  <c r="O264" i="12"/>
  <c r="N264" i="12"/>
  <c r="M264" i="12"/>
  <c r="L264" i="12"/>
  <c r="K264" i="12"/>
  <c r="J264" i="12"/>
  <c r="I264" i="12"/>
  <c r="H265" i="12" s="1"/>
  <c r="P263" i="11"/>
  <c r="L263" i="11"/>
  <c r="K263" i="11"/>
  <c r="J263" i="11"/>
  <c r="M263" i="11"/>
  <c r="I263" i="11"/>
  <c r="H264" i="11" s="1"/>
  <c r="G263" i="11"/>
  <c r="O263" i="11"/>
  <c r="N263" i="11"/>
  <c r="J265" i="12" l="1"/>
  <c r="I265" i="12"/>
  <c r="H266" i="12" s="1"/>
  <c r="L265" i="12"/>
  <c r="K265" i="12"/>
  <c r="G265" i="12"/>
  <c r="P265" i="12"/>
  <c r="O265" i="12"/>
  <c r="N265" i="12"/>
  <c r="M265" i="12"/>
  <c r="G264" i="3"/>
  <c r="L264" i="3"/>
  <c r="K264" i="3"/>
  <c r="J264" i="3"/>
  <c r="I264" i="3"/>
  <c r="H265" i="3" s="1"/>
  <c r="P264" i="3"/>
  <c r="O264" i="3"/>
  <c r="N264" i="3"/>
  <c r="M264" i="3"/>
  <c r="G264" i="11"/>
  <c r="N264" i="11"/>
  <c r="M264" i="11"/>
  <c r="L264" i="11"/>
  <c r="P264" i="11"/>
  <c r="O264" i="11"/>
  <c r="K264" i="11"/>
  <c r="I264" i="11"/>
  <c r="H265" i="11" s="1"/>
  <c r="J264" i="11"/>
  <c r="I265" i="11" l="1"/>
  <c r="H266" i="11" s="1"/>
  <c r="P265" i="11"/>
  <c r="O265" i="11"/>
  <c r="N265" i="11"/>
  <c r="L265" i="11"/>
  <c r="K265" i="11"/>
  <c r="J265" i="11"/>
  <c r="G265" i="11"/>
  <c r="M265" i="11"/>
  <c r="I265" i="3"/>
  <c r="H266" i="3" s="1"/>
  <c r="P265" i="3"/>
  <c r="O265" i="3"/>
  <c r="N265" i="3"/>
  <c r="M265" i="3"/>
  <c r="L265" i="3"/>
  <c r="K265" i="3"/>
  <c r="J265" i="3"/>
  <c r="G265" i="3"/>
  <c r="L266" i="12"/>
  <c r="K266" i="12"/>
  <c r="J266" i="12"/>
  <c r="P266" i="12"/>
  <c r="O266" i="12"/>
  <c r="N266" i="12"/>
  <c r="G266" i="12"/>
  <c r="M266" i="12"/>
  <c r="I266" i="12"/>
  <c r="H267" i="12" s="1"/>
  <c r="K266" i="3" l="1"/>
  <c r="J266" i="3"/>
  <c r="P266" i="3"/>
  <c r="O266" i="3"/>
  <c r="N266" i="3"/>
  <c r="M266" i="3"/>
  <c r="I266" i="3"/>
  <c r="H267" i="3" s="1"/>
  <c r="G266" i="3"/>
  <c r="L266" i="3"/>
  <c r="N267" i="12"/>
  <c r="M267" i="12"/>
  <c r="L267" i="12"/>
  <c r="G267" i="12"/>
  <c r="K267" i="12"/>
  <c r="J267" i="12"/>
  <c r="I267" i="12"/>
  <c r="H268" i="12" s="1"/>
  <c r="O267" i="12"/>
  <c r="P267" i="12"/>
  <c r="K266" i="11"/>
  <c r="J266" i="11"/>
  <c r="P266" i="11"/>
  <c r="O266" i="11"/>
  <c r="N266" i="11"/>
  <c r="M266" i="11"/>
  <c r="L266" i="11"/>
  <c r="I266" i="11"/>
  <c r="H267" i="11" s="1"/>
  <c r="G266" i="11"/>
  <c r="M267" i="3" l="1"/>
  <c r="L267" i="3"/>
  <c r="J267" i="3"/>
  <c r="I267" i="3"/>
  <c r="H268" i="3" s="1"/>
  <c r="G267" i="3"/>
  <c r="P267" i="3"/>
  <c r="O267" i="3"/>
  <c r="N267" i="3"/>
  <c r="K267" i="3"/>
  <c r="P268" i="12"/>
  <c r="O268" i="12"/>
  <c r="N268" i="12"/>
  <c r="L268" i="12"/>
  <c r="K268" i="12"/>
  <c r="J268" i="12"/>
  <c r="I268" i="12"/>
  <c r="H269" i="12" s="1"/>
  <c r="M268" i="12"/>
  <c r="G268" i="12"/>
  <c r="M267" i="11"/>
  <c r="L267" i="11"/>
  <c r="G267" i="11"/>
  <c r="N267" i="11"/>
  <c r="K267" i="11"/>
  <c r="J267" i="11"/>
  <c r="I267" i="11"/>
  <c r="H268" i="11" s="1"/>
  <c r="O267" i="11"/>
  <c r="P267" i="11"/>
  <c r="O268" i="3" l="1"/>
  <c r="N268" i="3"/>
  <c r="P268" i="3"/>
  <c r="M268" i="3"/>
  <c r="L268" i="3"/>
  <c r="K268" i="3"/>
  <c r="J268" i="3"/>
  <c r="I268" i="3"/>
  <c r="H269" i="3" s="1"/>
  <c r="G268" i="3"/>
  <c r="P269" i="12"/>
  <c r="O269" i="12"/>
  <c r="N269" i="12"/>
  <c r="M269" i="12"/>
  <c r="L269" i="12"/>
  <c r="K269" i="12"/>
  <c r="J269" i="12"/>
  <c r="I269" i="12"/>
  <c r="H270" i="12" s="1"/>
  <c r="G269" i="12"/>
  <c r="O268" i="11"/>
  <c r="N268" i="11"/>
  <c r="K268" i="11"/>
  <c r="J268" i="11"/>
  <c r="I268" i="11"/>
  <c r="H269" i="11" s="1"/>
  <c r="P268" i="11"/>
  <c r="L268" i="11"/>
  <c r="G268" i="11"/>
  <c r="M268" i="11"/>
  <c r="P269" i="11" l="1"/>
  <c r="M269" i="11"/>
  <c r="L269" i="11"/>
  <c r="K269" i="11"/>
  <c r="J269" i="11"/>
  <c r="O269" i="11"/>
  <c r="N269" i="11"/>
  <c r="I269" i="11"/>
  <c r="H270" i="11" s="1"/>
  <c r="G269" i="11"/>
  <c r="P269" i="3"/>
  <c r="O269" i="3"/>
  <c r="N269" i="3"/>
  <c r="M269" i="3"/>
  <c r="L269" i="3"/>
  <c r="K269" i="3"/>
  <c r="J269" i="3"/>
  <c r="I269" i="3"/>
  <c r="H270" i="3" s="1"/>
  <c r="G269" i="3"/>
  <c r="G270" i="12"/>
  <c r="J270" i="12"/>
  <c r="I270" i="12"/>
  <c r="H271" i="12" s="1"/>
  <c r="L270" i="12"/>
  <c r="K270" i="12"/>
  <c r="O270" i="12"/>
  <c r="N270" i="12"/>
  <c r="P270" i="12"/>
  <c r="M270" i="12"/>
  <c r="G270" i="11" l="1"/>
  <c r="O270" i="11"/>
  <c r="N270" i="11"/>
  <c r="M270" i="11"/>
  <c r="L270" i="11"/>
  <c r="P270" i="11"/>
  <c r="I270" i="11"/>
  <c r="H271" i="11" s="1"/>
  <c r="K270" i="11"/>
  <c r="J270" i="11"/>
  <c r="J271" i="12"/>
  <c r="I271" i="12"/>
  <c r="H272" i="12" s="1"/>
  <c r="O271" i="12"/>
  <c r="N271" i="12"/>
  <c r="M271" i="12"/>
  <c r="L271" i="12"/>
  <c r="P271" i="12"/>
  <c r="K271" i="12"/>
  <c r="G271" i="12"/>
  <c r="G270" i="3"/>
  <c r="J270" i="3"/>
  <c r="I270" i="3"/>
  <c r="H271" i="3" s="1"/>
  <c r="P270" i="3"/>
  <c r="O270" i="3"/>
  <c r="M270" i="3"/>
  <c r="L270" i="3"/>
  <c r="K270" i="3"/>
  <c r="N270" i="3"/>
  <c r="L272" i="12" l="1"/>
  <c r="K272" i="12"/>
  <c r="J272" i="12"/>
  <c r="I272" i="12"/>
  <c r="H273" i="12" s="1"/>
  <c r="G272" i="12"/>
  <c r="P272" i="12"/>
  <c r="O272" i="12"/>
  <c r="N272" i="12"/>
  <c r="M272" i="12"/>
  <c r="I271" i="3"/>
  <c r="H272" i="3" s="1"/>
  <c r="N271" i="3"/>
  <c r="M271" i="3"/>
  <c r="L271" i="3"/>
  <c r="K271" i="3"/>
  <c r="J271" i="3"/>
  <c r="G271" i="3"/>
  <c r="P271" i="3"/>
  <c r="O271" i="3"/>
  <c r="I271" i="11"/>
  <c r="H272" i="11" s="1"/>
  <c r="P271" i="11"/>
  <c r="O271" i="11"/>
  <c r="N271" i="11"/>
  <c r="M271" i="11"/>
  <c r="L271" i="11"/>
  <c r="K271" i="11"/>
  <c r="J271" i="11"/>
  <c r="G271" i="11"/>
  <c r="K272" i="3" l="1"/>
  <c r="J272" i="3"/>
  <c r="P272" i="3"/>
  <c r="O272" i="3"/>
  <c r="N272" i="3"/>
  <c r="M272" i="3"/>
  <c r="L272" i="3"/>
  <c r="I272" i="3"/>
  <c r="H273" i="3" s="1"/>
  <c r="G272" i="3"/>
  <c r="K272" i="11"/>
  <c r="J272" i="11"/>
  <c r="G272" i="11"/>
  <c r="P272" i="11"/>
  <c r="L272" i="11"/>
  <c r="I272" i="11"/>
  <c r="H273" i="11" s="1"/>
  <c r="N272" i="11"/>
  <c r="M272" i="11"/>
  <c r="O272" i="11"/>
  <c r="N273" i="12"/>
  <c r="M273" i="12"/>
  <c r="L273" i="12"/>
  <c r="J273" i="12"/>
  <c r="I273" i="12"/>
  <c r="H274" i="12" s="1"/>
  <c r="G273" i="12"/>
  <c r="O273" i="12"/>
  <c r="K273" i="12"/>
  <c r="P273" i="12"/>
  <c r="P274" i="12" l="1"/>
  <c r="O274" i="12"/>
  <c r="N274" i="12"/>
  <c r="M274" i="12"/>
  <c r="L274" i="12"/>
  <c r="K274" i="12"/>
  <c r="J274" i="12"/>
  <c r="I274" i="12"/>
  <c r="H275" i="12" s="1"/>
  <c r="G274" i="12"/>
  <c r="M273" i="11"/>
  <c r="L273" i="11"/>
  <c r="I273" i="11"/>
  <c r="H274" i="11" s="1"/>
  <c r="G273" i="11"/>
  <c r="P273" i="11"/>
  <c r="O273" i="11"/>
  <c r="N273" i="11"/>
  <c r="K273" i="11"/>
  <c r="J273" i="11"/>
  <c r="M273" i="3"/>
  <c r="L273" i="3"/>
  <c r="G273" i="3"/>
  <c r="P273" i="3"/>
  <c r="O273" i="3"/>
  <c r="N273" i="3"/>
  <c r="K273" i="3"/>
  <c r="J273" i="3"/>
  <c r="I273" i="3"/>
  <c r="H274" i="3" s="1"/>
  <c r="O274" i="11" l="1"/>
  <c r="N274" i="11"/>
  <c r="K274" i="11"/>
  <c r="J274" i="11"/>
  <c r="I274" i="11"/>
  <c r="H275" i="11" s="1"/>
  <c r="P274" i="11"/>
  <c r="M274" i="11"/>
  <c r="L274" i="11"/>
  <c r="G274" i="11"/>
  <c r="P275" i="12"/>
  <c r="G275" i="12"/>
  <c r="O275" i="12"/>
  <c r="N275" i="12"/>
  <c r="M275" i="12"/>
  <c r="I275" i="12"/>
  <c r="H276" i="12" s="1"/>
  <c r="L275" i="12"/>
  <c r="K275" i="12"/>
  <c r="J275" i="12"/>
  <c r="O274" i="3"/>
  <c r="N274" i="3"/>
  <c r="L274" i="3"/>
  <c r="K274" i="3"/>
  <c r="J274" i="3"/>
  <c r="I274" i="3"/>
  <c r="H275" i="3" s="1"/>
  <c r="G274" i="3"/>
  <c r="P274" i="3"/>
  <c r="M274" i="3"/>
  <c r="P275" i="3" l="1"/>
  <c r="O275" i="3"/>
  <c r="N275" i="3"/>
  <c r="M275" i="3"/>
  <c r="L275" i="3"/>
  <c r="K275" i="3"/>
  <c r="J275" i="3"/>
  <c r="I275" i="3"/>
  <c r="H276" i="3" s="1"/>
  <c r="G275" i="3"/>
  <c r="P275" i="11"/>
  <c r="M275" i="11"/>
  <c r="L275" i="11"/>
  <c r="K275" i="11"/>
  <c r="J275" i="11"/>
  <c r="I275" i="11"/>
  <c r="H276" i="11" s="1"/>
  <c r="G275" i="11"/>
  <c r="N275" i="11"/>
  <c r="O275" i="11"/>
  <c r="G276" i="12"/>
  <c r="M276" i="12"/>
  <c r="L276" i="12"/>
  <c r="K276" i="12"/>
  <c r="J276" i="12"/>
  <c r="P276" i="12"/>
  <c r="O276" i="12"/>
  <c r="N276" i="12"/>
  <c r="I276" i="12"/>
  <c r="H277" i="12" s="1"/>
  <c r="G276" i="11" l="1"/>
  <c r="O276" i="11"/>
  <c r="N276" i="11"/>
  <c r="M276" i="11"/>
  <c r="L276" i="11"/>
  <c r="P276" i="11"/>
  <c r="K276" i="11"/>
  <c r="J276" i="11"/>
  <c r="I276" i="11"/>
  <c r="H277" i="11" s="1"/>
  <c r="G276" i="3"/>
  <c r="P276" i="3"/>
  <c r="O276" i="3"/>
  <c r="N276" i="3"/>
  <c r="M276" i="3"/>
  <c r="L276" i="3"/>
  <c r="K276" i="3"/>
  <c r="J276" i="3"/>
  <c r="I276" i="3"/>
  <c r="H277" i="3" s="1"/>
  <c r="J277" i="12"/>
  <c r="I277" i="12"/>
  <c r="H278" i="12" s="1"/>
  <c r="P277" i="12"/>
  <c r="O277" i="12"/>
  <c r="G277" i="12"/>
  <c r="L277" i="12"/>
  <c r="K277" i="12"/>
  <c r="N277" i="12"/>
  <c r="M277" i="12"/>
  <c r="I277" i="11" l="1"/>
  <c r="H278" i="11" s="1"/>
  <c r="P277" i="11"/>
  <c r="O277" i="11"/>
  <c r="N277" i="11"/>
  <c r="J277" i="11"/>
  <c r="G277" i="11"/>
  <c r="M277" i="11"/>
  <c r="L277" i="11"/>
  <c r="K277" i="11"/>
  <c r="I277" i="3"/>
  <c r="H278" i="3" s="1"/>
  <c r="L277" i="3"/>
  <c r="K277" i="3"/>
  <c r="J277" i="3"/>
  <c r="G277" i="3"/>
  <c r="P277" i="3"/>
  <c r="O277" i="3"/>
  <c r="N277" i="3"/>
  <c r="M277" i="3"/>
  <c r="L278" i="12"/>
  <c r="K278" i="12"/>
  <c r="J278" i="12"/>
  <c r="G278" i="12"/>
  <c r="P278" i="12"/>
  <c r="I278" i="12"/>
  <c r="H279" i="12" s="1"/>
  <c r="N278" i="12"/>
  <c r="M278" i="12"/>
  <c r="O278" i="12"/>
  <c r="K278" i="3" l="1"/>
  <c r="J278" i="3"/>
  <c r="P278" i="3"/>
  <c r="O278" i="3"/>
  <c r="N278" i="3"/>
  <c r="M278" i="3"/>
  <c r="L278" i="3"/>
  <c r="I278" i="3"/>
  <c r="H279" i="3" s="1"/>
  <c r="G278" i="3"/>
  <c r="N279" i="12"/>
  <c r="M279" i="12"/>
  <c r="L279" i="12"/>
  <c r="P279" i="12"/>
  <c r="O279" i="12"/>
  <c r="K279" i="12"/>
  <c r="J279" i="12"/>
  <c r="I279" i="12"/>
  <c r="H280" i="12" s="1"/>
  <c r="G279" i="12"/>
  <c r="K278" i="11"/>
  <c r="J278" i="11"/>
  <c r="G278" i="11"/>
  <c r="P278" i="11"/>
  <c r="O278" i="11"/>
  <c r="N278" i="11"/>
  <c r="M278" i="11"/>
  <c r="L278" i="11"/>
  <c r="I278" i="11"/>
  <c r="H279" i="11" s="1"/>
  <c r="M279" i="3" l="1"/>
  <c r="L279" i="3"/>
  <c r="P279" i="3"/>
  <c r="O279" i="3"/>
  <c r="N279" i="3"/>
  <c r="K279" i="3"/>
  <c r="I279" i="3"/>
  <c r="H280" i="3" s="1"/>
  <c r="G279" i="3"/>
  <c r="J279" i="3"/>
  <c r="M279" i="11"/>
  <c r="L279" i="11"/>
  <c r="I279" i="11"/>
  <c r="H280" i="11" s="1"/>
  <c r="G279" i="11"/>
  <c r="N279" i="11"/>
  <c r="K279" i="11"/>
  <c r="J279" i="11"/>
  <c r="P279" i="11"/>
  <c r="O279" i="11"/>
  <c r="P280" i="12"/>
  <c r="O280" i="12"/>
  <c r="N280" i="12"/>
  <c r="L280" i="12"/>
  <c r="K280" i="12"/>
  <c r="J280" i="12"/>
  <c r="I280" i="12"/>
  <c r="H281" i="12" s="1"/>
  <c r="G280" i="12"/>
  <c r="M280" i="12"/>
  <c r="O280" i="11" l="1"/>
  <c r="N280" i="11"/>
  <c r="K280" i="11"/>
  <c r="J280" i="11"/>
  <c r="I280" i="11"/>
  <c r="H281" i="11" s="1"/>
  <c r="P280" i="11"/>
  <c r="M280" i="11"/>
  <c r="G280" i="11"/>
  <c r="L280" i="11"/>
  <c r="O280" i="3"/>
  <c r="N280" i="3"/>
  <c r="J280" i="3"/>
  <c r="I280" i="3"/>
  <c r="H281" i="3" s="1"/>
  <c r="G280" i="3"/>
  <c r="P280" i="3"/>
  <c r="M280" i="3"/>
  <c r="L280" i="3"/>
  <c r="K280" i="3"/>
  <c r="P281" i="12"/>
  <c r="K281" i="12"/>
  <c r="J281" i="12"/>
  <c r="I281" i="12"/>
  <c r="H282" i="12" s="1"/>
  <c r="O281" i="12"/>
  <c r="N281" i="12"/>
  <c r="M281" i="12"/>
  <c r="L281" i="12"/>
  <c r="G281" i="12"/>
  <c r="P281" i="11" l="1"/>
  <c r="M281" i="11"/>
  <c r="L281" i="11"/>
  <c r="K281" i="11"/>
  <c r="J281" i="11"/>
  <c r="O281" i="11"/>
  <c r="N281" i="11"/>
  <c r="I281" i="11"/>
  <c r="H282" i="11" s="1"/>
  <c r="G281" i="11"/>
  <c r="G282" i="12"/>
  <c r="P282" i="12"/>
  <c r="O282" i="12"/>
  <c r="N282" i="12"/>
  <c r="M282" i="12"/>
  <c r="I282" i="12"/>
  <c r="H283" i="12" s="1"/>
  <c r="L282" i="12"/>
  <c r="K282" i="12"/>
  <c r="J282" i="12"/>
  <c r="P281" i="3"/>
  <c r="N281" i="3"/>
  <c r="M281" i="3"/>
  <c r="L281" i="3"/>
  <c r="K281" i="3"/>
  <c r="J281" i="3"/>
  <c r="I281" i="3"/>
  <c r="H282" i="3" s="1"/>
  <c r="G281" i="3"/>
  <c r="O281" i="3"/>
  <c r="J283" i="12" l="1"/>
  <c r="I283" i="12"/>
  <c r="H284" i="12" s="1"/>
  <c r="P283" i="12"/>
  <c r="O283" i="12"/>
  <c r="N283" i="12"/>
  <c r="M283" i="12"/>
  <c r="L283" i="12"/>
  <c r="K283" i="12"/>
  <c r="G283" i="12"/>
  <c r="G282" i="11"/>
  <c r="O282" i="11"/>
  <c r="N282" i="11"/>
  <c r="M282" i="11"/>
  <c r="L282" i="11"/>
  <c r="P282" i="11"/>
  <c r="K282" i="11"/>
  <c r="J282" i="11"/>
  <c r="I282" i="11"/>
  <c r="H283" i="11" s="1"/>
  <c r="G282" i="3"/>
  <c r="P282" i="3"/>
  <c r="O282" i="3"/>
  <c r="N282" i="3"/>
  <c r="M282" i="3"/>
  <c r="L282" i="3"/>
  <c r="K282" i="3"/>
  <c r="J282" i="3"/>
  <c r="I282" i="3"/>
  <c r="H283" i="3" s="1"/>
  <c r="I283" i="11" l="1"/>
  <c r="H284" i="11" s="1"/>
  <c r="P283" i="11"/>
  <c r="O283" i="11"/>
  <c r="N283" i="11"/>
  <c r="M283" i="11"/>
  <c r="L283" i="11"/>
  <c r="K283" i="11"/>
  <c r="J283" i="11"/>
  <c r="G283" i="11"/>
  <c r="I283" i="3"/>
  <c r="H284" i="3" s="1"/>
  <c r="J283" i="3"/>
  <c r="G283" i="3"/>
  <c r="P283" i="3"/>
  <c r="O283" i="3"/>
  <c r="M283" i="3"/>
  <c r="L283" i="3"/>
  <c r="K283" i="3"/>
  <c r="N283" i="3"/>
  <c r="L284" i="12"/>
  <c r="K284" i="12"/>
  <c r="J284" i="12"/>
  <c r="N284" i="12"/>
  <c r="M284" i="12"/>
  <c r="I284" i="12"/>
  <c r="H285" i="12" s="1"/>
  <c r="G284" i="12"/>
  <c r="P284" i="12"/>
  <c r="O284" i="12"/>
  <c r="N285" i="12" l="1"/>
  <c r="M285" i="12"/>
  <c r="L285" i="12"/>
  <c r="P285" i="12"/>
  <c r="I285" i="12"/>
  <c r="H286" i="12" s="1"/>
  <c r="O285" i="12"/>
  <c r="K285" i="12"/>
  <c r="J285" i="12"/>
  <c r="G285" i="12"/>
  <c r="N284" i="3"/>
  <c r="K284" i="3"/>
  <c r="J284" i="3"/>
  <c r="O284" i="3"/>
  <c r="M284" i="3"/>
  <c r="L284" i="3"/>
  <c r="I284" i="3"/>
  <c r="H285" i="3" s="1"/>
  <c r="G284" i="3"/>
  <c r="P284" i="3"/>
  <c r="K284" i="11"/>
  <c r="J284" i="11"/>
  <c r="G284" i="11"/>
  <c r="P284" i="11"/>
  <c r="L284" i="11"/>
  <c r="I284" i="11"/>
  <c r="H285" i="11" s="1"/>
  <c r="M284" i="11"/>
  <c r="O284" i="11"/>
  <c r="N284" i="11"/>
  <c r="P286" i="12" l="1"/>
  <c r="O286" i="12"/>
  <c r="N286" i="12"/>
  <c r="I286" i="12"/>
  <c r="H287" i="12" s="1"/>
  <c r="G286" i="12"/>
  <c r="M286" i="12"/>
  <c r="L286" i="12"/>
  <c r="K286" i="12"/>
  <c r="J286" i="12"/>
  <c r="M285" i="11"/>
  <c r="L285" i="11"/>
  <c r="I285" i="11"/>
  <c r="H286" i="11" s="1"/>
  <c r="G285" i="11"/>
  <c r="P285" i="11"/>
  <c r="O285" i="11"/>
  <c r="N285" i="11"/>
  <c r="K285" i="11"/>
  <c r="J285" i="11"/>
  <c r="P285" i="3"/>
  <c r="M285" i="3"/>
  <c r="L285" i="3"/>
  <c r="O285" i="3"/>
  <c r="N285" i="3"/>
  <c r="K285" i="3"/>
  <c r="J285" i="3"/>
  <c r="I285" i="3"/>
  <c r="H286" i="3" s="1"/>
  <c r="G285" i="3"/>
  <c r="O286" i="11" l="1"/>
  <c r="N286" i="11"/>
  <c r="K286" i="11"/>
  <c r="J286" i="11"/>
  <c r="I286" i="11"/>
  <c r="H287" i="11" s="1"/>
  <c r="P286" i="11"/>
  <c r="M286" i="11"/>
  <c r="L286" i="11"/>
  <c r="G286" i="11"/>
  <c r="P287" i="12"/>
  <c r="N287" i="12"/>
  <c r="M287" i="12"/>
  <c r="L287" i="12"/>
  <c r="K287" i="12"/>
  <c r="O287" i="12"/>
  <c r="J287" i="12"/>
  <c r="I287" i="12"/>
  <c r="H288" i="12" s="1"/>
  <c r="G287" i="12"/>
  <c r="O286" i="3"/>
  <c r="N286" i="3"/>
  <c r="J286" i="3"/>
  <c r="I286" i="3"/>
  <c r="H287" i="3" s="1"/>
  <c r="G286" i="3"/>
  <c r="P286" i="3"/>
  <c r="M286" i="3"/>
  <c r="L286" i="3"/>
  <c r="K286" i="3"/>
  <c r="P287" i="11" l="1"/>
  <c r="M287" i="11"/>
  <c r="L287" i="11"/>
  <c r="K287" i="11"/>
  <c r="J287" i="11"/>
  <c r="O287" i="11"/>
  <c r="N287" i="11"/>
  <c r="I287" i="11"/>
  <c r="H288" i="11" s="1"/>
  <c r="G287" i="11"/>
  <c r="P287" i="3"/>
  <c r="O287" i="3"/>
  <c r="N287" i="3"/>
  <c r="M287" i="3"/>
  <c r="L287" i="3"/>
  <c r="K287" i="3"/>
  <c r="J287" i="3"/>
  <c r="I287" i="3"/>
  <c r="H288" i="3" s="1"/>
  <c r="G287" i="3"/>
  <c r="G288" i="12"/>
  <c r="P288" i="12"/>
  <c r="O288" i="12"/>
  <c r="N288" i="12"/>
  <c r="M288" i="12"/>
  <c r="L288" i="12"/>
  <c r="I288" i="12"/>
  <c r="H289" i="12" s="1"/>
  <c r="K288" i="12"/>
  <c r="J288" i="12"/>
  <c r="G288" i="11" l="1"/>
  <c r="O288" i="11"/>
  <c r="N288" i="11"/>
  <c r="M288" i="11"/>
  <c r="L288" i="11"/>
  <c r="P288" i="11"/>
  <c r="K288" i="11"/>
  <c r="J288" i="11"/>
  <c r="I288" i="11"/>
  <c r="H289" i="11" s="1"/>
  <c r="J289" i="12"/>
  <c r="I289" i="12"/>
  <c r="H290" i="12" s="1"/>
  <c r="L289" i="12"/>
  <c r="K289" i="12"/>
  <c r="G289" i="12"/>
  <c r="M289" i="12"/>
  <c r="O289" i="12"/>
  <c r="N289" i="12"/>
  <c r="P289" i="12"/>
  <c r="J288" i="3"/>
  <c r="G288" i="3"/>
  <c r="P288" i="3"/>
  <c r="O288" i="3"/>
  <c r="N288" i="3"/>
  <c r="M288" i="3"/>
  <c r="K288" i="3"/>
  <c r="I288" i="3"/>
  <c r="H289" i="3" s="1"/>
  <c r="L288" i="3"/>
  <c r="I289" i="11" l="1"/>
  <c r="H290" i="11" s="1"/>
  <c r="P289" i="11"/>
  <c r="O289" i="11"/>
  <c r="N289" i="11"/>
  <c r="J289" i="11"/>
  <c r="G289" i="11"/>
  <c r="M289" i="11"/>
  <c r="L289" i="11"/>
  <c r="K289" i="11"/>
  <c r="L290" i="12"/>
  <c r="K290" i="12"/>
  <c r="J290" i="12"/>
  <c r="P290" i="12"/>
  <c r="O290" i="12"/>
  <c r="N290" i="12"/>
  <c r="M290" i="12"/>
  <c r="I290" i="12"/>
  <c r="H291" i="12" s="1"/>
  <c r="G290" i="12"/>
  <c r="L289" i="3"/>
  <c r="I289" i="3"/>
  <c r="H290" i="3" s="1"/>
  <c r="M289" i="3"/>
  <c r="K289" i="3"/>
  <c r="J289" i="3"/>
  <c r="G289" i="3"/>
  <c r="P289" i="3"/>
  <c r="O289" i="3"/>
  <c r="N289" i="3"/>
  <c r="N290" i="3" l="1"/>
  <c r="K290" i="3"/>
  <c r="J290" i="3"/>
  <c r="P290" i="3"/>
  <c r="O290" i="3"/>
  <c r="M290" i="3"/>
  <c r="L290" i="3"/>
  <c r="I290" i="3"/>
  <c r="H291" i="3" s="1"/>
  <c r="G290" i="3"/>
  <c r="N291" i="12"/>
  <c r="M291" i="12"/>
  <c r="L291" i="12"/>
  <c r="G291" i="12"/>
  <c r="K291" i="12"/>
  <c r="J291" i="12"/>
  <c r="I291" i="12"/>
  <c r="H292" i="12" s="1"/>
  <c r="P291" i="12"/>
  <c r="O291" i="12"/>
  <c r="K290" i="11"/>
  <c r="J290" i="11"/>
  <c r="G290" i="11"/>
  <c r="P290" i="11"/>
  <c r="O290" i="11"/>
  <c r="N290" i="11"/>
  <c r="M290" i="11"/>
  <c r="L290" i="11"/>
  <c r="I290" i="11"/>
  <c r="H291" i="11" s="1"/>
  <c r="P291" i="3" l="1"/>
  <c r="M291" i="3"/>
  <c r="L291" i="3"/>
  <c r="G291" i="3"/>
  <c r="O291" i="3"/>
  <c r="N291" i="3"/>
  <c r="K291" i="3"/>
  <c r="J291" i="3"/>
  <c r="I291" i="3"/>
  <c r="H292" i="3" s="1"/>
  <c r="M291" i="11"/>
  <c r="L291" i="11"/>
  <c r="I291" i="11"/>
  <c r="H292" i="11" s="1"/>
  <c r="G291" i="11"/>
  <c r="N291" i="11"/>
  <c r="K291" i="11"/>
  <c r="J291" i="11"/>
  <c r="P291" i="11"/>
  <c r="O291" i="11"/>
  <c r="P292" i="12"/>
  <c r="O292" i="12"/>
  <c r="N292" i="12"/>
  <c r="L292" i="12"/>
  <c r="K292" i="12"/>
  <c r="J292" i="12"/>
  <c r="I292" i="12"/>
  <c r="H293" i="12" s="1"/>
  <c r="M292" i="12"/>
  <c r="G292" i="12"/>
  <c r="O292" i="3" l="1"/>
  <c r="N292" i="3"/>
  <c r="M292" i="3"/>
  <c r="L292" i="3"/>
  <c r="K292" i="3"/>
  <c r="J292" i="3"/>
  <c r="I292" i="3"/>
  <c r="H293" i="3" s="1"/>
  <c r="G292" i="3"/>
  <c r="P292" i="3"/>
  <c r="O292" i="11"/>
  <c r="N292" i="11"/>
  <c r="K292" i="11"/>
  <c r="J292" i="11"/>
  <c r="I292" i="11"/>
  <c r="H293" i="11" s="1"/>
  <c r="P292" i="11"/>
  <c r="L292" i="11"/>
  <c r="M292" i="11"/>
  <c r="G292" i="11"/>
  <c r="P293" i="12"/>
  <c r="O293" i="12"/>
  <c r="N293" i="12"/>
  <c r="M293" i="12"/>
  <c r="L293" i="12"/>
  <c r="K293" i="12"/>
  <c r="J293" i="12"/>
  <c r="G293" i="12"/>
  <c r="I293" i="12"/>
  <c r="H294" i="12" s="1"/>
  <c r="P293" i="3" l="1"/>
  <c r="O293" i="3"/>
  <c r="N293" i="3"/>
  <c r="M293" i="3"/>
  <c r="L293" i="3"/>
  <c r="K293" i="3"/>
  <c r="I293" i="3"/>
  <c r="H294" i="3" s="1"/>
  <c r="G293" i="3"/>
  <c r="J293" i="3"/>
  <c r="G294" i="12"/>
  <c r="J294" i="12"/>
  <c r="I294" i="12"/>
  <c r="H295" i="12" s="1"/>
  <c r="P294" i="12"/>
  <c r="O294" i="12"/>
  <c r="N294" i="12"/>
  <c r="M294" i="12"/>
  <c r="L294" i="12"/>
  <c r="K294" i="12"/>
  <c r="P293" i="11"/>
  <c r="M293" i="11"/>
  <c r="L293" i="11"/>
  <c r="K293" i="11"/>
  <c r="J293" i="11"/>
  <c r="O293" i="11"/>
  <c r="N293" i="11"/>
  <c r="I293" i="11"/>
  <c r="H294" i="11" s="1"/>
  <c r="G293" i="11"/>
  <c r="J294" i="3" l="1"/>
  <c r="G294" i="3"/>
  <c r="K294" i="3"/>
  <c r="I294" i="3"/>
  <c r="H295" i="3" s="1"/>
  <c r="P294" i="3"/>
  <c r="O294" i="3"/>
  <c r="N294" i="3"/>
  <c r="M294" i="3"/>
  <c r="L294" i="3"/>
  <c r="J295" i="12"/>
  <c r="I295" i="12"/>
  <c r="H296" i="12" s="1"/>
  <c r="O295" i="12"/>
  <c r="N295" i="12"/>
  <c r="M295" i="12"/>
  <c r="L295" i="12"/>
  <c r="P295" i="12"/>
  <c r="K295" i="12"/>
  <c r="G295" i="12"/>
  <c r="G294" i="11"/>
  <c r="O294" i="11"/>
  <c r="N294" i="11"/>
  <c r="M294" i="11"/>
  <c r="L294" i="11"/>
  <c r="P294" i="11"/>
  <c r="K294" i="11"/>
  <c r="J294" i="11"/>
  <c r="I294" i="11"/>
  <c r="H295" i="11" s="1"/>
  <c r="L296" i="12" l="1"/>
  <c r="K296" i="12"/>
  <c r="J296" i="12"/>
  <c r="I296" i="12"/>
  <c r="H297" i="12" s="1"/>
  <c r="G296" i="12"/>
  <c r="M296" i="12"/>
  <c r="P296" i="12"/>
  <c r="O296" i="12"/>
  <c r="N296" i="12"/>
  <c r="L295" i="3"/>
  <c r="I295" i="3"/>
  <c r="H296" i="3" s="1"/>
  <c r="P295" i="3"/>
  <c r="O295" i="3"/>
  <c r="N295" i="3"/>
  <c r="M295" i="3"/>
  <c r="K295" i="3"/>
  <c r="J295" i="3"/>
  <c r="G295" i="3"/>
  <c r="I295" i="11"/>
  <c r="H296" i="11" s="1"/>
  <c r="P295" i="11"/>
  <c r="O295" i="11"/>
  <c r="N295" i="11"/>
  <c r="M295" i="11"/>
  <c r="L295" i="11"/>
  <c r="K295" i="11"/>
  <c r="J295" i="11"/>
  <c r="G295" i="11"/>
  <c r="K296" i="11" l="1"/>
  <c r="J296" i="11"/>
  <c r="G296" i="11"/>
  <c r="P296" i="11"/>
  <c r="L296" i="11"/>
  <c r="I296" i="11"/>
  <c r="H297" i="11" s="1"/>
  <c r="O296" i="11"/>
  <c r="N296" i="11"/>
  <c r="M296" i="11"/>
  <c r="N297" i="12"/>
  <c r="M297" i="12"/>
  <c r="L297" i="12"/>
  <c r="J297" i="12"/>
  <c r="I297" i="12"/>
  <c r="H298" i="12" s="1"/>
  <c r="G297" i="12"/>
  <c r="P297" i="12"/>
  <c r="O297" i="12"/>
  <c r="K297" i="12"/>
  <c r="N296" i="3"/>
  <c r="K296" i="3"/>
  <c r="J296" i="3"/>
  <c r="P296" i="3"/>
  <c r="O296" i="3"/>
  <c r="M296" i="3"/>
  <c r="L296" i="3"/>
  <c r="I296" i="3"/>
  <c r="H297" i="3" s="1"/>
  <c r="G296" i="3"/>
  <c r="M297" i="11" l="1"/>
  <c r="L297" i="11"/>
  <c r="I297" i="11"/>
  <c r="H298" i="11" s="1"/>
  <c r="G297" i="11"/>
  <c r="P297" i="11"/>
  <c r="O297" i="11"/>
  <c r="N297" i="11"/>
  <c r="J297" i="11"/>
  <c r="K297" i="11"/>
  <c r="P297" i="3"/>
  <c r="M297" i="3"/>
  <c r="L297" i="3"/>
  <c r="K297" i="3"/>
  <c r="J297" i="3"/>
  <c r="I297" i="3"/>
  <c r="H298" i="3" s="1"/>
  <c r="G297" i="3"/>
  <c r="O297" i="3"/>
  <c r="N297" i="3"/>
  <c r="P298" i="12"/>
  <c r="O298" i="12"/>
  <c r="N298" i="12"/>
  <c r="M298" i="12"/>
  <c r="L298" i="12"/>
  <c r="K298" i="12"/>
  <c r="J298" i="12"/>
  <c r="I298" i="12"/>
  <c r="H299" i="12" s="1"/>
  <c r="G298" i="12"/>
  <c r="O298" i="11" l="1"/>
  <c r="N298" i="11"/>
  <c r="K298" i="11"/>
  <c r="J298" i="11"/>
  <c r="I298" i="11"/>
  <c r="H299" i="11" s="1"/>
  <c r="P298" i="11"/>
  <c r="M298" i="11"/>
  <c r="L298" i="11"/>
  <c r="G298" i="11"/>
  <c r="O298" i="3"/>
  <c r="N298" i="3"/>
  <c r="P298" i="3"/>
  <c r="M298" i="3"/>
  <c r="L298" i="3"/>
  <c r="K298" i="3"/>
  <c r="J298" i="3"/>
  <c r="I298" i="3"/>
  <c r="H299" i="3" s="1"/>
  <c r="G298" i="3"/>
  <c r="P299" i="12"/>
  <c r="G299" i="12"/>
  <c r="J299" i="12"/>
  <c r="I299" i="12"/>
  <c r="H300" i="12" s="1"/>
  <c r="N299" i="12"/>
  <c r="M299" i="12"/>
  <c r="L299" i="12"/>
  <c r="O299" i="12"/>
  <c r="K299" i="12"/>
  <c r="P299" i="3" l="1"/>
  <c r="I299" i="3"/>
  <c r="H300" i="3" s="1"/>
  <c r="G299" i="3"/>
  <c r="O299" i="3"/>
  <c r="N299" i="3"/>
  <c r="M299" i="3"/>
  <c r="L299" i="3"/>
  <c r="K299" i="3"/>
  <c r="J299" i="3"/>
  <c r="G300" i="12"/>
  <c r="M300" i="12"/>
  <c r="L300" i="12"/>
  <c r="K300" i="12"/>
  <c r="J300" i="12"/>
  <c r="P300" i="12"/>
  <c r="O300" i="12"/>
  <c r="N300" i="12"/>
  <c r="I300" i="12"/>
  <c r="H301" i="12" s="1"/>
  <c r="P299" i="11"/>
  <c r="M299" i="11"/>
  <c r="L299" i="11"/>
  <c r="K299" i="11"/>
  <c r="J299" i="11"/>
  <c r="O299" i="11"/>
  <c r="N299" i="11"/>
  <c r="G299" i="11"/>
  <c r="I299" i="11"/>
  <c r="H300" i="11" s="1"/>
  <c r="J301" i="12" l="1"/>
  <c r="I301" i="12"/>
  <c r="H302" i="12" s="1"/>
  <c r="P301" i="12"/>
  <c r="O301" i="12"/>
  <c r="G301" i="12"/>
  <c r="N301" i="12"/>
  <c r="M301" i="12"/>
  <c r="L301" i="12"/>
  <c r="K301" i="12"/>
  <c r="K300" i="11"/>
  <c r="G300" i="11"/>
  <c r="P300" i="11"/>
  <c r="O300" i="11"/>
  <c r="N300" i="11"/>
  <c r="M300" i="11"/>
  <c r="L300" i="11"/>
  <c r="J300" i="11"/>
  <c r="I300" i="11"/>
  <c r="H301" i="11" s="1"/>
  <c r="J300" i="3"/>
  <c r="G300" i="3"/>
  <c r="N300" i="3"/>
  <c r="M300" i="3"/>
  <c r="L300" i="3"/>
  <c r="K300" i="3"/>
  <c r="I300" i="3"/>
  <c r="H301" i="3" s="1"/>
  <c r="P300" i="3"/>
  <c r="O300" i="3"/>
  <c r="M301" i="11" l="1"/>
  <c r="J301" i="11"/>
  <c r="I301" i="11"/>
  <c r="H302" i="11" s="1"/>
  <c r="P301" i="11"/>
  <c r="K301" i="11"/>
  <c r="G301" i="11"/>
  <c r="N301" i="11"/>
  <c r="L301" i="11"/>
  <c r="O301" i="11"/>
  <c r="L302" i="12"/>
  <c r="K302" i="12"/>
  <c r="J302" i="12"/>
  <c r="G302" i="12"/>
  <c r="P302" i="12"/>
  <c r="O302" i="12"/>
  <c r="N302" i="12"/>
  <c r="M302" i="12"/>
  <c r="I302" i="12"/>
  <c r="H303" i="12" s="1"/>
  <c r="L301" i="3"/>
  <c r="I301" i="3"/>
  <c r="H302" i="3" s="1"/>
  <c r="P301" i="3"/>
  <c r="O301" i="3"/>
  <c r="N301" i="3"/>
  <c r="M301" i="3"/>
  <c r="K301" i="3"/>
  <c r="J301" i="3"/>
  <c r="G301" i="3"/>
  <c r="O302" i="11" l="1"/>
  <c r="M302" i="11"/>
  <c r="L302" i="11"/>
  <c r="I302" i="11"/>
  <c r="H303" i="11" s="1"/>
  <c r="G302" i="11"/>
  <c r="P302" i="11"/>
  <c r="N302" i="11"/>
  <c r="J302" i="11"/>
  <c r="K302" i="11"/>
  <c r="N302" i="3"/>
  <c r="K302" i="3"/>
  <c r="J302" i="3"/>
  <c r="I302" i="3"/>
  <c r="H303" i="3" s="1"/>
  <c r="G302" i="3"/>
  <c r="O302" i="3"/>
  <c r="M302" i="3"/>
  <c r="L302" i="3"/>
  <c r="P302" i="3"/>
  <c r="N303" i="12"/>
  <c r="M303" i="12"/>
  <c r="L303" i="12"/>
  <c r="P303" i="12"/>
  <c r="O303" i="12"/>
  <c r="K303" i="12"/>
  <c r="J303" i="12"/>
  <c r="I303" i="12"/>
  <c r="H304" i="12" s="1"/>
  <c r="G303" i="12"/>
  <c r="P303" i="11" l="1"/>
  <c r="O303" i="11"/>
  <c r="L303" i="11"/>
  <c r="K303" i="11"/>
  <c r="J303" i="11"/>
  <c r="I303" i="11"/>
  <c r="H304" i="11" s="1"/>
  <c r="N303" i="11"/>
  <c r="M303" i="11"/>
  <c r="G303" i="11"/>
  <c r="P304" i="12"/>
  <c r="O304" i="12"/>
  <c r="N304" i="12"/>
  <c r="M304" i="12"/>
  <c r="L304" i="12"/>
  <c r="K304" i="12"/>
  <c r="J304" i="12"/>
  <c r="D23" i="12" s="1"/>
  <c r="G304" i="12"/>
  <c r="I304" i="12"/>
  <c r="P303" i="3"/>
  <c r="M303" i="3"/>
  <c r="L303" i="3"/>
  <c r="O303" i="3"/>
  <c r="N303" i="3"/>
  <c r="K303" i="3"/>
  <c r="J303" i="3"/>
  <c r="I303" i="3"/>
  <c r="H304" i="3" s="1"/>
  <c r="G303" i="3"/>
  <c r="D8" i="2" l="1"/>
  <c r="F8" i="2" s="1"/>
  <c r="D21" i="12"/>
  <c r="D24" i="12" s="1"/>
  <c r="M304" i="11"/>
  <c r="L304" i="11"/>
  <c r="K304" i="11"/>
  <c r="J304" i="11"/>
  <c r="D23" i="11" s="1"/>
  <c r="I304" i="11"/>
  <c r="G304" i="11"/>
  <c r="N304" i="11"/>
  <c r="P304" i="11"/>
  <c r="O304" i="11"/>
  <c r="I304" i="3"/>
  <c r="G304" i="3"/>
  <c r="O304" i="3"/>
  <c r="D21" i="3" s="1"/>
  <c r="N304" i="3"/>
  <c r="M304" i="3"/>
  <c r="P304" i="3"/>
  <c r="L304" i="3"/>
  <c r="K304" i="3"/>
  <c r="J304" i="3"/>
  <c r="D23" i="3" s="1"/>
  <c r="Y16" i="1" s="1"/>
  <c r="E8" i="2" l="1"/>
  <c r="D7" i="2"/>
  <c r="F7" i="2" s="1"/>
  <c r="D21" i="11"/>
  <c r="D24" i="11" s="1"/>
  <c r="D24" i="3"/>
  <c r="R17" i="1" s="1"/>
  <c r="G17" i="7"/>
  <c r="C10" i="7" s="1"/>
  <c r="K11" i="1"/>
  <c r="E7" i="2"/>
  <c r="G8" i="6" l="1"/>
  <c r="Q52" i="1"/>
  <c r="S52" i="1" s="1"/>
  <c r="U52" i="1" s="1"/>
  <c r="Q59" i="1"/>
  <c r="S59" i="1" s="1"/>
  <c r="U59" i="1" s="1"/>
  <c r="Q53" i="1"/>
  <c r="S53" i="1" s="1"/>
  <c r="U53" i="1" s="1"/>
  <c r="Q33" i="1"/>
  <c r="S33" i="1" s="1"/>
  <c r="U33" i="1" s="1"/>
  <c r="Q56" i="1"/>
  <c r="S56" i="1" s="1"/>
  <c r="U56" i="1" s="1"/>
  <c r="Q31" i="1"/>
  <c r="S31" i="1" s="1"/>
  <c r="U31" i="1" s="1"/>
  <c r="Q44" i="1"/>
  <c r="S44" i="1" s="1"/>
  <c r="U44" i="1" s="1"/>
  <c r="Q45" i="1"/>
  <c r="S45" i="1" s="1"/>
  <c r="U45" i="1" s="1"/>
  <c r="C9" i="5"/>
  <c r="Q32" i="1"/>
  <c r="S32" i="1" s="1"/>
  <c r="U32" i="1" s="1"/>
  <c r="Q37" i="1"/>
  <c r="S37" i="1" s="1"/>
  <c r="U37" i="1" s="1"/>
  <c r="Q54" i="1"/>
  <c r="S54" i="1" s="1"/>
  <c r="U54" i="1" s="1"/>
  <c r="Q41" i="1"/>
  <c r="S41" i="1" s="1"/>
  <c r="U41" i="1" s="1"/>
  <c r="Q50" i="1"/>
  <c r="S50" i="1" s="1"/>
  <c r="U50" i="1" s="1"/>
  <c r="Q48" i="1"/>
  <c r="S48" i="1" s="1"/>
  <c r="U48" i="1" s="1"/>
  <c r="Q42" i="1"/>
  <c r="S42" i="1" s="1"/>
  <c r="U42" i="1" s="1"/>
  <c r="Q55" i="1"/>
  <c r="S55" i="1" s="1"/>
  <c r="U55" i="1" s="1"/>
  <c r="Q38" i="1"/>
  <c r="S38" i="1" s="1"/>
  <c r="U38" i="1" s="1"/>
  <c r="Q30" i="1"/>
  <c r="F6" i="1"/>
  <c r="Q43" i="1"/>
  <c r="S43" i="1" s="1"/>
  <c r="U43" i="1" s="1"/>
  <c r="Q57" i="1"/>
  <c r="S57" i="1" s="1"/>
  <c r="U57" i="1" s="1"/>
  <c r="Q49" i="1"/>
  <c r="S49" i="1" s="1"/>
  <c r="U49" i="1" s="1"/>
  <c r="K13" i="1"/>
  <c r="Q39" i="1"/>
  <c r="S39" i="1" s="1"/>
  <c r="U39" i="1" s="1"/>
  <c r="Q58" i="1"/>
  <c r="S58" i="1" s="1"/>
  <c r="U58" i="1" s="1"/>
  <c r="Q46" i="1"/>
  <c r="S46" i="1" s="1"/>
  <c r="U46" i="1" s="1"/>
  <c r="Q34" i="1"/>
  <c r="S34" i="1" s="1"/>
  <c r="U34" i="1" s="1"/>
  <c r="Q35" i="1"/>
  <c r="S35" i="1" s="1"/>
  <c r="U35" i="1" s="1"/>
  <c r="Q51" i="1"/>
  <c r="S51" i="1" s="1"/>
  <c r="U51" i="1" s="1"/>
  <c r="Q36" i="1"/>
  <c r="S36" i="1" s="1"/>
  <c r="U36" i="1" s="1"/>
  <c r="Q47" i="1"/>
  <c r="S47" i="1" s="1"/>
  <c r="U47" i="1" s="1"/>
  <c r="Q40" i="1"/>
  <c r="S40" i="1" s="1"/>
  <c r="U40" i="1" s="1"/>
  <c r="E38" i="7"/>
  <c r="H38" i="7" s="1"/>
  <c r="E39" i="7"/>
  <c r="H39" i="7" s="1"/>
  <c r="E31" i="7"/>
  <c r="H31" i="7" s="1"/>
  <c r="E30" i="7"/>
  <c r="H30" i="7" s="1"/>
  <c r="E37" i="7"/>
  <c r="C13" i="7"/>
  <c r="E32" i="7"/>
  <c r="H32" i="7" s="1"/>
  <c r="E40" i="7"/>
  <c r="H40" i="7" s="1"/>
  <c r="E29" i="7"/>
  <c r="Y35" i="1" l="1"/>
  <c r="W35" i="1"/>
  <c r="W40" i="1"/>
  <c r="Y40" i="1"/>
  <c r="Y43" i="1"/>
  <c r="W43" i="1"/>
  <c r="Y44" i="1"/>
  <c r="W44" i="1"/>
  <c r="Y55" i="1"/>
  <c r="W55" i="1"/>
  <c r="W56" i="1"/>
  <c r="Y56" i="1"/>
  <c r="Y34" i="1"/>
  <c r="W34" i="1"/>
  <c r="Y42" i="1"/>
  <c r="W42" i="1"/>
  <c r="W33" i="1"/>
  <c r="Y33" i="1"/>
  <c r="W32" i="1"/>
  <c r="Y32" i="1"/>
  <c r="H29" i="7"/>
  <c r="H33" i="7" s="1"/>
  <c r="E33" i="7"/>
  <c r="W46" i="1"/>
  <c r="Y46" i="1"/>
  <c r="W53" i="1"/>
  <c r="Y53" i="1"/>
  <c r="W37" i="1"/>
  <c r="Y37" i="1"/>
  <c r="Y47" i="1"/>
  <c r="W47" i="1"/>
  <c r="Y36" i="1"/>
  <c r="W36" i="1"/>
  <c r="W31" i="1"/>
  <c r="Y31" i="1"/>
  <c r="H37" i="7"/>
  <c r="H41" i="7" s="1"/>
  <c r="E41" i="7"/>
  <c r="G9" i="7" s="1"/>
  <c r="G13" i="7" s="1"/>
  <c r="W58" i="1"/>
  <c r="Y58" i="1"/>
  <c r="Y50" i="1"/>
  <c r="W50" i="1"/>
  <c r="Y59" i="1"/>
  <c r="W59" i="1"/>
  <c r="Y57" i="1"/>
  <c r="W57" i="1"/>
  <c r="Y45" i="1"/>
  <c r="W45" i="1"/>
  <c r="W51" i="1"/>
  <c r="Y51" i="1"/>
  <c r="W39" i="1"/>
  <c r="Y39" i="1"/>
  <c r="Y41" i="1"/>
  <c r="W41" i="1"/>
  <c r="Y52" i="1"/>
  <c r="W52" i="1"/>
  <c r="W49" i="1"/>
  <c r="Y49" i="1"/>
  <c r="G9" i="5"/>
  <c r="C15" i="5"/>
  <c r="L21" i="5"/>
  <c r="S30" i="1"/>
  <c r="Q60" i="1"/>
  <c r="W38" i="1"/>
  <c r="Y38" i="1"/>
  <c r="Y48" i="1"/>
  <c r="W48" i="1"/>
  <c r="A6" i="1"/>
  <c r="K16" i="1"/>
  <c r="K6" i="1" s="1"/>
  <c r="Y54" i="1"/>
  <c r="W54" i="1"/>
  <c r="L51" i="5" l="1"/>
  <c r="O21" i="5"/>
  <c r="O51" i="5" s="1"/>
  <c r="S60" i="1"/>
  <c r="V30" i="1"/>
  <c r="U30" i="1"/>
  <c r="R21" i="5"/>
  <c r="G15" i="5"/>
  <c r="R51" i="5" l="1"/>
  <c r="U21" i="5"/>
  <c r="U51" i="5" s="1"/>
  <c r="U60" i="1"/>
  <c r="Y30" i="1"/>
  <c r="Y60" i="1" s="1"/>
  <c r="V60" i="1"/>
  <c r="W30" i="1"/>
  <c r="Z6" i="1" l="1"/>
  <c r="P6" i="1"/>
  <c r="W60" i="1"/>
  <c r="U6" i="1" s="1"/>
  <c r="K17" i="1"/>
</calcChain>
</file>

<file path=xl/sharedStrings.xml><?xml version="1.0" encoding="utf-8"?>
<sst xmlns="http://schemas.openxmlformats.org/spreadsheetml/2006/main" count="490" uniqueCount="316">
  <si>
    <t>AI / Extracted/Manual Fields</t>
  </si>
  <si>
    <t>Formulas</t>
  </si>
  <si>
    <t>Debt Calculation Output</t>
  </si>
  <si>
    <t>Initial Claim Amount</t>
  </si>
  <si>
    <t>TOTAL UPDATED DEBT</t>
  </si>
  <si>
    <t>MAXIMUM SECURED AMOUNT</t>
  </si>
  <si>
    <t>DEUDA LIMITADA A  RESPONSABILIDAD</t>
  </si>
  <si>
    <t>Capital/Principal</t>
  </si>
  <si>
    <t>Capital</t>
  </si>
  <si>
    <t>Interest</t>
  </si>
  <si>
    <t>Int. Ordinarios</t>
  </si>
  <si>
    <t>Penalty Interest</t>
  </si>
  <si>
    <t>Penalty Interest + Updated Interest</t>
  </si>
  <si>
    <t>We are considering "Updated Interest" as "Penalty Interest"</t>
  </si>
  <si>
    <t>Updated Interest (Penalty)</t>
  </si>
  <si>
    <t>Judicial Costs</t>
  </si>
  <si>
    <t>Other Expenses</t>
  </si>
  <si>
    <t>TOTAL</t>
  </si>
  <si>
    <t>DEBT CALCULATION (UPDATED INTEREST &amp; JUDICIAL COSTS)</t>
  </si>
  <si>
    <t>*If any property is "First Residence", "Judicial Costs" are calculated and capped at 5% of the "Initial Claim Amount". Otherwise, the user must be able to enter the value manually</t>
  </si>
  <si>
    <t>Datos y modo se gestionan en «Informe Subasta». Vista enlazada (formato cliente).</t>
  </si>
  <si>
    <t>Account Closure Date</t>
  </si>
  <si>
    <t>Calculation Date</t>
  </si>
  <si>
    <t>Interest Applicable Rate (%)</t>
  </si>
  <si>
    <t>Penalty Interest Applicable Rate (%)</t>
  </si>
  <si>
    <t>Consumer</t>
  </si>
  <si>
    <t>Updated Interest  (€)</t>
  </si>
  <si>
    <t>First Residence</t>
  </si>
  <si>
    <t>Judicial Costs*</t>
  </si>
  <si>
    <t>Property_ID</t>
  </si>
  <si>
    <t>Principal Maximum Secured Amount</t>
  </si>
  <si>
    <t>Interest Maximum Secured Amount</t>
  </si>
  <si>
    <t>Penalty Interest Maximum Secured Amount</t>
  </si>
  <si>
    <t>Judicial Costs Maximum Secured Amount</t>
  </si>
  <si>
    <t>Other Expenses Maximum Secured Amount</t>
  </si>
  <si>
    <t>Total R.H.</t>
  </si>
  <si>
    <t>% Property Weight</t>
  </si>
  <si>
    <t>TOTALES</t>
  </si>
  <si>
    <t>TOTAL UPDATED DEBT DISTRIBUTED BY (%)</t>
  </si>
  <si>
    <t>TOTAL DEBT</t>
  </si>
  <si>
    <t>TOTAL LIMITED UPDATED DEBT DISTRIBUTED BY %</t>
  </si>
  <si>
    <t>INFORME DE SUBASTA Y CÁLCULO DE DEUDA</t>
  </si>
  <si>
    <t>Azul = dato que introduce usted   ·   Verde = enlace (no editar)   ·   Morado = interruptor   ·   Amarillo = total   ·   Blanco = cálculo</t>
  </si>
  <si>
    <t>RESUMEN</t>
  </si>
  <si>
    <t>TOTAL DEUDA ACTUALIZADA</t>
  </si>
  <si>
    <t>Intereses devengados</t>
  </si>
  <si>
    <t>TOTAL con cargas</t>
  </si>
  <si>
    <t>Puja mínima total (LOANCO)</t>
  </si>
  <si>
    <t>Cash Out total (LOANCO)</t>
  </si>
  <si>
    <t>Cobertura puja / deuda</t>
  </si>
  <si>
    <t>LoanID</t>
  </si>
  <si>
    <t>12345</t>
  </si>
  <si>
    <t>LegalID</t>
  </si>
  <si>
    <t>LoanNumber</t>
  </si>
  <si>
    <t>OriginalLoanNumber</t>
  </si>
  <si>
    <t>2 · DATOS ECONÓMICOS DE LA DEUDA</t>
  </si>
  <si>
    <t>4 · PARÁMETROS DE SUBASTA</t>
  </si>
  <si>
    <t>Principal (€)</t>
  </si>
  <si>
    <t>Total Deuda A.D.E. (€)</t>
  </si>
  <si>
    <t>Law 1/2025 Regime (Y/N)</t>
  </si>
  <si>
    <t>Y</t>
  </si>
  <si>
    <t>ExecutionOrderAmount (€)</t>
  </si>
  <si>
    <t>Interest (€)</t>
  </si>
  <si>
    <t>UpdatedInterestAmount (€)</t>
  </si>
  <si>
    <t>BudgetAmount (€)</t>
  </si>
  <si>
    <t>Total presupuesto (techo REOCO) (€)</t>
  </si>
  <si>
    <t>PenaltyInterest (€)</t>
  </si>
  <si>
    <t>Costas (tope 5% si VH) (€)</t>
  </si>
  <si>
    <t>Comentarios</t>
  </si>
  <si>
    <t>ANOTADOS EMBARGOS POSTERIORES A FAVOR DE LA TGSS</t>
  </si>
  <si>
    <t>Expenses (€)</t>
  </si>
  <si>
    <t>TOTAL DEUDA (€)</t>
  </si>
  <si>
    <t>JudicialCostsAmount (€)</t>
  </si>
  <si>
    <t>SecondLienAmount (€)</t>
  </si>
  <si>
    <t>AccountClosureDate</t>
  </si>
  <si>
    <t>ThirdLienAmount (€)</t>
  </si>
  <si>
    <t>DATOS DE DEVENGO (informativo)</t>
  </si>
  <si>
    <t>CalculationDate</t>
  </si>
  <si>
    <t>TOTAL DEUDAS (con cargas) (€)</t>
  </si>
  <si>
    <t>Días de devengo</t>
  </si>
  <si>
    <t>Nº de tramos (interés)</t>
  </si>
  <si>
    <t>Nº fincas vivienda habitual</t>
  </si>
  <si>
    <t>Cash out (1ª finca) (€)</t>
  </si>
  <si>
    <t>Tipo medio aplicado</t>
  </si>
  <si>
    <t>Régimen del tipo</t>
  </si>
  <si>
    <t>3 · PARÁMETROS DE INTERÉS  (cálculo automático en «Cálculo Intereses»)</t>
  </si>
  <si>
    <t>5 · CHECK-LIST PROCESAL</t>
  </si>
  <si>
    <t>Mode</t>
  </si>
  <si>
    <t>ReferenceRate (BdE)</t>
  </si>
  <si>
    <t>Euríbor a 12 meses</t>
  </si>
  <si>
    <t>Certificación de cargas</t>
  </si>
  <si>
    <t>✗</t>
  </si>
  <si>
    <t>Personado / Consumidor (Consumer)</t>
  </si>
  <si>
    <t>N</t>
  </si>
  <si>
    <t>DifferentialRate (puntos)</t>
  </si>
  <si>
    <t>Notificación a deudores</t>
  </si>
  <si>
    <t>InterestApplicableRate</t>
  </si>
  <si>
    <t>UpdateRateFrequency (meses)</t>
  </si>
  <si>
    <t>Demandados titulares registrales</t>
  </si>
  <si>
    <t>PenaltyInterestApplicableRate</t>
  </si>
  <si>
    <t>LastRateUpdateDate</t>
  </si>
  <si>
    <t>Revisión completa del edicto</t>
  </si>
  <si>
    <t>NegativeRatesToZero</t>
  </si>
  <si>
    <t>Sí</t>
  </si>
  <si>
    <t>RateDelay (meses)</t>
  </si>
  <si>
    <t>Revisión nulidades / cláusulas abusivas</t>
  </si>
  <si>
    <t>Pagos realizados</t>
  </si>
  <si>
    <t>6 · DETALLE POR FINCA — responsabilidad hipotecaria, distribución de deuda y pujas</t>
  </si>
  <si>
    <t>IDENTIFICACIÓN</t>
  </si>
  <si>
    <t>% del tipo de subasta</t>
  </si>
  <si>
    <t>RESP. HIPOTECARIA MÁX. (límites registrales)</t>
  </si>
  <si>
    <t>Peso</t>
  </si>
  <si>
    <t>DISTRIBUCIÓN DE LA DEUDA</t>
  </si>
  <si>
    <t>Cargas/Total</t>
  </si>
  <si>
    <t>ESC. LOANCO</t>
  </si>
  <si>
    <t>ESC. REOCO</t>
  </si>
  <si>
    <t>DATOS REGISTRALES</t>
  </si>
  <si>
    <t>PropertyID</t>
  </si>
  <si>
    <t>IsFirstResidence</t>
  </si>
  <si>
    <t>LoancoReoco</t>
  </si>
  <si>
    <t>BaseAmount</t>
  </si>
  <si>
    <t>70% t.s.</t>
  </si>
  <si>
    <t>60% t.s.</t>
  </si>
  <si>
    <t>50% t.s.</t>
  </si>
  <si>
    <t>40% t.s.</t>
  </si>
  <si>
    <t>Capital (MSA)</t>
  </si>
  <si>
    <t>Interest (MSA)</t>
  </si>
  <si>
    <t>PenaltyInterest (MSA)</t>
  </si>
  <si>
    <t>OtherExp+JudCosts (MSA)</t>
  </si>
  <si>
    <t>TOTAL RRHH</t>
  </si>
  <si>
    <t>% peso</t>
  </si>
  <si>
    <t>Capital deuda</t>
  </si>
  <si>
    <t>Ordinarios deuda</t>
  </si>
  <si>
    <t>Moratorios + LI</t>
  </si>
  <si>
    <t>Costas y comis.</t>
  </si>
  <si>
    <t>Cargas post.</t>
  </si>
  <si>
    <t>TOTAL + cargas</t>
  </si>
  <si>
    <t>Puja Mín. LOANCO</t>
  </si>
  <si>
    <t>Cash out LOANCO</t>
  </si>
  <si>
    <t>Puja Mín. REOCO</t>
  </si>
  <si>
    <t>Cash out REOCO</t>
  </si>
  <si>
    <t>CadastralReference</t>
  </si>
  <si>
    <t>Registro Propiedad</t>
  </si>
  <si>
    <t>Tomo/Libro/Folio</t>
  </si>
  <si>
    <t>Dirección</t>
  </si>
  <si>
    <t>Titularidad</t>
  </si>
  <si>
    <t>Cargas anteriores</t>
  </si>
  <si>
    <t>Loanco</t>
  </si>
  <si>
    <t>COMPARATIVA DE TIPOS — misma deuda, 4 escenarios</t>
  </si>
  <si>
    <t>Datos en «Informe Subasta»; aquí se calculan los 4 escenarios a la vez.</t>
  </si>
  <si>
    <t>Escenario</t>
  </si>
  <si>
    <t>Tipo / base</t>
  </si>
  <si>
    <t>Interés devengado (€)</t>
  </si>
  <si>
    <t>Tipo medio</t>
  </si>
  <si>
    <t>Fijo — CONSUMIDOR</t>
  </si>
  <si>
    <t>Fijo — NO consumidor</t>
  </si>
  <si>
    <t>Variable</t>
  </si>
  <si>
    <t>ReferenceRate + DifferentialRate</t>
  </si>
  <si>
    <t>Variable +3%</t>
  </si>
  <si>
    <t>Ref + Diff + 3 puntos</t>
  </si>
  <si>
    <t>CÁLCULO AUTOMÁTICO DE INTERESES (por tramos)</t>
  </si>
  <si>
    <t>Interés simple, Actual/365 = capital × tipo% × días ÷ 36.500. Datos enlazados desde «Informe Subasta» (no editar aquí).</t>
  </si>
  <si>
    <t>PARÁMETROS (enlazados)</t>
  </si>
  <si>
    <t>Nº</t>
  </si>
  <si>
    <t>Fecha inicio</t>
  </si>
  <si>
    <t>Fecha fin</t>
  </si>
  <si>
    <t>Días</t>
  </si>
  <si>
    <t>Fecha ref. tipo</t>
  </si>
  <si>
    <t>Tipo base (%)</t>
  </si>
  <si>
    <t>Diferencial (%)</t>
  </si>
  <si>
    <t>Tipo aplicado (%)</t>
  </si>
  <si>
    <t>Intereses (€)</t>
  </si>
  <si>
    <t>Deuda acumulada (€)</t>
  </si>
  <si>
    <t>AccountClosureDate (cierre)</t>
  </si>
  <si>
    <t>IsConsumer</t>
  </si>
  <si>
    <t>Régimen (automático)</t>
  </si>
  <si>
    <t>RESULTADO</t>
  </si>
  <si>
    <t>TOTAL INTERÉS ACTUALIZADO (€)</t>
  </si>
  <si>
    <t>Nº de tramos</t>
  </si>
  <si>
    <t>Tipo medio aplicado (ponderado)</t>
  </si>
  <si>
    <t>TIPOS DE INTERÉS DE REFERENCIA — BANCO DE ESPAÑA (be1901)</t>
  </si>
  <si>
    <t>Último mes con dato:</t>
  </si>
  <si>
    <t>2026-06</t>
  </si>
  <si>
    <t>Fuente:</t>
  </si>
  <si>
    <t>https://www.bde.es/webbe/es/estadisticas/compartido/datos/xlsx/be1901.xlsx</t>
  </si>
  <si>
    <t>Actualización:</t>
  </si>
  <si>
    <t>Actualizado el 20/07/2026 desde bde.es (be1901).</t>
  </si>
  <si>
    <t>Fecha</t>
  </si>
  <si>
    <t>Euríbor a 6 meses</t>
  </si>
  <si>
    <t>Euríbor a 3 meses</t>
  </si>
  <si>
    <t>Euríbor a 1 mes</t>
  </si>
  <si>
    <t>Euríbor a 1 semana</t>
  </si>
  <si>
    <t>IRPH Conjunto de entidades (vivienda libre)</t>
  </si>
  <si>
    <t>MIBOR a 1 año</t>
  </si>
  <si>
    <t>€STR (ESTR)</t>
  </si>
  <si>
    <t>Interés legal del dinero</t>
  </si>
  <si>
    <t>Interés de mora procesal (art. 576 LEC)</t>
  </si>
  <si>
    <t>Interés de demora tributario</t>
  </si>
  <si>
    <t>Interés de demora en operaciones comerciales</t>
  </si>
  <si>
    <t>FECHA CÁLCULO</t>
  </si>
  <si>
    <t>** AFS = Acta fijación de saldo</t>
  </si>
  <si>
    <t>Amarillo = poblado desde «Informe Subasta»</t>
  </si>
  <si>
    <t>** ADE = Auto despachando ejecución</t>
  </si>
  <si>
    <t>Blanco = campo formulado</t>
  </si>
  <si>
    <t>Intereses demora AFS</t>
  </si>
  <si>
    <t>Principal reclamado</t>
  </si>
  <si>
    <t>DEUDA LEGAL ACTUALIZADA</t>
  </si>
  <si>
    <t>LIMITE RESPONSABILIDAD HIPOTECARIA SEGÚN ESCRITURA</t>
  </si>
  <si>
    <t>DEUDA LIMITADA A RESPONSABILIDAD</t>
  </si>
  <si>
    <t>Capital en AFS</t>
  </si>
  <si>
    <t>Int. Ordinarios en AFS</t>
  </si>
  <si>
    <t>Int. Moratorios a fecha de cálculo</t>
  </si>
  <si>
    <t>Int. Moratorios</t>
  </si>
  <si>
    <t>Gastos y costas</t>
  </si>
  <si>
    <t>Gastos y costas limitadas al 5% V.H.</t>
  </si>
  <si>
    <t xml:space="preserve">   - Abogado</t>
  </si>
  <si>
    <t xml:space="preserve">   - Procurador</t>
  </si>
  <si>
    <t xml:space="preserve">   - Comisiones en AFS</t>
  </si>
  <si>
    <t>Entregas a cuenta</t>
  </si>
  <si>
    <t>Si solo hay una finca no completar nada abajo: ↓</t>
  </si>
  <si>
    <t>Distribución en caso de varias fincas:</t>
  </si>
  <si>
    <t>LIMITE RESPONSABILIDAD HIPOTECARIA</t>
  </si>
  <si>
    <t>TOTAL DEUDA REAL DISTRIBUIDA</t>
  </si>
  <si>
    <t>TOTAL DEUDA LIMITADA DISTRIBUIDA</t>
  </si>
  <si>
    <t>ASSET ID HOIST</t>
  </si>
  <si>
    <t>Nº FINCA REGISTRAL</t>
  </si>
  <si>
    <t>I. Ordinarios</t>
  </si>
  <si>
    <t>I. Moratorios</t>
  </si>
  <si>
    <t>Gastos y Costas</t>
  </si>
  <si>
    <t>% LRH Finca</t>
  </si>
  <si>
    <t>TOTAL DEUDA</t>
  </si>
  <si>
    <t>Conection ID</t>
  </si>
  <si>
    <t># Loans</t>
  </si>
  <si>
    <t>Original Number</t>
  </si>
  <si>
    <t>Loans</t>
  </si>
  <si>
    <t>Total UPB</t>
  </si>
  <si>
    <t># Properties</t>
  </si>
  <si>
    <t>Properties</t>
  </si>
  <si>
    <t>Total REV</t>
  </si>
  <si>
    <t>Principal</t>
  </si>
  <si>
    <t>Ordinary Interest</t>
  </si>
  <si>
    <t>Default Interest</t>
  </si>
  <si>
    <t>Judicial expenses</t>
  </si>
  <si>
    <t>Total</t>
  </si>
  <si>
    <t>Proposal Included</t>
  </si>
  <si>
    <t>Yes</t>
  </si>
  <si>
    <t>Responsabilidad hipotecaria máxima</t>
  </si>
  <si>
    <t>Property</t>
  </si>
  <si>
    <t>Code</t>
  </si>
  <si>
    <t>REV</t>
  </si>
  <si>
    <t>LTV (Principal)</t>
  </si>
  <si>
    <t>LTV (Claim Amount)</t>
  </si>
  <si>
    <t>Principal (MR)</t>
  </si>
  <si>
    <t>Ordinary Interest (MR)</t>
  </si>
  <si>
    <t>Default Interest (MR)</t>
  </si>
  <si>
    <t>Judicial expenses (MR)</t>
  </si>
  <si>
    <t>Total (MR)</t>
  </si>
  <si>
    <t>CÁLCULO DE DEUDA E INFORME DE SUBASTA</t>
  </si>
  <si>
    <t>Todos los datos que usted introduce están en «Informe Subasta». Arriba un panel RESUMEN con KPIs; debajo los formularios en dos columnas y la tabla por finca.</t>
  </si>
  <si>
    <t>Pestañas</t>
  </si>
  <si>
    <t>• Informe Subasta — ÚNICA hoja de entrada. RESUMEN (dashboard) + formularios (izq: deuda e interés; dcha: subasta, devengo y check-list) + tabla por finca con límites registrales, distribución y pujas.</t>
  </si>
  <si>
    <t>• Cálculo Intereses — cálculo automático por tramos (fijo/variable/legal) + mini-gráfico; enlazado, no se edita.</t>
  </si>
  <si>
    <t>• Formato cliente — el mismo cálculo en formato cliente, enlazado.</t>
  </si>
  <si>
    <t>• Tipos BdE — tipos del Banco de España (actualícelos con «Actualizar_Tipos_BdE.bat»).</t>
  </si>
  <si>
    <t>Código de colores</t>
  </si>
  <si>
    <t>Azul = entrada · Verde = enlace (no editar) · Morado = interruptor · Amarillo = total · Blanco = fórmula.</t>
  </si>
  <si>
    <t>Lógica</t>
  </si>
  <si>
    <t xml:space="preserve">Interés simple Actual/365 = capital × tipo% × días ÷ 36.500. </t>
  </si>
  <si>
    <t>Criterios de adjudicación (valor mínimo - Previo Ley 1/2025):</t>
  </si>
  <si>
    <t>1. Si NO es vivienda habitual: adjudicación sin postores = MÍN(50% del tipo de subasta, deuda total).</t>
  </si>
  <si>
    <t>2. Si es vivienda habitual y la deuda supera el 70%: adjudicación = 70% del tipo de subasta.</t>
  </si>
  <si>
    <t>3. Si es vivienda habitual y la deuda es inferior al 70%: adjudicación = 60% del tipo de subasta.</t>
  </si>
  <si>
    <t>4. Si hay riesgo de cash-out: puja de tercero vía REOCO = MÍN(51% del tipo de subasta, deuda total).</t>
  </si>
  <si>
    <t>(Régimen POST Ley 1/2025: suelos 40/50/60/70% según vivienda habitual.)</t>
  </si>
  <si>
    <t>FechaGuardado</t>
  </si>
  <si>
    <t>PenaltyInterest</t>
  </si>
  <si>
    <t>Expenses</t>
  </si>
  <si>
    <t>JudicialCostsAmount</t>
  </si>
  <si>
    <t>InterestApplicableRate(%)</t>
  </si>
  <si>
    <t>PenaltyInterestApplicableRate(%)</t>
  </si>
  <si>
    <t>ReferenceRate</t>
  </si>
  <si>
    <t>DifferentialRate</t>
  </si>
  <si>
    <t>UpdateRateFrequency</t>
  </si>
  <si>
    <t>RateDelay</t>
  </si>
  <si>
    <t>Law12025Regime</t>
  </si>
  <si>
    <t>ExecutionOrderAmount</t>
  </si>
  <si>
    <t>BudgetAmount</t>
  </si>
  <si>
    <t>SecondLienAmount</t>
  </si>
  <si>
    <t>ThirdLienAmount</t>
  </si>
  <si>
    <t>UpdatedInterestAmount</t>
  </si>
  <si>
    <t>Total_ADE</t>
  </si>
  <si>
    <t>Costas_aplicada</t>
  </si>
  <si>
    <t>TOTAL_DEUDA</t>
  </si>
  <si>
    <t>TOTAL_DEUDAS_cargas</t>
  </si>
  <si>
    <t>Dias</t>
  </si>
  <si>
    <t>Tipo_medio</t>
  </si>
  <si>
    <t>Puja_LOANCO</t>
  </si>
  <si>
    <t>Puja_REOCO</t>
  </si>
  <si>
    <t>Cobertura</t>
  </si>
  <si>
    <t>Cash_out</t>
  </si>
  <si>
    <t>CapitalMSA</t>
  </si>
  <si>
    <t>InterestMSA</t>
  </si>
  <si>
    <t>PenaltyInterestMSA</t>
  </si>
  <si>
    <t>OtherExp+JudCosts MSA</t>
  </si>
  <si>
    <t>LandRegistry</t>
  </si>
  <si>
    <t>TomoLibroFolio</t>
  </si>
  <si>
    <t>Capital_deuda</t>
  </si>
  <si>
    <t>Ordinarios_deuda</t>
  </si>
  <si>
    <t>Moratorios_deuda</t>
  </si>
  <si>
    <t>Costas_deuda</t>
  </si>
  <si>
    <t>TOTAL_DEBT</t>
  </si>
  <si>
    <t>Cargas</t>
  </si>
  <si>
    <t>TOTAL_cargas</t>
  </si>
  <si>
    <t>Cash_out_LOANCO</t>
  </si>
  <si>
    <t>Cash_out_REOCO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</si>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</sst>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#,##0.00\ &quot;€&quot;;[Red]\-#,##0.00\ &quot;€&quot;"/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00&quot;%&quot;"/>
    <numFmt numFmtId="166" formatCode="0.000%"/>
    <numFmt numFmtId="167" formatCode="0.0%"/>
    <numFmt numFmtId="168" formatCode="mmm\ yyyy"/>
    <numFmt numFmtId="169" formatCode="0.000"/>
    <numFmt numFmtId="170" formatCode="#,##0.00\ &quot;€&quot;"/>
  </numFmts>
  <fonts count="5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563C1"/>
      <name val="Calibri"/>
      <family val="2"/>
    </font>
    <font>
      <i/>
      <sz val="10"/>
      <color rgb="FF808080"/>
      <name val="Calibri"/>
      <family val="2"/>
    </font>
    <font>
      <b/>
      <sz val="10"/>
      <color rgb="FFFFFFFF"/>
      <name val="Calibri"/>
      <family val="2"/>
    </font>
    <font>
      <b/>
      <sz val="8"/>
      <color rgb="FFFFFFFF"/>
      <name val="Calibri"/>
      <family val="2"/>
    </font>
    <font>
      <sz val="8"/>
      <name val="Calibri"/>
      <family val="2"/>
    </font>
    <font>
      <b/>
      <sz val="15"/>
      <color rgb="FFFFFFFF"/>
      <name val="Calibri"/>
      <family val="2"/>
    </font>
    <font>
      <i/>
      <sz val="9"/>
      <color rgb="FF808080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Calibri"/>
      <family val="2"/>
    </font>
    <font>
      <b/>
      <sz val="10"/>
      <color rgb="FF548235"/>
      <name val="Calibri"/>
      <family val="2"/>
    </font>
    <font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sz val="9"/>
      <color rgb="FFFFFFFF"/>
      <name val="Calibri"/>
      <family val="2"/>
    </font>
    <font>
      <b/>
      <sz val="15"/>
      <color rgb="FF1F3864"/>
      <name val="Calibri"/>
      <family val="2"/>
    </font>
    <font>
      <b/>
      <sz val="15"/>
      <color rgb="FF1F6E6E"/>
      <name val="Calibri"/>
      <family val="2"/>
    </font>
    <font>
      <b/>
      <sz val="9"/>
      <color rgb="FF1F3864"/>
      <name val="Calibri"/>
      <family val="2"/>
    </font>
    <font>
      <b/>
      <sz val="8"/>
      <name val="Calibri"/>
      <family val="2"/>
    </font>
    <font>
      <b/>
      <i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theme="1"/>
      <name val="Trebuchet MS"/>
      <family val="2"/>
    </font>
    <font>
      <sz val="8"/>
      <color theme="1"/>
      <name val="Trebuchet MS"/>
      <family val="2"/>
    </font>
    <font>
      <sz val="8"/>
      <color theme="0"/>
      <name val="Trebuchet MS"/>
      <family val="2"/>
    </font>
    <font>
      <sz val="8"/>
      <name val="Trebuchet MS"/>
      <family val="2"/>
    </font>
    <font>
      <b/>
      <sz val="8"/>
      <color theme="0"/>
      <name val="Trebuchet MS"/>
      <family val="2"/>
    </font>
    <font>
      <b/>
      <sz val="8"/>
      <name val="Trebuchet MS"/>
      <family val="2"/>
    </font>
    <font>
      <sz val="8"/>
      <color rgb="FF548235"/>
      <name val="Trebuchet MS"/>
      <family val="2"/>
    </font>
    <font>
      <b/>
      <sz val="8"/>
      <color rgb="FF548235"/>
      <name val="Trebuchet MS"/>
      <family val="2"/>
    </font>
    <font>
      <sz val="8"/>
      <name val="Trebuchet MS"/>
      <family val="2"/>
    </font>
    <font>
      <b/>
      <sz val="16"/>
      <color rgb="FFFFFFFF"/>
      <name val="Calibri"/>
      <family val="2"/>
    </font>
    <font>
      <sz val="10"/>
      <name val="Calibri"/>
      <family val="2"/>
    </font>
    <font>
      <b/>
      <sz val="12"/>
      <color rgb="FF1F3864"/>
      <name val="Calibri"/>
      <family val="2"/>
    </font>
    <font>
      <sz val="10"/>
      <name val="Calibri"/>
      <family val="2"/>
    </font>
    <font>
      <b/>
      <sz val="9"/>
      <color rgb="FFFFFFFF"/>
      <name val="Calibri"/>
      <family val="2"/>
    </font>
    <font>
      <i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color rgb="FF9C5700"/>
      <name val="Trebuchet MS"/>
      <family val="2"/>
    </font>
    <font>
      <sz val="8"/>
      <color rgb="FF006100"/>
      <name val="Trebuchet MS"/>
      <family val="2"/>
    </font>
    <font>
      <b/>
      <sz val="8"/>
      <color rgb="FFFF0000"/>
      <name val="Trebuchet MS"/>
      <family val="2"/>
    </font>
    <font>
      <sz val="8"/>
      <name val="Calibri"/>
    </font>
    <font>
      <b/>
      <sz val="10"/>
      <name val="Calibri"/>
    </font>
    <font>
      <sz val="10"/>
      <name val="Calibri"/>
    </font>
    <font>
      <b/>
      <sz val="9"/>
      <color rgb="FFFFFFFF"/>
      <name val="Calibri"/>
    </font>
    <font>
      <b/>
      <sz val="13"/>
      <color rgb="FFFFFFFF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name val="Calibri"/>
    </font>
    <font>
      <sz val="9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F2F6FC"/>
      </patternFill>
    </fill>
    <fill>
      <patternFill patternType="solid">
        <fgColor rgb="FF8EAADB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4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8EAADB"/>
      </left>
      <right style="medium">
        <color rgb="FF8EAADB"/>
      </right>
      <top style="medium">
        <color rgb="FF8EAADB"/>
      </top>
      <bottom style="medium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medium">
        <color rgb="FF8EAADB"/>
      </top>
      <bottom style="medium">
        <color rgb="FF8EAADB"/>
      </bottom>
      <diagonal/>
    </border>
    <border>
      <left/>
      <right style="medium">
        <color rgb="FF8EAADB"/>
      </right>
      <top style="medium">
        <color rgb="FF8EAADB"/>
      </top>
      <bottom style="medium">
        <color rgb="FF8EAADB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4">
    <xf numFmtId="0" fontId="0" fillId="0" borderId="0"/>
    <xf numFmtId="44" fontId="40" fillId="0" borderId="0"/>
    <xf numFmtId="0" fontId="41" fillId="16" borderId="0"/>
    <xf numFmtId="0" fontId="42" fillId="15" borderId="0"/>
  </cellStyleXfs>
  <cellXfs count="196">
    <xf numFmtId="0" fontId="0" fillId="0" borderId="0" xfId="0"/>
    <xf numFmtId="0" fontId="32" fillId="2" borderId="0" xfId="0" applyFont="1" applyFill="1" applyAlignment="1">
      <alignment vertical="center"/>
    </xf>
    <xf numFmtId="0" fontId="33" fillId="0" borderId="0" xfId="0" applyFont="1" applyAlignment="1">
      <alignment vertical="top" wrapText="1"/>
    </xf>
    <xf numFmtId="0" fontId="34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20" fillId="0" borderId="2" xfId="0" applyNumberFormat="1" applyFont="1" applyBorder="1"/>
    <xf numFmtId="0" fontId="8" fillId="0" borderId="1" xfId="0" applyFont="1" applyBorder="1"/>
    <xf numFmtId="14" fontId="8" fillId="0" borderId="1" xfId="0" applyNumberFormat="1" applyFont="1" applyBorder="1"/>
    <xf numFmtId="165" fontId="8" fillId="0" borderId="1" xfId="0" applyNumberFormat="1" applyFont="1" applyBorder="1"/>
    <xf numFmtId="44" fontId="8" fillId="0" borderId="1" xfId="0" applyNumberFormat="1" applyFont="1" applyBorder="1"/>
    <xf numFmtId="0" fontId="23" fillId="0" borderId="0" xfId="0" applyFont="1" applyAlignment="1">
      <alignment vertical="center"/>
    </xf>
    <xf numFmtId="0" fontId="25" fillId="11" borderId="3" xfId="0" applyFont="1" applyFill="1" applyBorder="1" applyAlignment="1">
      <alignment vertical="center"/>
    </xf>
    <xf numFmtId="0" fontId="26" fillId="10" borderId="4" xfId="0" applyFont="1" applyFill="1" applyBorder="1" applyAlignment="1">
      <alignment vertical="center"/>
    </xf>
    <xf numFmtId="4" fontId="24" fillId="0" borderId="0" xfId="0" applyNumberFormat="1" applyFont="1" applyAlignment="1">
      <alignment vertical="center"/>
    </xf>
    <xf numFmtId="0" fontId="23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44" fontId="26" fillId="10" borderId="5" xfId="0" applyNumberFormat="1" applyFont="1" applyFill="1" applyBorder="1" applyAlignment="1">
      <alignment vertical="center"/>
    </xf>
    <xf numFmtId="0" fontId="24" fillId="0" borderId="8" xfId="0" applyFont="1" applyBorder="1" applyAlignment="1">
      <alignment vertical="center"/>
    </xf>
    <xf numFmtId="8" fontId="29" fillId="5" borderId="9" xfId="0" applyNumberFormat="1" applyFont="1" applyFill="1" applyBorder="1" applyAlignment="1">
      <alignment vertical="center"/>
    </xf>
    <xf numFmtId="0" fontId="26" fillId="0" borderId="8" xfId="0" applyFont="1" applyBorder="1" applyAlignment="1">
      <alignment vertical="center"/>
    </xf>
    <xf numFmtId="44" fontId="26" fillId="10" borderId="9" xfId="0" applyNumberFormat="1" applyFont="1" applyFill="1" applyBorder="1" applyAlignment="1">
      <alignment vertical="center"/>
    </xf>
    <xf numFmtId="0" fontId="26" fillId="0" borderId="10" xfId="0" applyFont="1" applyBorder="1" applyAlignment="1">
      <alignment vertical="center"/>
    </xf>
    <xf numFmtId="44" fontId="24" fillId="0" borderId="0" xfId="0" applyNumberFormat="1" applyFont="1" applyAlignment="1">
      <alignment vertical="center"/>
    </xf>
    <xf numFmtId="44" fontId="29" fillId="5" borderId="9" xfId="0" applyNumberFormat="1" applyFont="1" applyFill="1" applyBorder="1" applyAlignment="1">
      <alignment vertical="center"/>
    </xf>
    <xf numFmtId="0" fontId="24" fillId="0" borderId="11" xfId="0" applyFont="1" applyBorder="1" applyAlignment="1">
      <alignment vertical="center"/>
    </xf>
    <xf numFmtId="44" fontId="29" fillId="5" borderId="12" xfId="0" applyNumberFormat="1" applyFont="1" applyFill="1" applyBorder="1" applyAlignment="1">
      <alignment vertical="center"/>
    </xf>
    <xf numFmtId="0" fontId="23" fillId="0" borderId="13" xfId="0" applyFont="1" applyBorder="1" applyAlignment="1">
      <alignment vertical="center"/>
    </xf>
    <xf numFmtId="44" fontId="28" fillId="10" borderId="14" xfId="0" applyNumberFormat="1" applyFont="1" applyFill="1" applyBorder="1" applyAlignment="1">
      <alignment vertical="center"/>
    </xf>
    <xf numFmtId="0" fontId="28" fillId="0" borderId="8" xfId="0" applyFont="1" applyBorder="1" applyAlignment="1">
      <alignment vertical="center"/>
    </xf>
    <xf numFmtId="44" fontId="28" fillId="10" borderId="9" xfId="0" applyNumberFormat="1" applyFont="1" applyFill="1" applyBorder="1" applyAlignment="1">
      <alignment vertical="center"/>
    </xf>
    <xf numFmtId="0" fontId="28" fillId="0" borderId="10" xfId="0" applyFont="1" applyBorder="1" applyAlignment="1">
      <alignment vertical="center"/>
    </xf>
    <xf numFmtId="44" fontId="26" fillId="0" borderId="9" xfId="0" applyNumberFormat="1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14" fontId="27" fillId="12" borderId="0" xfId="0" applyNumberFormat="1" applyFont="1" applyFill="1" applyAlignment="1">
      <alignment vertical="center" wrapText="1"/>
    </xf>
    <xf numFmtId="8" fontId="27" fillId="12" borderId="0" xfId="0" applyNumberFormat="1" applyFont="1" applyFill="1" applyAlignment="1">
      <alignment vertical="center" wrapText="1"/>
    </xf>
    <xf numFmtId="44" fontId="27" fillId="12" borderId="0" xfId="0" applyNumberFormat="1" applyFont="1" applyFill="1" applyAlignment="1">
      <alignment vertical="center" wrapText="1"/>
    </xf>
    <xf numFmtId="0" fontId="24" fillId="0" borderId="0" xfId="0" applyFont="1" applyAlignment="1">
      <alignment horizontal="center" vertical="center"/>
    </xf>
    <xf numFmtId="14" fontId="27" fillId="12" borderId="3" xfId="0" applyNumberFormat="1" applyFont="1" applyFill="1" applyBorder="1" applyAlignment="1">
      <alignment vertical="center" wrapText="1"/>
    </xf>
    <xf numFmtId="14" fontId="29" fillId="5" borderId="3" xfId="0" applyNumberFormat="1" applyFont="1" applyFill="1" applyBorder="1" applyAlignment="1">
      <alignment vertical="center"/>
    </xf>
    <xf numFmtId="166" fontId="29" fillId="5" borderId="3" xfId="0" applyNumberFormat="1" applyFont="1" applyFill="1" applyBorder="1" applyAlignment="1">
      <alignment vertical="center"/>
    </xf>
    <xf numFmtId="166" fontId="29" fillId="5" borderId="3" xfId="0" applyNumberFormat="1" applyFont="1" applyFill="1" applyBorder="1" applyAlignment="1">
      <alignment horizontal="center" vertical="center"/>
    </xf>
    <xf numFmtId="44" fontId="30" fillId="5" borderId="3" xfId="0" applyNumberFormat="1" applyFont="1" applyFill="1" applyBorder="1" applyAlignment="1">
      <alignment vertical="center"/>
    </xf>
    <xf numFmtId="44" fontId="28" fillId="10" borderId="3" xfId="0" applyNumberFormat="1" applyFont="1" applyFill="1" applyBorder="1" applyAlignment="1">
      <alignment vertical="center"/>
    </xf>
    <xf numFmtId="0" fontId="23" fillId="0" borderId="0" xfId="0" applyFont="1" applyAlignment="1">
      <alignment vertical="center" wrapText="1"/>
    </xf>
    <xf numFmtId="0" fontId="27" fillId="12" borderId="19" xfId="0" applyFont="1" applyFill="1" applyBorder="1" applyAlignment="1">
      <alignment vertical="center" wrapText="1"/>
    </xf>
    <xf numFmtId="0" fontId="27" fillId="12" borderId="20" xfId="0" applyFont="1" applyFill="1" applyBorder="1" applyAlignment="1">
      <alignment vertical="center" wrapText="1"/>
    </xf>
    <xf numFmtId="0" fontId="27" fillId="12" borderId="21" xfId="0" applyFont="1" applyFill="1" applyBorder="1" applyAlignment="1">
      <alignment vertical="center" wrapText="1"/>
    </xf>
    <xf numFmtId="0" fontId="27" fillId="12" borderId="6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 vertical="center"/>
    </xf>
    <xf numFmtId="44" fontId="29" fillId="5" borderId="22" xfId="0" applyNumberFormat="1" applyFont="1" applyFill="1" applyBorder="1" applyAlignment="1">
      <alignment vertical="center"/>
    </xf>
    <xf numFmtId="44" fontId="29" fillId="5" borderId="0" xfId="0" applyNumberFormat="1" applyFont="1" applyFill="1" applyAlignment="1">
      <alignment vertical="center"/>
    </xf>
    <xf numFmtId="44" fontId="31" fillId="11" borderId="0" xfId="0" applyNumberFormat="1" applyFont="1" applyFill="1" applyAlignment="1">
      <alignment vertical="center"/>
    </xf>
    <xf numFmtId="9" fontId="26" fillId="10" borderId="0" xfId="0" applyNumberFormat="1" applyFont="1" applyFill="1" applyAlignment="1">
      <alignment vertical="center"/>
    </xf>
    <xf numFmtId="0" fontId="27" fillId="12" borderId="18" xfId="0" applyFont="1" applyFill="1" applyBorder="1" applyAlignment="1">
      <alignment vertical="center"/>
    </xf>
    <xf numFmtId="44" fontId="27" fillId="12" borderId="23" xfId="0" applyNumberFormat="1" applyFont="1" applyFill="1" applyBorder="1" applyAlignment="1">
      <alignment vertical="center"/>
    </xf>
    <xf numFmtId="9" fontId="27" fillId="12" borderId="23" xfId="0" applyNumberFormat="1" applyFont="1" applyFill="1" applyBorder="1" applyAlignment="1">
      <alignment vertical="center"/>
    </xf>
    <xf numFmtId="0" fontId="25" fillId="11" borderId="0" xfId="0" applyFont="1" applyFill="1" applyAlignment="1">
      <alignment horizontal="center" vertical="center"/>
    </xf>
    <xf numFmtId="42" fontId="26" fillId="10" borderId="22" xfId="0" applyNumberFormat="1" applyFont="1" applyFill="1" applyBorder="1" applyAlignment="1">
      <alignment vertical="center"/>
    </xf>
    <xf numFmtId="42" fontId="26" fillId="10" borderId="0" xfId="0" applyNumberFormat="1" applyFont="1" applyFill="1" applyAlignment="1">
      <alignment vertical="center"/>
    </xf>
    <xf numFmtId="42" fontId="26" fillId="10" borderId="5" xfId="0" applyNumberFormat="1" applyFont="1" applyFill="1" applyBorder="1" applyAlignment="1">
      <alignment vertical="center"/>
    </xf>
    <xf numFmtId="0" fontId="25" fillId="11" borderId="22" xfId="0" applyFont="1" applyFill="1" applyBorder="1" applyAlignment="1">
      <alignment horizontal="center" vertical="center"/>
    </xf>
    <xf numFmtId="0" fontId="27" fillId="12" borderId="24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35" fillId="0" borderId="0" xfId="0" applyFont="1" applyAlignment="1">
      <alignment vertical="top" wrapText="1"/>
    </xf>
    <xf numFmtId="0" fontId="37" fillId="0" borderId="0" xfId="0" applyFont="1"/>
    <xf numFmtId="0" fontId="12" fillId="0" borderId="1" xfId="0" applyFont="1" applyBorder="1" applyAlignment="1">
      <alignment horizontal="left" vertical="center"/>
    </xf>
    <xf numFmtId="44" fontId="2" fillId="0" borderId="1" xfId="0" applyNumberFormat="1" applyFont="1" applyBorder="1" applyAlignment="1">
      <alignment horizontal="center" vertical="center"/>
    </xf>
    <xf numFmtId="0" fontId="38" fillId="0" borderId="0" xfId="0" applyFont="1"/>
    <xf numFmtId="0" fontId="33" fillId="4" borderId="34" xfId="0" applyFont="1" applyFill="1" applyBorder="1" applyAlignment="1">
      <alignment horizontal="center"/>
    </xf>
    <xf numFmtId="43" fontId="0" fillId="0" borderId="0" xfId="0" applyNumberFormat="1"/>
    <xf numFmtId="14" fontId="0" fillId="0" borderId="0" xfId="0" applyNumberFormat="1"/>
    <xf numFmtId="167" fontId="0" fillId="0" borderId="0" xfId="0" applyNumberFormat="1"/>
    <xf numFmtId="0" fontId="6" fillId="13" borderId="35" xfId="0" applyFont="1" applyFill="1" applyBorder="1" applyAlignment="1">
      <alignment horizontal="center" vertical="center" wrapText="1"/>
    </xf>
    <xf numFmtId="0" fontId="33" fillId="14" borderId="35" xfId="0" applyFont="1" applyFill="1" applyBorder="1" applyAlignment="1">
      <alignment horizontal="center"/>
    </xf>
    <xf numFmtId="0" fontId="0" fillId="0" borderId="35" xfId="0" applyBorder="1"/>
    <xf numFmtId="43" fontId="0" fillId="14" borderId="35" xfId="0" applyNumberFormat="1" applyFill="1" applyBorder="1" applyAlignment="1">
      <alignment horizontal="center"/>
    </xf>
    <xf numFmtId="43" fontId="0" fillId="0" borderId="35" xfId="0" applyNumberFormat="1" applyBorder="1"/>
    <xf numFmtId="0" fontId="0" fillId="14" borderId="35" xfId="0" applyFill="1" applyBorder="1" applyAlignment="1">
      <alignment horizontal="center"/>
    </xf>
    <xf numFmtId="43" fontId="33" fillId="14" borderId="35" xfId="0" applyNumberFormat="1" applyFont="1" applyFill="1" applyBorder="1" applyAlignment="1">
      <alignment horizontal="center"/>
    </xf>
    <xf numFmtId="0" fontId="33" fillId="0" borderId="0" xfId="0" applyFont="1"/>
    <xf numFmtId="0" fontId="39" fillId="0" borderId="0" xfId="0" applyFont="1"/>
    <xf numFmtId="0" fontId="24" fillId="0" borderId="0" xfId="0" applyFont="1"/>
    <xf numFmtId="14" fontId="27" fillId="12" borderId="0" xfId="0" applyNumberFormat="1" applyFont="1" applyFill="1" applyAlignment="1">
      <alignment vertical="center"/>
    </xf>
    <xf numFmtId="44" fontId="27" fillId="12" borderId="0" xfId="1" applyFont="1" applyFill="1" applyAlignment="1">
      <alignment vertical="center" wrapText="1"/>
    </xf>
    <xf numFmtId="0" fontId="24" fillId="0" borderId="22" xfId="0" applyFont="1" applyBorder="1" applyAlignment="1">
      <alignment vertical="center"/>
    </xf>
    <xf numFmtId="8" fontId="43" fillId="15" borderId="5" xfId="3" applyNumberFormat="1" applyFont="1" applyBorder="1" applyAlignment="1">
      <alignment vertical="center"/>
    </xf>
    <xf numFmtId="0" fontId="26" fillId="0" borderId="0" xfId="0" applyFont="1" applyAlignment="1">
      <alignment vertical="center"/>
    </xf>
    <xf numFmtId="44" fontId="44" fillId="16" borderId="5" xfId="2" applyNumberFormat="1" applyFont="1" applyBorder="1" applyAlignment="1">
      <alignment vertical="center"/>
    </xf>
    <xf numFmtId="44" fontId="43" fillId="15" borderId="5" xfId="3" applyNumberFormat="1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44" fontId="43" fillId="0" borderId="5" xfId="3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27" fillId="12" borderId="22" xfId="0" applyFont="1" applyFill="1" applyBorder="1" applyAlignment="1">
      <alignment vertical="center" wrapText="1"/>
    </xf>
    <xf numFmtId="0" fontId="27" fillId="12" borderId="0" xfId="0" applyFont="1" applyFill="1" applyAlignment="1">
      <alignment vertical="center" wrapText="1"/>
    </xf>
    <xf numFmtId="0" fontId="27" fillId="12" borderId="5" xfId="0" applyFont="1" applyFill="1" applyBorder="1" applyAlignment="1">
      <alignment vertical="center" wrapText="1"/>
    </xf>
    <xf numFmtId="0" fontId="43" fillId="15" borderId="22" xfId="3" applyFont="1" applyBorder="1" applyAlignment="1">
      <alignment horizontal="center" vertical="center"/>
    </xf>
    <xf numFmtId="0" fontId="43" fillId="15" borderId="0" xfId="3" applyFont="1" applyAlignment="1">
      <alignment horizontal="center" vertical="center"/>
    </xf>
    <xf numFmtId="44" fontId="43" fillId="15" borderId="22" xfId="3" applyNumberFormat="1" applyFont="1" applyBorder="1" applyAlignment="1">
      <alignment vertical="center"/>
    </xf>
    <xf numFmtId="44" fontId="43" fillId="15" borderId="0" xfId="3" applyNumberFormat="1" applyFont="1" applyAlignment="1">
      <alignment vertical="center"/>
    </xf>
    <xf numFmtId="9" fontId="44" fillId="16" borderId="0" xfId="2" applyNumberFormat="1" applyFont="1" applyAlignment="1">
      <alignment horizontal="center" vertical="center"/>
    </xf>
    <xf numFmtId="42" fontId="44" fillId="16" borderId="22" xfId="2" applyNumberFormat="1" applyFont="1" applyBorder="1" applyAlignment="1">
      <alignment vertical="center"/>
    </xf>
    <xf numFmtId="42" fontId="44" fillId="16" borderId="0" xfId="2" applyNumberFormat="1" applyFont="1" applyAlignment="1">
      <alignment vertical="center"/>
    </xf>
    <xf numFmtId="42" fontId="44" fillId="16" borderId="5" xfId="2" applyNumberFormat="1" applyFont="1" applyBorder="1" applyAlignment="1">
      <alignment vertical="center"/>
    </xf>
    <xf numFmtId="44" fontId="27" fillId="12" borderId="23" xfId="1" applyFont="1" applyFill="1" applyBorder="1" applyAlignment="1">
      <alignment vertical="center"/>
    </xf>
    <xf numFmtId="0" fontId="23" fillId="0" borderId="0" xfId="0" quotePrefix="1" applyFont="1" applyAlignment="1">
      <alignment vertical="center"/>
    </xf>
    <xf numFmtId="0" fontId="43" fillId="15" borderId="0" xfId="3" applyFont="1" applyAlignment="1">
      <alignment vertical="center"/>
    </xf>
    <xf numFmtId="0" fontId="44" fillId="16" borderId="0" xfId="2" applyFont="1" applyAlignment="1">
      <alignment vertical="center"/>
    </xf>
    <xf numFmtId="0" fontId="47" fillId="0" borderId="0" xfId="0" applyFont="1"/>
    <xf numFmtId="0" fontId="48" fillId="4" borderId="37" xfId="0" applyFont="1" applyFill="1" applyBorder="1" applyAlignment="1">
      <alignment horizontal="center"/>
    </xf>
    <xf numFmtId="0" fontId="49" fillId="2" borderId="37" xfId="0" applyFont="1" applyFill="1" applyBorder="1" applyAlignment="1">
      <alignment horizontal="center" wrapText="1"/>
    </xf>
    <xf numFmtId="170" fontId="8" fillId="0" borderId="1" xfId="0" applyNumberFormat="1" applyFont="1" applyBorder="1" applyAlignment="1">
      <alignment horizontal="center" vertical="center"/>
    </xf>
    <xf numFmtId="170" fontId="8" fillId="4" borderId="1" xfId="0" applyNumberFormat="1" applyFont="1" applyFill="1" applyBorder="1" applyAlignment="1">
      <alignment horizontal="center" vertical="center"/>
    </xf>
    <xf numFmtId="168" fontId="46" fillId="0" borderId="38" xfId="0" applyNumberFormat="1" applyFont="1" applyBorder="1"/>
    <xf numFmtId="169" fontId="46" fillId="0" borderId="38" xfId="0" applyNumberFormat="1" applyFont="1" applyBorder="1"/>
    <xf numFmtId="0" fontId="50" fillId="2" borderId="0" xfId="0" applyFont="1" applyFill="1"/>
    <xf numFmtId="0" fontId="0" fillId="2" borderId="0" xfId="0" applyFill="1"/>
    <xf numFmtId="0" fontId="51" fillId="0" borderId="0" xfId="0" applyFont="1"/>
    <xf numFmtId="0" fontId="52" fillId="3" borderId="39" xfId="0" applyFont="1" applyFill="1" applyBorder="1" applyAlignment="1">
      <alignment horizontal="center" wrapText="1"/>
    </xf>
    <xf numFmtId="0" fontId="53" fillId="0" borderId="39" xfId="0" applyFont="1" applyBorder="1"/>
    <xf numFmtId="0" fontId="54" fillId="0" borderId="39" xfId="0" applyFont="1" applyBorder="1"/>
    <xf numFmtId="170" fontId="0" fillId="0" borderId="39" xfId="0" applyNumberFormat="1" applyBorder="1"/>
    <xf numFmtId="165" fontId="0" fillId="0" borderId="39" xfId="0" applyNumberFormat="1" applyBorder="1"/>
    <xf numFmtId="14" fontId="27" fillId="12" borderId="6" xfId="0" applyNumberFormat="1" applyFont="1" applyFill="1" applyBorder="1" applyAlignment="1">
      <alignment horizontal="center" vertical="center" wrapText="1"/>
    </xf>
    <xf numFmtId="0" fontId="0" fillId="0" borderId="7" xfId="0" applyBorder="1"/>
    <xf numFmtId="44" fontId="28" fillId="10" borderId="9" xfId="0" applyNumberFormat="1" applyFont="1" applyFill="1" applyBorder="1" applyAlignment="1">
      <alignment horizontal="center" vertical="center"/>
    </xf>
    <xf numFmtId="0" fontId="0" fillId="0" borderId="14" xfId="0" applyBorder="1"/>
    <xf numFmtId="0" fontId="26" fillId="0" borderId="8" xfId="0" applyFont="1" applyBorder="1" applyAlignment="1">
      <alignment horizontal="left" vertical="center"/>
    </xf>
    <xf numFmtId="0" fontId="0" fillId="0" borderId="13" xfId="0" applyBorder="1"/>
    <xf numFmtId="44" fontId="26" fillId="10" borderId="9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0" fillId="0" borderId="0" xfId="0"/>
    <xf numFmtId="14" fontId="27" fillId="12" borderId="16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27" fillId="12" borderId="18" xfId="0" applyFont="1" applyFill="1" applyBorder="1" applyAlignment="1">
      <alignment horizontal="center" vertical="center" wrapText="1"/>
    </xf>
    <xf numFmtId="0" fontId="0" fillId="0" borderId="18" xfId="0" applyBorder="1"/>
    <xf numFmtId="0" fontId="23" fillId="0" borderId="10" xfId="0" applyFont="1" applyBorder="1" applyAlignment="1">
      <alignment horizontal="left" vertical="center" wrapText="1"/>
    </xf>
    <xf numFmtId="0" fontId="0" fillId="0" borderId="15" xfId="0" applyBorder="1"/>
    <xf numFmtId="0" fontId="27" fillId="12" borderId="18" xfId="0" applyFont="1" applyFill="1" applyBorder="1" applyAlignment="1">
      <alignment horizontal="center" vertical="center"/>
    </xf>
    <xf numFmtId="0" fontId="12" fillId="0" borderId="37" xfId="0" applyFont="1" applyBorder="1" applyAlignment="1">
      <alignment horizontal="left" vertical="center"/>
    </xf>
    <xf numFmtId="0" fontId="0" fillId="0" borderId="27" xfId="0" applyBorder="1"/>
    <xf numFmtId="0" fontId="0" fillId="0" borderId="28" xfId="0" applyBorder="1"/>
    <xf numFmtId="44" fontId="2" fillId="0" borderId="37" xfId="0" applyNumberFormat="1" applyFont="1" applyBorder="1" applyAlignment="1">
      <alignment horizontal="center" vertical="center"/>
    </xf>
    <xf numFmtId="44" fontId="2" fillId="4" borderId="37" xfId="0" applyNumberFormat="1" applyFont="1" applyFill="1" applyBorder="1" applyAlignment="1">
      <alignment horizontal="center" vertical="center"/>
    </xf>
    <xf numFmtId="0" fontId="19" fillId="9" borderId="37" xfId="0" applyFont="1" applyFill="1" applyBorder="1" applyAlignment="1">
      <alignment horizontal="center" vertical="center" wrapText="1"/>
    </xf>
    <xf numFmtId="0" fontId="11" fillId="3" borderId="37" xfId="0" applyFont="1" applyFill="1" applyBorder="1" applyAlignment="1">
      <alignment horizontal="left" vertical="center"/>
    </xf>
    <xf numFmtId="0" fontId="14" fillId="4" borderId="37" xfId="0" applyFont="1" applyFill="1" applyBorder="1" applyAlignment="1">
      <alignment horizontal="left" vertical="center" wrapText="1"/>
    </xf>
    <xf numFmtId="0" fontId="0" fillId="0" borderId="25" xfId="0" applyBorder="1"/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6" fillId="3" borderId="37" xfId="0" applyFont="1" applyFill="1" applyBorder="1" applyAlignment="1">
      <alignment horizontal="center" vertical="center" wrapText="1"/>
    </xf>
    <xf numFmtId="166" fontId="2" fillId="4" borderId="37" xfId="0" applyNumberFormat="1" applyFont="1" applyFill="1" applyBorder="1" applyAlignment="1">
      <alignment horizontal="center" vertical="center"/>
    </xf>
    <xf numFmtId="44" fontId="18" fillId="8" borderId="37" xfId="0" applyNumberFormat="1" applyFont="1" applyFill="1" applyBorder="1" applyAlignment="1">
      <alignment horizontal="center" vertical="center"/>
    </xf>
    <xf numFmtId="44" fontId="2" fillId="6" borderId="2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4" fontId="17" fillId="8" borderId="37" xfId="0" applyNumberFormat="1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44" fontId="13" fillId="5" borderId="37" xfId="0" applyNumberFormat="1" applyFont="1" applyFill="1" applyBorder="1" applyAlignment="1">
      <alignment horizontal="center" vertical="center"/>
    </xf>
    <xf numFmtId="0" fontId="15" fillId="4" borderId="37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7" fontId="18" fillId="8" borderId="37" xfId="0" applyNumberFormat="1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4" fontId="2" fillId="4" borderId="37" xfId="0" applyNumberFormat="1" applyFont="1" applyFill="1" applyBorder="1" applyAlignment="1">
      <alignment horizontal="center" vertical="center"/>
    </xf>
    <xf numFmtId="165" fontId="13" fillId="5" borderId="37" xfId="0" applyNumberFormat="1" applyFont="1" applyFill="1" applyBorder="1" applyAlignment="1">
      <alignment horizontal="center" vertical="center"/>
    </xf>
    <xf numFmtId="164" fontId="17" fillId="8" borderId="37" xfId="0" applyNumberFormat="1" applyFont="1" applyFill="1" applyBorder="1" applyAlignment="1">
      <alignment horizontal="center" vertical="center"/>
    </xf>
    <xf numFmtId="0" fontId="13" fillId="5" borderId="3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44" fontId="17" fillId="6" borderId="37" xfId="0" applyNumberFormat="1" applyFont="1" applyFill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165" fontId="2" fillId="4" borderId="37" xfId="0" applyNumberFormat="1" applyFont="1" applyFill="1" applyBorder="1" applyAlignment="1">
      <alignment horizontal="center" vertical="center"/>
    </xf>
    <xf numFmtId="0" fontId="36" fillId="3" borderId="37" xfId="0" applyFont="1" applyFill="1" applyBorder="1" applyAlignment="1">
      <alignment horizontal="center" vertical="center" wrapText="1"/>
    </xf>
    <xf numFmtId="44" fontId="22" fillId="6" borderId="2" xfId="0" applyNumberFormat="1" applyFont="1" applyFill="1" applyBorder="1" applyAlignment="1">
      <alignment horizontal="center" vertical="center"/>
    </xf>
    <xf numFmtId="14" fontId="13" fillId="5" borderId="37" xfId="0" applyNumberFormat="1" applyFont="1" applyFill="1" applyBorder="1" applyAlignment="1">
      <alignment horizontal="center" vertical="center"/>
    </xf>
    <xf numFmtId="166" fontId="13" fillId="5" borderId="37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1" fillId="0" borderId="37" xfId="0" applyFont="1" applyBorder="1" applyAlignment="1">
      <alignment horizontal="center" vertical="center"/>
    </xf>
    <xf numFmtId="165" fontId="2" fillId="0" borderId="37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27" fillId="12" borderId="36" xfId="0" applyNumberFormat="1" applyFont="1" applyFill="1" applyBorder="1" applyAlignment="1">
      <alignment vertical="center" wrapText="1"/>
    </xf>
    <xf numFmtId="0" fontId="0" fillId="0" borderId="21" xfId="0" applyBorder="1"/>
    <xf numFmtId="0" fontId="27" fillId="12" borderId="36" xfId="0" applyFont="1" applyFill="1" applyBorder="1" applyAlignment="1">
      <alignment horizontal="center" vertical="center" wrapText="1"/>
    </xf>
    <xf numFmtId="0" fontId="0" fillId="0" borderId="20" xfId="0" applyBorder="1"/>
    <xf numFmtId="0" fontId="27" fillId="12" borderId="36" xfId="0" applyFont="1" applyFill="1" applyBorder="1" applyAlignment="1">
      <alignment horizontal="center" vertical="center"/>
    </xf>
    <xf numFmtId="14" fontId="27" fillId="12" borderId="36" xfId="0" applyNumberFormat="1" applyFont="1" applyFill="1" applyBorder="1" applyAlignment="1">
      <alignment vertical="center"/>
    </xf>
    <xf numFmtId="0" fontId="6" fillId="13" borderId="37" xfId="0" applyFont="1" applyFill="1" applyBorder="1" applyAlignment="1">
      <alignment horizontal="center" vertical="center" wrapText="1"/>
    </xf>
  </cellXfs>
  <cellStyles count="4">
    <cellStyle name="Currency" xfId="1" builtinId="4"/>
    <cellStyle name="Good" xfId="2" builtinId="26"/>
    <cellStyle name="Neutral" xfId="3" builtinId="28"/>
    <cellStyle name="Normal" xfId="0" builtinId="0"/>
  </cellStyles>
  <dxfs count="2">
    <dxf>
      <font>
        <b/>
        <sz val="15"/>
        <color rgb="FF006100"/>
        <name val="Calibri"/>
      </font>
      <fill>
        <patternFill patternType="solid">
          <fgColor rgb="FFC6EFCE"/>
        </patternFill>
      </fill>
    </dxf>
    <dxf>
      <font>
        <b/>
        <sz val="15"/>
        <color rgb="FF9C0006"/>
        <name val="Calibri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Interés devengado por escenario (€)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'Comparativa Tipos'!$B$5:$B$8</c:f>
              <c:strCache>
                <c:ptCount val="4"/>
                <c:pt idx="0">
                  <c:v>Fijo — CONSUMIDOR</c:v>
                </c:pt>
                <c:pt idx="1">
                  <c:v>Fijo — NO consumidor</c:v>
                </c:pt>
                <c:pt idx="2">
                  <c:v>Variable</c:v>
                </c:pt>
                <c:pt idx="3">
                  <c:v>Variable +3%</c:v>
                </c:pt>
              </c:strCache>
            </c:strRef>
          </c:cat>
          <c:val>
            <c:numRef>
              <c:f>'Comparativa Tipos'!$D$5:$D$8</c:f>
              <c:numCache>
                <c:formatCode>#,##0.00\ "€"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E-40F7-ADD1-7CFE6FBEAE7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\ &quot;€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Evolución del tipo aplicado (%)</a:t>
            </a:r>
          </a:p>
        </c:rich>
      </c:tx>
      <c:layout>
        <c:manualLayout>
          <c:xMode val="edge"/>
          <c:yMode val="edge"/>
          <c:x val="0.23466666666666669"/>
          <c:y val="7.1779099180012421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'Cálculo Intereses'!$N$4</c:f>
              <c:strCache>
                <c:ptCount val="1"/>
                <c:pt idx="0">
                  <c:v>Tipo aplicado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'Cálculo Intereses'!$H$5:$H$154</c:f>
              <c:strCache>
                <c:ptCount val="17"/>
                <c:pt idx="0">
                  <c:v>23/08/2012</c:v>
                </c:pt>
                <c:pt idx="1">
                  <c:v>15/12/2012</c:v>
                </c:pt>
                <c:pt idx="2">
                  <c:v>15/12/2013</c:v>
                </c:pt>
                <c:pt idx="3">
                  <c:v>15/12/2014</c:v>
                </c:pt>
                <c:pt idx="4">
                  <c:v>15/12/2015</c:v>
                </c:pt>
                <c:pt idx="5">
                  <c:v>15/12/2016</c:v>
                </c:pt>
                <c:pt idx="6">
                  <c:v>15/12/2017</c:v>
                </c:pt>
                <c:pt idx="7">
                  <c:v>15/12/2018</c:v>
                </c:pt>
                <c:pt idx="8">
                  <c:v>15/12/2019</c:v>
                </c:pt>
                <c:pt idx="9">
                  <c:v>15/12/2020</c:v>
                </c:pt>
                <c:pt idx="10">
                  <c:v>15/12/2021</c:v>
                </c:pt>
                <c:pt idx="11">
                  <c:v>15/12/2022</c:v>
                </c:pt>
                <c:pt idx="12">
                  <c:v>15/12/2023</c:v>
                </c:pt>
                <c:pt idx="13">
                  <c:v>15/12/2024</c:v>
                </c:pt>
                <c:pt idx="14">
                  <c:v>15/12/2025</c:v>
                </c:pt>
                <c:pt idx="15">
                  <c:v>15/12/2026</c:v>
                </c:pt>
                <c:pt idx="16">
                  <c:v>15/12/2027</c:v>
                </c:pt>
              </c:strCache>
            </c:strRef>
          </c:cat>
          <c:val>
            <c:numRef>
              <c:f>'Cálculo Intereses'!$N$5:$N$154</c:f>
              <c:numCache>
                <c:formatCode>0.000"%"</c:formatCode>
                <c:ptCount val="150"/>
                <c:pt idx="0">
                  <c:v>0</c:v>
                </c:pt>
                <c:pt idx="1">
                  <c:v>0.58799999999999997</c:v>
                </c:pt>
                <c:pt idx="2">
                  <c:v>0.50600000000000001</c:v>
                </c:pt>
                <c:pt idx="3">
                  <c:v>0.33500000000000002</c:v>
                </c:pt>
                <c:pt idx="4">
                  <c:v>7.9000000000000001E-2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2.8279999999999998</c:v>
                </c:pt>
                <c:pt idx="12">
                  <c:v>4.0220000000000002</c:v>
                </c:pt>
                <c:pt idx="13">
                  <c:v>2.5059999999999998</c:v>
                </c:pt>
                <c:pt idx="14">
                  <c:v>2.2170000000000001</c:v>
                </c:pt>
                <c:pt idx="15">
                  <c:v>2.798</c:v>
                </c:pt>
                <c:pt idx="16">
                  <c:v>2.798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94-4E0D-B744-3D899350E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0.00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24</xdr:row>
      <xdr:rowOff>64214</xdr:rowOff>
    </xdr:from>
    <xdr:ext cx="3360506" cy="21618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AE60"/>
  <sheetViews>
    <sheetView tabSelected="1" zoomScale="65" zoomScaleNormal="85" workbookViewId="0">
      <pane xSplit="4" ySplit="7" topLeftCell="E18" activePane="bottomRight" state="frozen"/>
      <selection pane="topRight"/>
      <selection pane="bottomLeft"/>
      <selection pane="bottomRight" activeCell="M30" sqref="M30"/>
    </sheetView>
  </sheetViews>
  <sheetFormatPr defaultRowHeight="14.5" x14ac:dyDescent="0.35"/>
  <cols>
    <col min="1" max="1" width="13" customWidth="1"/>
    <col min="2" max="3" width="10" customWidth="1"/>
    <col min="4" max="4" width="12" customWidth="1"/>
    <col min="5" max="5" width="9" customWidth="1"/>
    <col min="6" max="6" width="10.1796875" bestFit="1" customWidth="1"/>
    <col min="7" max="8" width="9" customWidth="1"/>
    <col min="9" max="9" width="11" customWidth="1"/>
    <col min="10" max="10" width="11.54296875" customWidth="1"/>
    <col min="11" max="11" width="11" customWidth="1"/>
    <col min="12" max="12" width="12" customWidth="1"/>
    <col min="13" max="13" width="21" customWidth="1"/>
    <col min="14" max="14" width="4.7265625" bestFit="1" customWidth="1"/>
    <col min="15" max="18" width="11" customWidth="1"/>
    <col min="19" max="19" width="13" customWidth="1"/>
    <col min="20" max="20" width="12" customWidth="1"/>
    <col min="21" max="21" width="13" customWidth="1"/>
    <col min="22" max="22" width="15.54296875" customWidth="1"/>
    <col min="23" max="23" width="12" customWidth="1"/>
    <col min="24" max="24" width="13" customWidth="1"/>
    <col min="25" max="25" width="12" customWidth="1"/>
    <col min="26" max="26" width="16" customWidth="1"/>
    <col min="27" max="27" width="18" customWidth="1"/>
    <col min="28" max="28" width="14" customWidth="1"/>
    <col min="29" max="30" width="18" customWidth="1"/>
    <col min="31" max="31" width="15" customWidth="1"/>
  </cols>
  <sheetData>
    <row r="1" spans="1:31" ht="26.15" customHeight="1" x14ac:dyDescent="0.35">
      <c r="A1" s="176" t="s">
        <v>41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</row>
    <row r="2" spans="1:31" x14ac:dyDescent="0.35">
      <c r="A2" s="169" t="s">
        <v>42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</row>
    <row r="4" spans="1:31" ht="19" customHeight="1" x14ac:dyDescent="0.35">
      <c r="A4" s="152" t="s">
        <v>43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8"/>
    </row>
    <row r="5" spans="1:31" x14ac:dyDescent="0.35">
      <c r="A5" s="159" t="s">
        <v>44</v>
      </c>
      <c r="B5" s="147"/>
      <c r="C5" s="147"/>
      <c r="D5" s="147"/>
      <c r="E5" s="148"/>
      <c r="F5" s="159" t="s">
        <v>45</v>
      </c>
      <c r="G5" s="147"/>
      <c r="H5" s="147"/>
      <c r="I5" s="147"/>
      <c r="J5" s="148"/>
      <c r="K5" s="159" t="s">
        <v>46</v>
      </c>
      <c r="L5" s="147"/>
      <c r="M5" s="147"/>
      <c r="N5" s="147"/>
      <c r="O5" s="148"/>
      <c r="P5" s="159" t="s">
        <v>47</v>
      </c>
      <c r="Q5" s="147"/>
      <c r="R5" s="147"/>
      <c r="S5" s="147"/>
      <c r="T5" s="148"/>
      <c r="U5" s="180" t="s">
        <v>48</v>
      </c>
      <c r="V5" s="147"/>
      <c r="W5" s="147"/>
      <c r="X5" s="147"/>
      <c r="Y5" s="148"/>
      <c r="Z5" s="159" t="s">
        <v>49</v>
      </c>
      <c r="AA5" s="147"/>
      <c r="AB5" s="147"/>
      <c r="AC5" s="147"/>
      <c r="AD5" s="147"/>
      <c r="AE5" s="148"/>
    </row>
    <row r="6" spans="1:31" ht="22" customHeight="1" x14ac:dyDescent="0.35">
      <c r="A6" s="177">
        <f>$K$13</f>
      </c>
      <c r="B6" s="154"/>
      <c r="C6" s="154"/>
      <c r="D6" s="154"/>
      <c r="E6" s="155"/>
      <c r="F6" s="161">
        <f>$K$11</f>
      </c>
      <c r="G6" s="154"/>
      <c r="H6" s="154"/>
      <c r="I6" s="154"/>
      <c r="J6" s="155"/>
      <c r="K6" s="177">
        <f>$K$16</f>
      </c>
      <c r="L6" s="154"/>
      <c r="M6" s="154"/>
      <c r="N6" s="154"/>
      <c r="O6" s="155"/>
      <c r="P6" s="165">
        <f>V60</f>
      </c>
      <c r="Q6" s="154"/>
      <c r="R6" s="154"/>
      <c r="S6" s="154"/>
      <c r="T6" s="155"/>
      <c r="U6" s="174">
        <f>W60</f>
      </c>
      <c r="V6" s="154"/>
      <c r="W6" s="154"/>
      <c r="X6" s="154"/>
      <c r="Y6" s="155"/>
      <c r="Z6" s="170">
        <f>IFERROR(V60/$K$16,0)</f>
      </c>
      <c r="AA6" s="154"/>
      <c r="AB6" s="154"/>
      <c r="AC6" s="154"/>
      <c r="AD6" s="154"/>
      <c r="AE6" s="155"/>
    </row>
    <row r="7" spans="1:31" ht="14.15" customHeight="1" x14ac:dyDescent="0.35">
      <c r="A7" s="156"/>
      <c r="B7" s="157"/>
      <c r="C7" s="157"/>
      <c r="D7" s="157"/>
      <c r="E7" s="158"/>
      <c r="F7" s="156"/>
      <c r="G7" s="157"/>
      <c r="H7" s="157"/>
      <c r="I7" s="157"/>
      <c r="J7" s="158"/>
      <c r="K7" s="156"/>
      <c r="L7" s="157"/>
      <c r="M7" s="157"/>
      <c r="N7" s="157"/>
      <c r="O7" s="158"/>
      <c r="P7" s="156"/>
      <c r="Q7" s="157"/>
      <c r="R7" s="157"/>
      <c r="S7" s="157"/>
      <c r="T7" s="158"/>
      <c r="U7" s="156"/>
      <c r="V7" s="157"/>
      <c r="W7" s="157"/>
      <c r="X7" s="157"/>
      <c r="Y7" s="158"/>
      <c r="Z7" s="156"/>
      <c r="AA7" s="157"/>
      <c r="AB7" s="157"/>
      <c r="AC7" s="157"/>
      <c r="AD7" s="157"/>
      <c r="AE7" s="158"/>
    </row>
    <row r="8" spans="1:31" x14ac:dyDescent="0.35">
      <c r="A8" s="74" t="s">
        <v>50</v>
      </c>
      <c r="D8" s="75"/>
      <c r="H8" s="115" t="s">
        <v>52</v>
      </c>
      <c r="K8" s="116"/>
      <c r="O8" s="115" t="s">
        <v>53</v>
      </c>
      <c r="R8" s="116"/>
      <c r="V8" s="115" t="s">
        <v>54</v>
      </c>
      <c r="Y8" s="116"/>
    </row>
    <row r="9" spans="1:31" ht="19" customHeight="1" x14ac:dyDescent="0.35">
      <c r="A9" s="152" t="s">
        <v>55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8"/>
      <c r="O9" s="152" t="s">
        <v>56</v>
      </c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8"/>
    </row>
    <row r="10" spans="1:31" x14ac:dyDescent="0.35">
      <c r="A10" s="146" t="s">
        <v>57</v>
      </c>
      <c r="B10" s="147"/>
      <c r="C10" s="148"/>
      <c r="D10" s="150"/>
      <c r="E10" s="147"/>
      <c r="F10" s="148"/>
      <c r="H10" s="146" t="s">
        <v>58</v>
      </c>
      <c r="I10" s="147"/>
      <c r="J10" s="148"/>
      <c r="K10" s="149">
        <f>SUM($D$10:$D$13)</f>
      </c>
      <c r="L10" s="147"/>
      <c r="M10" s="148"/>
      <c r="O10" s="146" t="s">
        <v>59</v>
      </c>
      <c r="P10" s="147"/>
      <c r="Q10" s="148"/>
      <c r="R10" s="178" t="s">
        <v>60</v>
      </c>
      <c r="S10" s="147"/>
      <c r="T10" s="148"/>
      <c r="V10" s="146" t="s">
        <v>61</v>
      </c>
      <c r="W10" s="147"/>
      <c r="X10" s="148"/>
      <c r="Y10" s="150"/>
      <c r="Z10" s="147"/>
      <c r="AA10" s="148"/>
    </row>
    <row r="11" spans="1:31" x14ac:dyDescent="0.35">
      <c r="A11" s="146" t="s">
        <v>62</v>
      </c>
      <c r="B11" s="147"/>
      <c r="C11" s="148"/>
      <c r="D11" s="150"/>
      <c r="E11" s="147"/>
      <c r="F11" s="148"/>
      <c r="H11" s="146" t="s">
        <v>63</v>
      </c>
      <c r="I11" s="147"/>
      <c r="J11" s="148"/>
      <c r="K11" s="167">
        <f>'Cálculo Intereses'!$D$21</f>
      </c>
      <c r="L11" s="147"/>
      <c r="M11" s="148"/>
      <c r="O11" s="146" t="s">
        <v>64</v>
      </c>
      <c r="P11" s="147"/>
      <c r="Q11" s="148"/>
      <c r="R11" s="150"/>
      <c r="S11" s="147"/>
      <c r="T11" s="148"/>
      <c r="V11" s="146" t="s">
        <v>65</v>
      </c>
      <c r="W11" s="147"/>
      <c r="X11" s="148"/>
      <c r="Y11" s="149">
        <f>IF($Y$10+$R$11=0,$K$10,$Y$10+$R$11)</f>
      </c>
      <c r="Z11" s="147"/>
      <c r="AA11" s="148"/>
    </row>
    <row r="12" spans="1:31" x14ac:dyDescent="0.35">
      <c r="A12" s="146" t="s">
        <v>66</v>
      </c>
      <c r="B12" s="147"/>
      <c r="C12" s="148"/>
      <c r="D12" s="150"/>
      <c r="E12" s="147"/>
      <c r="F12" s="148"/>
      <c r="H12" s="146" t="s">
        <v>67</v>
      </c>
      <c r="I12" s="147"/>
      <c r="J12" s="148"/>
      <c r="K12" s="149">
        <f>IF($D$17=0,$D$14,MIN(($K$10*0.05),IF($D$14&gt;0,$D$14,$K$10*0.05)))</f>
      </c>
      <c r="L12" s="147"/>
      <c r="M12" s="148"/>
      <c r="O12" s="146" t="s">
        <v>68</v>
      </c>
      <c r="P12" s="147"/>
      <c r="Q12" s="148"/>
      <c r="R12" s="153"/>
      <c r="S12" s="154"/>
      <c r="T12" s="154"/>
      <c r="U12" s="154"/>
      <c r="V12" s="154"/>
      <c r="W12" s="154"/>
      <c r="X12" s="154"/>
      <c r="Y12" s="154"/>
      <c r="Z12" s="154"/>
      <c r="AA12" s="155"/>
    </row>
    <row r="13" spans="1:31" x14ac:dyDescent="0.35">
      <c r="A13" s="146" t="s">
        <v>70</v>
      </c>
      <c r="B13" s="147"/>
      <c r="C13" s="148"/>
      <c r="D13" s="150"/>
      <c r="E13" s="147"/>
      <c r="F13" s="148"/>
      <c r="H13" s="146" t="s">
        <v>71</v>
      </c>
      <c r="I13" s="147"/>
      <c r="J13" s="148"/>
      <c r="K13" s="162">
        <f>$K$10+$K$11+IF($D$17&gt;0,$K$12,$D$14)</f>
      </c>
      <c r="L13" s="163"/>
      <c r="M13" s="164"/>
      <c r="R13" s="156"/>
      <c r="S13" s="157"/>
      <c r="T13" s="157"/>
      <c r="U13" s="157"/>
      <c r="V13" s="157"/>
      <c r="W13" s="157"/>
      <c r="X13" s="157"/>
      <c r="Y13" s="157"/>
      <c r="Z13" s="157"/>
      <c r="AA13" s="158"/>
    </row>
    <row r="14" spans="1:31" x14ac:dyDescent="0.35">
      <c r="A14" s="146" t="s">
        <v>72</v>
      </c>
      <c r="B14" s="147"/>
      <c r="C14" s="148"/>
      <c r="D14" s="150"/>
      <c r="E14" s="147"/>
      <c r="F14" s="148"/>
      <c r="H14" s="146" t="s">
        <v>73</v>
      </c>
      <c r="I14" s="147"/>
      <c r="J14" s="148"/>
      <c r="K14" s="150"/>
      <c r="L14" s="147"/>
      <c r="M14" s="148"/>
    </row>
    <row r="15" spans="1:31" ht="19" customHeight="1" x14ac:dyDescent="0.35">
      <c r="A15" s="146" t="s">
        <v>74</v>
      </c>
      <c r="B15" s="147"/>
      <c r="C15" s="148"/>
      <c r="D15" s="172"/>
      <c r="E15" s="147"/>
      <c r="F15" s="148"/>
      <c r="H15" s="146" t="s">
        <v>75</v>
      </c>
      <c r="I15" s="147"/>
      <c r="J15" s="148"/>
      <c r="K15" s="150"/>
      <c r="L15" s="147"/>
      <c r="M15" s="148"/>
      <c r="O15" s="152" t="s">
        <v>76</v>
      </c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8"/>
    </row>
    <row r="16" spans="1:31" x14ac:dyDescent="0.35">
      <c r="A16" s="146" t="s">
        <v>77</v>
      </c>
      <c r="B16" s="147"/>
      <c r="C16" s="148"/>
      <c r="D16" s="172"/>
      <c r="E16" s="147"/>
      <c r="F16" s="148"/>
      <c r="H16" s="146" t="s">
        <v>78</v>
      </c>
      <c r="I16" s="147"/>
      <c r="J16" s="148"/>
      <c r="K16" s="162">
        <f>$K$13+$K$14+$K$15</f>
      </c>
      <c r="L16" s="163"/>
      <c r="M16" s="164"/>
      <c r="O16" s="146" t="s">
        <v>79</v>
      </c>
      <c r="P16" s="147"/>
      <c r="Q16" s="148"/>
      <c r="R16" s="171">
        <f>IF(AND(ISNUMBER($D$16),ISNUMBER($D$15)),$D$16-$D$15,0)</f>
      </c>
      <c r="S16" s="147"/>
      <c r="T16" s="148"/>
      <c r="V16" s="146" t="s">
        <v>80</v>
      </c>
      <c r="W16" s="147"/>
      <c r="X16" s="148"/>
      <c r="Y16" s="175">
        <f>'Cálculo Intereses'!$D$23</f>
      </c>
      <c r="Z16" s="147"/>
      <c r="AA16" s="148"/>
    </row>
    <row r="17" spans="1:31" x14ac:dyDescent="0.35">
      <c r="A17" s="146" t="s">
        <v>81</v>
      </c>
      <c r="B17" s="147"/>
      <c r="C17" s="148"/>
      <c r="D17" s="171">
        <f>COUNTIF(B30:B59,"Y")</f>
      </c>
      <c r="E17" s="147"/>
      <c r="F17" s="148"/>
      <c r="H17" s="146" t="s">
        <v>82</v>
      </c>
      <c r="I17" s="147"/>
      <c r="J17" s="148"/>
      <c r="K17" s="149">
        <f>W30</f>
      </c>
      <c r="L17" s="147"/>
      <c r="M17" s="148"/>
      <c r="O17" s="146" t="s">
        <v>83</v>
      </c>
      <c r="P17" s="147"/>
      <c r="Q17" s="148"/>
      <c r="R17" s="173">
        <f>'Cálculo Intereses'!$D$24</f>
      </c>
      <c r="S17" s="147"/>
      <c r="T17" s="148"/>
      <c r="V17" s="146" t="s">
        <v>84</v>
      </c>
      <c r="W17" s="147"/>
      <c r="X17" s="148"/>
      <c r="Y17" s="175" t="str">
        <f>'Cálculo Intereses'!$D$18</f>
      </c>
      <c r="Z17" s="147"/>
      <c r="AA17" s="148"/>
    </row>
    <row r="19" spans="1:31" ht="19" customHeight="1" x14ac:dyDescent="0.35">
      <c r="A19" s="152" t="s">
        <v>85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8"/>
      <c r="O19" s="152" t="s">
        <v>86</v>
      </c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8"/>
    </row>
    <row r="20" spans="1:31" ht="15.75" customHeight="1" x14ac:dyDescent="0.35">
      <c r="A20" s="146" t="s">
        <v>87</v>
      </c>
      <c r="B20" s="147"/>
      <c r="C20" s="148"/>
      <c r="D20" s="178" t="s">
        <v>315</v>
      </c>
      <c r="E20" s="147"/>
      <c r="F20" s="148"/>
      <c r="H20" s="146" t="s">
        <v>88</v>
      </c>
      <c r="I20" s="147"/>
      <c r="J20" s="148"/>
      <c r="K20" s="166" t="s">
        <v>89</v>
      </c>
      <c r="L20" s="147"/>
      <c r="M20" s="148"/>
      <c r="O20" s="146" t="s">
        <v>90</v>
      </c>
      <c r="P20" s="147"/>
      <c r="Q20" s="147"/>
      <c r="R20" s="147"/>
      <c r="S20" s="147"/>
      <c r="T20" s="147"/>
      <c r="U20" s="147"/>
      <c r="V20" s="147"/>
      <c r="W20" s="147"/>
      <c r="X20" s="148"/>
      <c r="Y20" s="168" t="s">
        <v>91</v>
      </c>
      <c r="Z20" s="147"/>
      <c r="AA20" s="148"/>
    </row>
    <row r="21" spans="1:31" ht="15.75" customHeight="1" x14ac:dyDescent="0.35">
      <c r="A21" s="146" t="s">
        <v>92</v>
      </c>
      <c r="B21" s="147"/>
      <c r="C21" s="148"/>
      <c r="D21" s="166" t="s">
        <v>93</v>
      </c>
      <c r="E21" s="147"/>
      <c r="F21" s="148"/>
      <c r="H21" s="146" t="s">
        <v>94</v>
      </c>
      <c r="I21" s="147"/>
      <c r="J21" s="148"/>
      <c r="K21" s="179"/>
      <c r="L21" s="147"/>
      <c r="M21" s="148"/>
      <c r="O21" s="146" t="s">
        <v>95</v>
      </c>
      <c r="P21" s="147"/>
      <c r="Q21" s="147"/>
      <c r="R21" s="147"/>
      <c r="S21" s="147"/>
      <c r="T21" s="147"/>
      <c r="U21" s="147"/>
      <c r="V21" s="147"/>
      <c r="W21" s="147"/>
      <c r="X21" s="148"/>
      <c r="Y21" s="168" t="s">
        <v>91</v>
      </c>
      <c r="Z21" s="147"/>
      <c r="AA21" s="148"/>
    </row>
    <row r="22" spans="1:31" ht="15.75" customHeight="1" x14ac:dyDescent="0.35">
      <c r="A22" s="146" t="s">
        <v>96</v>
      </c>
      <c r="B22" s="147"/>
      <c r="C22" s="148"/>
      <c r="D22" s="160"/>
      <c r="E22" s="147"/>
      <c r="F22" s="148"/>
      <c r="H22" s="146" t="s">
        <v>97</v>
      </c>
      <c r="I22" s="147"/>
      <c r="J22" s="148"/>
      <c r="K22" s="166">
        <v>12</v>
      </c>
      <c r="L22" s="147"/>
      <c r="M22" s="148"/>
      <c r="O22" s="146" t="s">
        <v>98</v>
      </c>
      <c r="P22" s="147"/>
      <c r="Q22" s="147"/>
      <c r="R22" s="147"/>
      <c r="S22" s="147"/>
      <c r="T22" s="147"/>
      <c r="U22" s="147"/>
      <c r="V22" s="147"/>
      <c r="W22" s="147"/>
      <c r="X22" s="148"/>
      <c r="Y22" s="168" t="s">
        <v>91</v>
      </c>
      <c r="Z22" s="147"/>
      <c r="AA22" s="148"/>
    </row>
    <row r="23" spans="1:31" ht="15.75" customHeight="1" x14ac:dyDescent="0.35">
      <c r="A23" s="146" t="s">
        <v>99</v>
      </c>
      <c r="B23" s="147"/>
      <c r="C23" s="148"/>
      <c r="D23" s="160"/>
      <c r="E23" s="147"/>
      <c r="F23" s="148"/>
      <c r="H23" s="146" t="s">
        <v>100</v>
      </c>
      <c r="I23" s="147"/>
      <c r="J23" s="148"/>
      <c r="K23" s="172">
        <v>43814</v>
      </c>
      <c r="L23" s="147"/>
      <c r="M23" s="148"/>
      <c r="O23" s="146" t="s">
        <v>101</v>
      </c>
      <c r="P23" s="147"/>
      <c r="Q23" s="147"/>
      <c r="R23" s="147"/>
      <c r="S23" s="147"/>
      <c r="T23" s="147"/>
      <c r="U23" s="147"/>
      <c r="V23" s="147"/>
      <c r="W23" s="147"/>
      <c r="X23" s="148"/>
      <c r="Y23" s="168" t="s">
        <v>91</v>
      </c>
      <c r="Z23" s="147"/>
      <c r="AA23" s="148"/>
    </row>
    <row r="24" spans="1:31" ht="15.75" customHeight="1" x14ac:dyDescent="0.35">
      <c r="A24" s="146" t="s">
        <v>102</v>
      </c>
      <c r="B24" s="147"/>
      <c r="C24" s="148"/>
      <c r="D24" s="166" t="s">
        <v>103</v>
      </c>
      <c r="E24" s="147"/>
      <c r="F24" s="148"/>
      <c r="H24" s="146" t="s">
        <v>104</v>
      </c>
      <c r="I24" s="147"/>
      <c r="J24" s="148"/>
      <c r="K24" s="166">
        <v>1</v>
      </c>
      <c r="L24" s="147"/>
      <c r="M24" s="148"/>
      <c r="O24" s="146" t="s">
        <v>105</v>
      </c>
      <c r="P24" s="147"/>
      <c r="Q24" s="147"/>
      <c r="R24" s="147"/>
      <c r="S24" s="147"/>
      <c r="T24" s="147"/>
      <c r="U24" s="147"/>
      <c r="V24" s="147"/>
      <c r="W24" s="147"/>
      <c r="X24" s="148"/>
      <c r="Y24" s="168" t="s">
        <v>91</v>
      </c>
      <c r="Z24" s="147"/>
      <c r="AA24" s="148"/>
    </row>
    <row r="25" spans="1:31" ht="15.75" customHeight="1" x14ac:dyDescent="0.35">
      <c r="O25" s="146" t="s">
        <v>106</v>
      </c>
      <c r="P25" s="147"/>
      <c r="Q25" s="147"/>
      <c r="R25" s="147"/>
      <c r="S25" s="147"/>
      <c r="T25" s="147"/>
      <c r="U25" s="147"/>
      <c r="V25" s="147"/>
      <c r="W25" s="147"/>
      <c r="X25" s="148"/>
      <c r="Y25" s="168" t="s">
        <v>91</v>
      </c>
      <c r="Z25" s="147"/>
      <c r="AA25" s="148"/>
    </row>
    <row r="27" spans="1:31" ht="19" customHeight="1" x14ac:dyDescent="0.35">
      <c r="A27" s="152" t="s">
        <v>107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8"/>
    </row>
    <row r="28" spans="1:31" ht="15" customHeight="1" x14ac:dyDescent="0.35">
      <c r="A28" s="151" t="s">
        <v>108</v>
      </c>
      <c r="B28" s="147"/>
      <c r="C28" s="147"/>
      <c r="D28" s="148"/>
      <c r="E28" s="151" t="s">
        <v>109</v>
      </c>
      <c r="F28" s="147"/>
      <c r="G28" s="147"/>
      <c r="H28" s="148"/>
      <c r="I28" s="151" t="s">
        <v>110</v>
      </c>
      <c r="J28" s="147"/>
      <c r="K28" s="147"/>
      <c r="L28" s="147"/>
      <c r="M28" s="148"/>
      <c r="N28" s="151" t="s">
        <v>111</v>
      </c>
      <c r="O28" s="151" t="s">
        <v>112</v>
      </c>
      <c r="P28" s="147"/>
      <c r="Q28" s="147"/>
      <c r="R28" s="147"/>
      <c r="S28" s="148"/>
      <c r="T28" s="151" t="s">
        <v>113</v>
      </c>
      <c r="U28" s="148"/>
      <c r="V28" s="151" t="s">
        <v>114</v>
      </c>
      <c r="W28" s="148"/>
      <c r="X28" s="151" t="s">
        <v>115</v>
      </c>
      <c r="Y28" s="148"/>
      <c r="Z28" s="151" t="s">
        <v>116</v>
      </c>
      <c r="AA28" s="147"/>
      <c r="AB28" s="147"/>
      <c r="AC28" s="147"/>
      <c r="AD28" s="147"/>
      <c r="AE28" s="148"/>
    </row>
    <row r="29" spans="1:31" ht="34" customHeight="1" x14ac:dyDescent="0.35">
      <c r="A29" s="4" t="s">
        <v>117</v>
      </c>
      <c r="B29" s="4" t="s">
        <v>118</v>
      </c>
      <c r="C29" s="4" t="s">
        <v>119</v>
      </c>
      <c r="D29" s="4" t="s">
        <v>120</v>
      </c>
      <c r="E29" s="4" t="s">
        <v>121</v>
      </c>
      <c r="F29" s="4" t="s">
        <v>122</v>
      </c>
      <c r="G29" s="4" t="s">
        <v>123</v>
      </c>
      <c r="H29" s="4" t="s">
        <v>124</v>
      </c>
      <c r="I29" s="4" t="s">
        <v>125</v>
      </c>
      <c r="J29" s="4" t="s">
        <v>126</v>
      </c>
      <c r="K29" s="4" t="s">
        <v>127</v>
      </c>
      <c r="L29" s="4" t="s">
        <v>128</v>
      </c>
      <c r="M29" s="4" t="s">
        <v>129</v>
      </c>
      <c r="N29" s="4" t="s">
        <v>130</v>
      </c>
      <c r="O29" s="4" t="s">
        <v>131</v>
      </c>
      <c r="P29" s="4" t="s">
        <v>132</v>
      </c>
      <c r="Q29" s="4" t="s">
        <v>133</v>
      </c>
      <c r="R29" s="4" t="s">
        <v>134</v>
      </c>
      <c r="S29" s="4" t="s">
        <v>39</v>
      </c>
      <c r="T29" s="4" t="s">
        <v>135</v>
      </c>
      <c r="U29" s="4" t="s">
        <v>136</v>
      </c>
      <c r="V29" s="4" t="s">
        <v>137</v>
      </c>
      <c r="W29" s="4" t="s">
        <v>138</v>
      </c>
      <c r="X29" s="4" t="s">
        <v>139</v>
      </c>
      <c r="Y29" s="4" t="s">
        <v>140</v>
      </c>
      <c r="Z29" s="4" t="s">
        <v>141</v>
      </c>
      <c r="AA29" s="4" t="s">
        <v>142</v>
      </c>
      <c r="AB29" s="4" t="s">
        <v>143</v>
      </c>
      <c r="AC29" s="4" t="s">
        <v>144</v>
      </c>
      <c r="AD29" s="4" t="s">
        <v>145</v>
      </c>
      <c r="AE29" s="4" t="s">
        <v>146</v>
      </c>
    </row>
    <row r="30" spans="1:31" x14ac:dyDescent="0.35">
      <c r="A30" s="5"/>
      <c r="B30" s="5"/>
      <c r="C30" s="5"/>
      <c r="D30" s="6"/>
      <c r="E30" s="118">
        <f t="shared" ref="E30:E59" si="0">+$D30*0.7</f>
      </c>
      <c r="F30" s="118">
        <f t="shared" ref="F30:F59" si="1">+$D30*0.6</f>
      </c>
      <c r="G30" s="118">
        <f t="shared" ref="G30:G59" si="2">+$D30*0.5</f>
      </c>
      <c r="H30" s="118">
        <f t="shared" ref="H30:H59" si="3">+$D30*0.4</f>
      </c>
      <c r="I30" s="119"/>
      <c r="J30" s="119"/>
      <c r="K30" s="119"/>
      <c r="L30" s="119"/>
      <c r="M30" s="118">
        <f t="shared" ref="M30:M59" si="4">SUM(I30:L30)</f>
      </c>
      <c r="N30" s="8">
        <f t="shared" ref="N30:N59" si="5">IFERROR(M30/SUM($M$30:$M$59),0)</f>
      </c>
      <c r="O30" s="118">
        <f t="shared" ref="O30:O59" si="6">MIN(I30,$D$10*N30)</f>
      </c>
      <c r="P30" s="118">
        <f t="shared" ref="P30:P59" si="7">MIN($D$11*N30,J30)</f>
      </c>
      <c r="Q30" s="118">
        <f t="shared" ref="Q30:Q59" si="8">MIN(K30,($D$12+$K$11)*N30)</f>
      </c>
      <c r="R30" s="7">
        <f t="shared" ref="R30:R59" si="9">MIN(($K$12+$D$13)*N30,L30)</f>
      </c>
      <c r="S30" s="118">
        <f t="shared" ref="S30:S59" si="10">SUM(O30:R30)</f>
      </c>
      <c r="T30" s="118">
        <f t="shared" ref="T30:T59" si="11">($K$14+$K$15)*N30</f>
      </c>
      <c r="U30" s="118">
        <f t="shared" ref="U30:U59" si="12">S30+T30</f>
      </c>
      <c r="V30" s="118">
        <f t="shared" ref="V30:V59" si="13">IF($R$10="Y",IF(A30=0,0,IF(B30="N",MIN(G30,IF(H30&lt;S30,S30,H30)),IF(B30="Y",MIN(E30,IF(F30&lt;S30,S30,F30))))),IF(B30="N",MIN(G30,S30),IF(E30&gt;S30,F30,E30)))</f>
      </c>
      <c r="W30" s="118">
        <f t="shared" ref="W30:W59" si="14">IF(V30-U30&gt;0,U30-V30,0)</f>
      </c>
      <c r="X30" s="118" t="str">
        <f t="shared" ref="X30:X59" si="15">IF(A30=0,0,IF($R$10="N",IF(W30&lt;0,MIN(G30+1,$Y$11),"No aplica"),"No aplica"))</f>
      </c>
      <c r="Y30" s="118">
        <f t="shared" ref="Y30:Y59" si="16">IFERROR(IF(X30-U30&gt;0,U30-X30,0),0)</f>
      </c>
      <c r="Z30" s="5"/>
      <c r="AA30" s="5"/>
      <c r="AB30" s="5"/>
      <c r="AC30" s="5"/>
      <c r="AD30" s="5"/>
      <c r="AE30" s="5"/>
    </row>
    <row r="31" spans="1:31" x14ac:dyDescent="0.35">
      <c r="A31" s="5"/>
      <c r="B31" s="5"/>
      <c r="C31" s="5"/>
      <c r="D31" s="6"/>
      <c r="E31" s="118">
        <f t="shared" si="0"/>
      </c>
      <c r="F31" s="118">
        <f t="shared" si="1"/>
      </c>
      <c r="G31" s="118">
        <f t="shared" si="2"/>
      </c>
      <c r="H31" s="118">
        <f t="shared" si="3"/>
      </c>
      <c r="I31" s="119"/>
      <c r="J31" s="119"/>
      <c r="K31" s="119"/>
      <c r="L31" s="119"/>
      <c r="M31" s="118">
        <f t="shared" si="4"/>
      </c>
      <c r="N31" s="8">
        <f t="shared" si="5"/>
      </c>
      <c r="O31" s="118">
        <f t="shared" si="6"/>
      </c>
      <c r="P31" s="118">
        <f t="shared" si="7"/>
      </c>
      <c r="Q31" s="118">
        <f t="shared" si="8"/>
      </c>
      <c r="R31" s="7">
        <f t="shared" si="9"/>
      </c>
      <c r="S31" s="118">
        <f t="shared" si="10"/>
      </c>
      <c r="T31" s="118">
        <f t="shared" si="11"/>
      </c>
      <c r="U31" s="118">
        <f t="shared" si="12"/>
      </c>
      <c r="V31" s="118">
        <f t="shared" si="13"/>
      </c>
      <c r="W31" s="118">
        <f t="shared" si="14"/>
      </c>
      <c r="X31" s="118">
        <f t="shared" si="15"/>
      </c>
      <c r="Y31" s="118">
        <f t="shared" si="16"/>
      </c>
      <c r="Z31" s="5"/>
      <c r="AA31" s="5"/>
      <c r="AB31" s="5"/>
      <c r="AC31" s="5"/>
      <c r="AD31" s="5"/>
      <c r="AE31" s="5"/>
    </row>
    <row r="32" spans="1:31" x14ac:dyDescent="0.35">
      <c r="A32" s="5"/>
      <c r="B32" s="5"/>
      <c r="C32" s="5"/>
      <c r="D32" s="6"/>
      <c r="E32" s="118">
        <f t="shared" si="0"/>
      </c>
      <c r="F32" s="118">
        <f t="shared" si="1"/>
      </c>
      <c r="G32" s="118">
        <f t="shared" si="2"/>
      </c>
      <c r="H32" s="118">
        <f t="shared" si="3"/>
      </c>
      <c r="I32" s="119"/>
      <c r="J32" s="119"/>
      <c r="K32" s="119"/>
      <c r="L32" s="119"/>
      <c r="M32" s="118">
        <f t="shared" si="4"/>
      </c>
      <c r="N32" s="8">
        <f t="shared" si="5"/>
      </c>
      <c r="O32" s="118">
        <f t="shared" si="6"/>
      </c>
      <c r="P32" s="118">
        <f t="shared" si="7"/>
      </c>
      <c r="Q32" s="118">
        <f t="shared" si="8"/>
      </c>
      <c r="R32" s="7">
        <f t="shared" si="9"/>
      </c>
      <c r="S32" s="118">
        <f t="shared" si="10"/>
      </c>
      <c r="T32" s="118">
        <f t="shared" si="11"/>
      </c>
      <c r="U32" s="118">
        <f t="shared" si="12"/>
      </c>
      <c r="V32" s="118">
        <f t="shared" si="13"/>
      </c>
      <c r="W32" s="118">
        <f t="shared" si="14"/>
      </c>
      <c r="X32" s="118">
        <f t="shared" si="15"/>
      </c>
      <c r="Y32" s="118">
        <f t="shared" si="16"/>
      </c>
      <c r="Z32" s="5"/>
      <c r="AA32" s="5"/>
      <c r="AB32" s="5"/>
      <c r="AC32" s="5"/>
      <c r="AD32" s="5"/>
      <c r="AE32" s="5"/>
    </row>
    <row r="33" spans="1:31" x14ac:dyDescent="0.35">
      <c r="A33" s="5"/>
      <c r="B33" s="5"/>
      <c r="C33" s="5"/>
      <c r="D33" s="6"/>
      <c r="E33" s="118">
        <f t="shared" si="0"/>
      </c>
      <c r="F33" s="118">
        <f t="shared" si="1"/>
      </c>
      <c r="G33" s="118">
        <f t="shared" si="2"/>
      </c>
      <c r="H33" s="118">
        <f t="shared" si="3"/>
      </c>
      <c r="I33" s="119"/>
      <c r="J33" s="119"/>
      <c r="K33" s="119"/>
      <c r="L33" s="119"/>
      <c r="M33" s="118">
        <f t="shared" si="4"/>
      </c>
      <c r="N33" s="8">
        <f t="shared" si="5"/>
      </c>
      <c r="O33" s="118">
        <f t="shared" si="6"/>
      </c>
      <c r="P33" s="118">
        <f t="shared" si="7"/>
      </c>
      <c r="Q33" s="118">
        <f t="shared" si="8"/>
      </c>
      <c r="R33" s="7">
        <f t="shared" si="9"/>
      </c>
      <c r="S33" s="118">
        <f t="shared" si="10"/>
      </c>
      <c r="T33" s="118">
        <f t="shared" si="11"/>
      </c>
      <c r="U33" s="118">
        <f t="shared" si="12"/>
      </c>
      <c r="V33" s="118">
        <f t="shared" si="13"/>
      </c>
      <c r="W33" s="118">
        <f t="shared" si="14"/>
      </c>
      <c r="X33" s="118">
        <f t="shared" si="15"/>
      </c>
      <c r="Y33" s="118">
        <f t="shared" si="16"/>
      </c>
      <c r="Z33" s="5"/>
      <c r="AA33" s="5"/>
      <c r="AB33" s="5"/>
      <c r="AC33" s="5"/>
      <c r="AD33" s="5"/>
      <c r="AE33" s="5"/>
    </row>
    <row r="34" spans="1:31" x14ac:dyDescent="0.35">
      <c r="A34" s="5"/>
      <c r="B34" s="5"/>
      <c r="C34" s="5"/>
      <c r="D34" s="6"/>
      <c r="E34" s="118">
        <f t="shared" si="0"/>
      </c>
      <c r="F34" s="118">
        <f t="shared" si="1"/>
      </c>
      <c r="G34" s="118">
        <f t="shared" si="2"/>
      </c>
      <c r="H34" s="118">
        <f t="shared" si="3"/>
      </c>
      <c r="I34" s="119"/>
      <c r="J34" s="119"/>
      <c r="K34" s="119"/>
      <c r="L34" s="119"/>
      <c r="M34" s="118">
        <f t="shared" si="4"/>
      </c>
      <c r="N34" s="8">
        <f t="shared" si="5"/>
      </c>
      <c r="O34" s="118">
        <f t="shared" si="6"/>
      </c>
      <c r="P34" s="118">
        <f t="shared" si="7"/>
      </c>
      <c r="Q34" s="118">
        <f t="shared" si="8"/>
      </c>
      <c r="R34" s="7">
        <f t="shared" si="9"/>
      </c>
      <c r="S34" s="118">
        <f t="shared" si="10"/>
      </c>
      <c r="T34" s="118">
        <f t="shared" si="11"/>
      </c>
      <c r="U34" s="118">
        <f t="shared" si="12"/>
      </c>
      <c r="V34" s="118">
        <f t="shared" si="13"/>
      </c>
      <c r="W34" s="118">
        <f t="shared" si="14"/>
      </c>
      <c r="X34" s="118">
        <f t="shared" si="15"/>
      </c>
      <c r="Y34" s="118">
        <f t="shared" si="16"/>
      </c>
      <c r="Z34" s="5"/>
      <c r="AA34" s="5"/>
      <c r="AB34" s="5"/>
      <c r="AC34" s="5"/>
      <c r="AD34" s="5"/>
      <c r="AE34" s="5"/>
    </row>
    <row r="35" spans="1:31" x14ac:dyDescent="0.35">
      <c r="A35" s="5"/>
      <c r="B35" s="5"/>
      <c r="C35" s="5"/>
      <c r="D35" s="6"/>
      <c r="E35" s="118">
        <f t="shared" si="0"/>
      </c>
      <c r="F35" s="118">
        <f t="shared" si="1"/>
      </c>
      <c r="G35" s="118">
        <f t="shared" si="2"/>
      </c>
      <c r="H35" s="118">
        <f t="shared" si="3"/>
      </c>
      <c r="I35" s="119"/>
      <c r="J35" s="119"/>
      <c r="K35" s="119"/>
      <c r="L35" s="119"/>
      <c r="M35" s="118">
        <f t="shared" si="4"/>
      </c>
      <c r="N35" s="8">
        <f t="shared" si="5"/>
      </c>
      <c r="O35" s="118">
        <f t="shared" si="6"/>
      </c>
      <c r="P35" s="118">
        <f t="shared" si="7"/>
      </c>
      <c r="Q35" s="118">
        <f t="shared" si="8"/>
      </c>
      <c r="R35" s="7">
        <f t="shared" si="9"/>
      </c>
      <c r="S35" s="118">
        <f t="shared" si="10"/>
      </c>
      <c r="T35" s="118">
        <f t="shared" si="11"/>
      </c>
      <c r="U35" s="118">
        <f t="shared" si="12"/>
      </c>
      <c r="V35" s="118">
        <f t="shared" si="13"/>
      </c>
      <c r="W35" s="118">
        <f t="shared" si="14"/>
      </c>
      <c r="X35" s="118">
        <f t="shared" si="15"/>
      </c>
      <c r="Y35" s="118">
        <f t="shared" si="16"/>
      </c>
      <c r="Z35" s="5"/>
      <c r="AA35" s="5"/>
      <c r="AB35" s="5"/>
      <c r="AC35" s="5"/>
      <c r="AD35" s="5"/>
      <c r="AE35" s="5"/>
    </row>
    <row r="36" spans="1:31" x14ac:dyDescent="0.35">
      <c r="A36" s="5"/>
      <c r="B36" s="5"/>
      <c r="C36" s="5"/>
      <c r="D36" s="6"/>
      <c r="E36" s="118">
        <f t="shared" si="0"/>
      </c>
      <c r="F36" s="118">
        <f t="shared" si="1"/>
      </c>
      <c r="G36" s="118">
        <f t="shared" si="2"/>
      </c>
      <c r="H36" s="118">
        <f t="shared" si="3"/>
      </c>
      <c r="I36" s="119"/>
      <c r="J36" s="119"/>
      <c r="K36" s="119"/>
      <c r="L36" s="119"/>
      <c r="M36" s="118">
        <f t="shared" si="4"/>
      </c>
      <c r="N36" s="8">
        <f t="shared" si="5"/>
      </c>
      <c r="O36" s="118">
        <f t="shared" si="6"/>
      </c>
      <c r="P36" s="118">
        <f t="shared" si="7"/>
      </c>
      <c r="Q36" s="118">
        <f t="shared" si="8"/>
      </c>
      <c r="R36" s="7">
        <f t="shared" si="9"/>
      </c>
      <c r="S36" s="118">
        <f t="shared" si="10"/>
      </c>
      <c r="T36" s="118">
        <f t="shared" si="11"/>
      </c>
      <c r="U36" s="118">
        <f t="shared" si="12"/>
      </c>
      <c r="V36" s="118">
        <f t="shared" si="13"/>
      </c>
      <c r="W36" s="118">
        <f t="shared" si="14"/>
      </c>
      <c r="X36" s="118">
        <f t="shared" si="15"/>
      </c>
      <c r="Y36" s="118">
        <f t="shared" si="16"/>
      </c>
      <c r="Z36" s="5"/>
      <c r="AA36" s="5"/>
      <c r="AB36" s="5"/>
      <c r="AC36" s="5"/>
      <c r="AD36" s="5"/>
      <c r="AE36" s="5"/>
    </row>
    <row r="37" spans="1:31" x14ac:dyDescent="0.35">
      <c r="A37" s="5"/>
      <c r="B37" s="5"/>
      <c r="C37" s="5"/>
      <c r="D37" s="6"/>
      <c r="E37" s="118">
        <f t="shared" si="0"/>
      </c>
      <c r="F37" s="118">
        <f t="shared" si="1"/>
      </c>
      <c r="G37" s="118">
        <f t="shared" si="2"/>
      </c>
      <c r="H37" s="118">
        <f t="shared" si="3"/>
      </c>
      <c r="I37" s="119"/>
      <c r="J37" s="119"/>
      <c r="K37" s="119"/>
      <c r="L37" s="119"/>
      <c r="M37" s="118">
        <f t="shared" si="4"/>
      </c>
      <c r="N37" s="8">
        <f t="shared" si="5"/>
      </c>
      <c r="O37" s="118">
        <f t="shared" si="6"/>
      </c>
      <c r="P37" s="118">
        <f t="shared" si="7"/>
      </c>
      <c r="Q37" s="118">
        <f t="shared" si="8"/>
      </c>
      <c r="R37" s="7">
        <f t="shared" si="9"/>
      </c>
      <c r="S37" s="118">
        <f t="shared" si="10"/>
      </c>
      <c r="T37" s="118">
        <f t="shared" si="11"/>
      </c>
      <c r="U37" s="118">
        <f t="shared" si="12"/>
      </c>
      <c r="V37" s="118">
        <f t="shared" si="13"/>
      </c>
      <c r="W37" s="118">
        <f t="shared" si="14"/>
      </c>
      <c r="X37" s="118">
        <f t="shared" si="15"/>
      </c>
      <c r="Y37" s="118">
        <f t="shared" si="16"/>
      </c>
      <c r="Z37" s="5"/>
      <c r="AA37" s="5"/>
      <c r="AB37" s="5"/>
      <c r="AC37" s="5"/>
      <c r="AD37" s="5"/>
      <c r="AE37" s="5"/>
    </row>
    <row r="38" spans="1:31" x14ac:dyDescent="0.35">
      <c r="A38" s="5"/>
      <c r="B38" s="5"/>
      <c r="C38" s="5"/>
      <c r="D38" s="6"/>
      <c r="E38" s="118">
        <f t="shared" si="0"/>
      </c>
      <c r="F38" s="118">
        <f t="shared" si="1"/>
      </c>
      <c r="G38" s="118">
        <f t="shared" si="2"/>
      </c>
      <c r="H38" s="118">
        <f t="shared" si="3"/>
      </c>
      <c r="I38" s="119"/>
      <c r="J38" s="119"/>
      <c r="K38" s="119"/>
      <c r="L38" s="119"/>
      <c r="M38" s="118">
        <f t="shared" si="4"/>
      </c>
      <c r="N38" s="8">
        <f t="shared" si="5"/>
      </c>
      <c r="O38" s="118">
        <f t="shared" si="6"/>
      </c>
      <c r="P38" s="118">
        <f t="shared" si="7"/>
      </c>
      <c r="Q38" s="118">
        <f t="shared" si="8"/>
      </c>
      <c r="R38" s="7">
        <f t="shared" si="9"/>
      </c>
      <c r="S38" s="118">
        <f t="shared" si="10"/>
      </c>
      <c r="T38" s="118">
        <f t="shared" si="11"/>
      </c>
      <c r="U38" s="118">
        <f t="shared" si="12"/>
      </c>
      <c r="V38" s="118">
        <f t="shared" si="13"/>
      </c>
      <c r="W38" s="118">
        <f t="shared" si="14"/>
      </c>
      <c r="X38" s="118">
        <f t="shared" si="15"/>
      </c>
      <c r="Y38" s="118">
        <f t="shared" si="16"/>
      </c>
      <c r="Z38" s="5"/>
      <c r="AA38" s="5"/>
      <c r="AB38" s="5"/>
      <c r="AC38" s="5"/>
      <c r="AD38" s="5"/>
      <c r="AE38" s="5"/>
    </row>
    <row r="39" spans="1:31" x14ac:dyDescent="0.35">
      <c r="A39" s="5"/>
      <c r="B39" s="5"/>
      <c r="C39" s="5"/>
      <c r="D39" s="6"/>
      <c r="E39" s="118">
        <f t="shared" si="0"/>
      </c>
      <c r="F39" s="118">
        <f t="shared" si="1"/>
      </c>
      <c r="G39" s="118">
        <f t="shared" si="2"/>
      </c>
      <c r="H39" s="118">
        <f t="shared" si="3"/>
      </c>
      <c r="I39" s="119"/>
      <c r="J39" s="119"/>
      <c r="K39" s="119"/>
      <c r="L39" s="119"/>
      <c r="M39" s="118">
        <f t="shared" si="4"/>
      </c>
      <c r="N39" s="8">
        <f t="shared" si="5"/>
      </c>
      <c r="O39" s="118">
        <f t="shared" si="6"/>
      </c>
      <c r="P39" s="118">
        <f t="shared" si="7"/>
      </c>
      <c r="Q39" s="118">
        <f t="shared" si="8"/>
      </c>
      <c r="R39" s="7">
        <f t="shared" si="9"/>
      </c>
      <c r="S39" s="118">
        <f t="shared" si="10"/>
      </c>
      <c r="T39" s="118">
        <f t="shared" si="11"/>
      </c>
      <c r="U39" s="118">
        <f t="shared" si="12"/>
      </c>
      <c r="V39" s="118">
        <f t="shared" si="13"/>
      </c>
      <c r="W39" s="118">
        <f t="shared" si="14"/>
      </c>
      <c r="X39" s="118">
        <f t="shared" si="15"/>
      </c>
      <c r="Y39" s="118">
        <f t="shared" si="16"/>
      </c>
      <c r="Z39" s="5"/>
      <c r="AA39" s="5"/>
      <c r="AB39" s="5"/>
      <c r="AC39" s="5"/>
      <c r="AD39" s="5"/>
      <c r="AE39" s="5"/>
    </row>
    <row r="40" spans="1:31" x14ac:dyDescent="0.35">
      <c r="A40" s="5"/>
      <c r="B40" s="5"/>
      <c r="C40" s="5"/>
      <c r="D40" s="6"/>
      <c r="E40" s="118">
        <f t="shared" si="0"/>
      </c>
      <c r="F40" s="118">
        <f t="shared" si="1"/>
      </c>
      <c r="G40" s="118">
        <f t="shared" si="2"/>
      </c>
      <c r="H40" s="118">
        <f t="shared" si="3"/>
      </c>
      <c r="I40" s="119"/>
      <c r="J40" s="119"/>
      <c r="K40" s="119"/>
      <c r="L40" s="119"/>
      <c r="M40" s="118">
        <f t="shared" si="4"/>
      </c>
      <c r="N40" s="8">
        <f t="shared" si="5"/>
      </c>
      <c r="O40" s="118">
        <f t="shared" si="6"/>
      </c>
      <c r="P40" s="118">
        <f t="shared" si="7"/>
      </c>
      <c r="Q40" s="118">
        <f t="shared" si="8"/>
      </c>
      <c r="R40" s="7">
        <f t="shared" si="9"/>
      </c>
      <c r="S40" s="118">
        <f t="shared" si="10"/>
      </c>
      <c r="T40" s="118">
        <f t="shared" si="11"/>
      </c>
      <c r="U40" s="118">
        <f t="shared" si="12"/>
      </c>
      <c r="V40" s="118">
        <f t="shared" si="13"/>
      </c>
      <c r="W40" s="118">
        <f t="shared" si="14"/>
      </c>
      <c r="X40" s="118">
        <f t="shared" si="15"/>
      </c>
      <c r="Y40" s="118">
        <f t="shared" si="16"/>
      </c>
      <c r="Z40" s="5"/>
      <c r="AA40" s="5"/>
      <c r="AB40" s="5"/>
      <c r="AC40" s="5"/>
      <c r="AD40" s="5"/>
      <c r="AE40" s="5"/>
    </row>
    <row r="41" spans="1:31" x14ac:dyDescent="0.35">
      <c r="A41" s="5"/>
      <c r="B41" s="5"/>
      <c r="C41" s="5"/>
      <c r="D41" s="6"/>
      <c r="E41" s="118">
        <f t="shared" si="0"/>
      </c>
      <c r="F41" s="118">
        <f t="shared" si="1"/>
      </c>
      <c r="G41" s="118">
        <f t="shared" si="2"/>
      </c>
      <c r="H41" s="118">
        <f t="shared" si="3"/>
      </c>
      <c r="I41" s="119"/>
      <c r="J41" s="119"/>
      <c r="K41" s="119"/>
      <c r="L41" s="119"/>
      <c r="M41" s="118">
        <f t="shared" si="4"/>
      </c>
      <c r="N41" s="8">
        <f t="shared" si="5"/>
      </c>
      <c r="O41" s="118">
        <f t="shared" si="6"/>
      </c>
      <c r="P41" s="118">
        <f t="shared" si="7"/>
      </c>
      <c r="Q41" s="118">
        <f t="shared" si="8"/>
      </c>
      <c r="R41" s="7">
        <f t="shared" si="9"/>
      </c>
      <c r="S41" s="118">
        <f t="shared" si="10"/>
      </c>
      <c r="T41" s="118">
        <f t="shared" si="11"/>
      </c>
      <c r="U41" s="118">
        <f t="shared" si="12"/>
      </c>
      <c r="V41" s="118">
        <f t="shared" si="13"/>
      </c>
      <c r="W41" s="118">
        <f t="shared" si="14"/>
      </c>
      <c r="X41" s="118">
        <f t="shared" si="15"/>
      </c>
      <c r="Y41" s="118">
        <f t="shared" si="16"/>
      </c>
      <c r="Z41" s="5"/>
      <c r="AA41" s="5"/>
      <c r="AB41" s="5"/>
      <c r="AC41" s="5"/>
      <c r="AD41" s="5"/>
      <c r="AE41" s="5"/>
    </row>
    <row r="42" spans="1:31" x14ac:dyDescent="0.35">
      <c r="A42" s="5"/>
      <c r="B42" s="5"/>
      <c r="C42" s="5"/>
      <c r="D42" s="6"/>
      <c r="E42" s="118">
        <f t="shared" si="0"/>
      </c>
      <c r="F42" s="118">
        <f t="shared" si="1"/>
      </c>
      <c r="G42" s="118">
        <f t="shared" si="2"/>
      </c>
      <c r="H42" s="118">
        <f t="shared" si="3"/>
      </c>
      <c r="I42" s="119"/>
      <c r="J42" s="119"/>
      <c r="K42" s="119"/>
      <c r="L42" s="119"/>
      <c r="M42" s="118">
        <f t="shared" si="4"/>
      </c>
      <c r="N42" s="8">
        <f t="shared" si="5"/>
      </c>
      <c r="O42" s="118">
        <f t="shared" si="6"/>
      </c>
      <c r="P42" s="118">
        <f t="shared" si="7"/>
      </c>
      <c r="Q42" s="118">
        <f t="shared" si="8"/>
      </c>
      <c r="R42" s="7">
        <f t="shared" si="9"/>
      </c>
      <c r="S42" s="118">
        <f t="shared" si="10"/>
      </c>
      <c r="T42" s="118">
        <f t="shared" si="11"/>
      </c>
      <c r="U42" s="118">
        <f t="shared" si="12"/>
      </c>
      <c r="V42" s="118">
        <f t="shared" si="13"/>
      </c>
      <c r="W42" s="118">
        <f t="shared" si="14"/>
      </c>
      <c r="X42" s="118">
        <f t="shared" si="15"/>
      </c>
      <c r="Y42" s="118">
        <f t="shared" si="16"/>
      </c>
      <c r="Z42" s="5"/>
      <c r="AA42" s="5"/>
      <c r="AB42" s="5"/>
      <c r="AC42" s="5"/>
      <c r="AD42" s="5"/>
      <c r="AE42" s="5"/>
    </row>
    <row r="43" spans="1:31" x14ac:dyDescent="0.35">
      <c r="A43" s="5"/>
      <c r="B43" s="5"/>
      <c r="C43" s="5"/>
      <c r="D43" s="6"/>
      <c r="E43" s="118">
        <f t="shared" si="0"/>
      </c>
      <c r="F43" s="118">
        <f t="shared" si="1"/>
      </c>
      <c r="G43" s="118">
        <f t="shared" si="2"/>
      </c>
      <c r="H43" s="118">
        <f t="shared" si="3"/>
      </c>
      <c r="I43" s="119"/>
      <c r="J43" s="119"/>
      <c r="K43" s="119"/>
      <c r="L43" s="119"/>
      <c r="M43" s="118">
        <f t="shared" si="4"/>
      </c>
      <c r="N43" s="8">
        <f t="shared" si="5"/>
      </c>
      <c r="O43" s="118">
        <f t="shared" si="6"/>
      </c>
      <c r="P43" s="118">
        <f t="shared" si="7"/>
      </c>
      <c r="Q43" s="118">
        <f t="shared" si="8"/>
      </c>
      <c r="R43" s="7">
        <f t="shared" si="9"/>
      </c>
      <c r="S43" s="118">
        <f t="shared" si="10"/>
      </c>
      <c r="T43" s="118">
        <f t="shared" si="11"/>
      </c>
      <c r="U43" s="118">
        <f t="shared" si="12"/>
      </c>
      <c r="V43" s="118">
        <f t="shared" si="13"/>
      </c>
      <c r="W43" s="118">
        <f t="shared" si="14"/>
      </c>
      <c r="X43" s="118">
        <f t="shared" si="15"/>
      </c>
      <c r="Y43" s="118">
        <f t="shared" si="16"/>
      </c>
      <c r="Z43" s="5"/>
      <c r="AA43" s="5"/>
      <c r="AB43" s="5"/>
      <c r="AC43" s="5"/>
      <c r="AD43" s="5"/>
      <c r="AE43" s="5"/>
    </row>
    <row r="44" spans="1:31" x14ac:dyDescent="0.35">
      <c r="A44" s="5"/>
      <c r="B44" s="5"/>
      <c r="C44" s="5"/>
      <c r="D44" s="6"/>
      <c r="E44" s="118">
        <f t="shared" si="0"/>
      </c>
      <c r="F44" s="118">
        <f t="shared" si="1"/>
      </c>
      <c r="G44" s="118">
        <f t="shared" si="2"/>
      </c>
      <c r="H44" s="118">
        <f t="shared" si="3"/>
      </c>
      <c r="I44" s="119"/>
      <c r="J44" s="119"/>
      <c r="K44" s="119"/>
      <c r="L44" s="119"/>
      <c r="M44" s="118">
        <f t="shared" si="4"/>
      </c>
      <c r="N44" s="8">
        <f t="shared" si="5"/>
      </c>
      <c r="O44" s="118">
        <f t="shared" si="6"/>
      </c>
      <c r="P44" s="118">
        <f t="shared" si="7"/>
      </c>
      <c r="Q44" s="118">
        <f t="shared" si="8"/>
      </c>
      <c r="R44" s="7">
        <f t="shared" si="9"/>
      </c>
      <c r="S44" s="118">
        <f t="shared" si="10"/>
      </c>
      <c r="T44" s="118">
        <f t="shared" si="11"/>
      </c>
      <c r="U44" s="118">
        <f t="shared" si="12"/>
      </c>
      <c r="V44" s="118">
        <f t="shared" si="13"/>
      </c>
      <c r="W44" s="118">
        <f t="shared" si="14"/>
      </c>
      <c r="X44" s="118">
        <f t="shared" si="15"/>
      </c>
      <c r="Y44" s="118">
        <f t="shared" si="16"/>
      </c>
      <c r="Z44" s="5"/>
      <c r="AA44" s="5"/>
      <c r="AB44" s="5"/>
      <c r="AC44" s="5"/>
      <c r="AD44" s="5"/>
      <c r="AE44" s="5"/>
    </row>
    <row r="45" spans="1:31" x14ac:dyDescent="0.35">
      <c r="A45" s="5"/>
      <c r="B45" s="5"/>
      <c r="C45" s="5"/>
      <c r="D45" s="6"/>
      <c r="E45" s="118">
        <f t="shared" si="0"/>
      </c>
      <c r="F45" s="118">
        <f t="shared" si="1"/>
      </c>
      <c r="G45" s="118">
        <f t="shared" si="2"/>
      </c>
      <c r="H45" s="118">
        <f t="shared" si="3"/>
      </c>
      <c r="I45" s="119"/>
      <c r="J45" s="119"/>
      <c r="K45" s="119"/>
      <c r="L45" s="119"/>
      <c r="M45" s="118">
        <f t="shared" si="4"/>
      </c>
      <c r="N45" s="8">
        <f t="shared" si="5"/>
      </c>
      <c r="O45" s="118">
        <f t="shared" si="6"/>
      </c>
      <c r="P45" s="118">
        <f t="shared" si="7"/>
      </c>
      <c r="Q45" s="118">
        <f t="shared" si="8"/>
      </c>
      <c r="R45" s="7">
        <f t="shared" si="9"/>
      </c>
      <c r="S45" s="118">
        <f t="shared" si="10"/>
      </c>
      <c r="T45" s="118">
        <f t="shared" si="11"/>
      </c>
      <c r="U45" s="118">
        <f t="shared" si="12"/>
      </c>
      <c r="V45" s="118">
        <f t="shared" si="13"/>
      </c>
      <c r="W45" s="118">
        <f t="shared" si="14"/>
      </c>
      <c r="X45" s="118">
        <f t="shared" si="15"/>
      </c>
      <c r="Y45" s="118">
        <f t="shared" si="16"/>
      </c>
      <c r="Z45" s="5"/>
      <c r="AA45" s="5"/>
      <c r="AB45" s="5"/>
      <c r="AC45" s="5"/>
      <c r="AD45" s="5"/>
      <c r="AE45" s="5"/>
    </row>
    <row r="46" spans="1:31" x14ac:dyDescent="0.35">
      <c r="A46" s="5"/>
      <c r="B46" s="5"/>
      <c r="C46" s="5"/>
      <c r="D46" s="6"/>
      <c r="E46" s="118">
        <f t="shared" si="0"/>
      </c>
      <c r="F46" s="118">
        <f t="shared" si="1"/>
      </c>
      <c r="G46" s="118">
        <f t="shared" si="2"/>
      </c>
      <c r="H46" s="118">
        <f t="shared" si="3"/>
      </c>
      <c r="I46" s="119"/>
      <c r="J46" s="119"/>
      <c r="K46" s="119"/>
      <c r="L46" s="119"/>
      <c r="M46" s="118">
        <f t="shared" si="4"/>
      </c>
      <c r="N46" s="8">
        <f t="shared" si="5"/>
      </c>
      <c r="O46" s="118">
        <f t="shared" si="6"/>
      </c>
      <c r="P46" s="118">
        <f t="shared" si="7"/>
      </c>
      <c r="Q46" s="118">
        <f t="shared" si="8"/>
      </c>
      <c r="R46" s="7">
        <f t="shared" si="9"/>
      </c>
      <c r="S46" s="118">
        <f t="shared" si="10"/>
      </c>
      <c r="T46" s="118">
        <f t="shared" si="11"/>
      </c>
      <c r="U46" s="118">
        <f t="shared" si="12"/>
      </c>
      <c r="V46" s="118">
        <f t="shared" si="13"/>
      </c>
      <c r="W46" s="118">
        <f t="shared" si="14"/>
      </c>
      <c r="X46" s="118">
        <f t="shared" si="15"/>
      </c>
      <c r="Y46" s="118">
        <f t="shared" si="16"/>
      </c>
      <c r="Z46" s="5"/>
      <c r="AA46" s="5"/>
      <c r="AB46" s="5"/>
      <c r="AC46" s="5"/>
      <c r="AD46" s="5"/>
      <c r="AE46" s="5"/>
    </row>
    <row r="47" spans="1:31" x14ac:dyDescent="0.35">
      <c r="A47" s="5"/>
      <c r="B47" s="5"/>
      <c r="C47" s="5"/>
      <c r="D47" s="6"/>
      <c r="E47" s="118">
        <f t="shared" si="0"/>
      </c>
      <c r="F47" s="118">
        <f t="shared" si="1"/>
      </c>
      <c r="G47" s="118">
        <f t="shared" si="2"/>
      </c>
      <c r="H47" s="118">
        <f t="shared" si="3"/>
      </c>
      <c r="I47" s="119"/>
      <c r="J47" s="119"/>
      <c r="K47" s="119"/>
      <c r="L47" s="119"/>
      <c r="M47" s="118">
        <f t="shared" si="4"/>
      </c>
      <c r="N47" s="8">
        <f t="shared" si="5"/>
      </c>
      <c r="O47" s="118">
        <f t="shared" si="6"/>
      </c>
      <c r="P47" s="118">
        <f t="shared" si="7"/>
      </c>
      <c r="Q47" s="118">
        <f t="shared" si="8"/>
      </c>
      <c r="R47" s="7">
        <f t="shared" si="9"/>
      </c>
      <c r="S47" s="118">
        <f t="shared" si="10"/>
      </c>
      <c r="T47" s="118">
        <f t="shared" si="11"/>
      </c>
      <c r="U47" s="118">
        <f t="shared" si="12"/>
      </c>
      <c r="V47" s="118">
        <f t="shared" si="13"/>
      </c>
      <c r="W47" s="118">
        <f t="shared" si="14"/>
      </c>
      <c r="X47" s="118">
        <f t="shared" si="15"/>
      </c>
      <c r="Y47" s="118">
        <f t="shared" si="16"/>
      </c>
      <c r="Z47" s="5"/>
      <c r="AA47" s="5"/>
      <c r="AB47" s="5"/>
      <c r="AC47" s="5"/>
      <c r="AD47" s="5"/>
      <c r="AE47" s="5"/>
    </row>
    <row r="48" spans="1:31" x14ac:dyDescent="0.35">
      <c r="A48" s="5"/>
      <c r="B48" s="5"/>
      <c r="C48" s="5"/>
      <c r="D48" s="6"/>
      <c r="E48" s="118">
        <f t="shared" si="0"/>
      </c>
      <c r="F48" s="118">
        <f t="shared" si="1"/>
      </c>
      <c r="G48" s="118">
        <f t="shared" si="2"/>
      </c>
      <c r="H48" s="118">
        <f t="shared" si="3"/>
      </c>
      <c r="I48" s="119"/>
      <c r="J48" s="119"/>
      <c r="K48" s="119"/>
      <c r="L48" s="119"/>
      <c r="M48" s="118">
        <f t="shared" si="4"/>
      </c>
      <c r="N48" s="8">
        <f t="shared" si="5"/>
      </c>
      <c r="O48" s="118">
        <f t="shared" si="6"/>
      </c>
      <c r="P48" s="118">
        <f t="shared" si="7"/>
      </c>
      <c r="Q48" s="118">
        <f t="shared" si="8"/>
      </c>
      <c r="R48" s="7">
        <f t="shared" si="9"/>
      </c>
      <c r="S48" s="118">
        <f t="shared" si="10"/>
      </c>
      <c r="T48" s="118">
        <f t="shared" si="11"/>
      </c>
      <c r="U48" s="118">
        <f t="shared" si="12"/>
      </c>
      <c r="V48" s="118">
        <f t="shared" si="13"/>
      </c>
      <c r="W48" s="118">
        <f t="shared" si="14"/>
      </c>
      <c r="X48" s="118">
        <f t="shared" si="15"/>
      </c>
      <c r="Y48" s="118">
        <f t="shared" si="16"/>
      </c>
      <c r="Z48" s="5"/>
      <c r="AA48" s="5"/>
      <c r="AB48" s="5"/>
      <c r="AC48" s="5"/>
      <c r="AD48" s="5"/>
      <c r="AE48" s="5"/>
    </row>
    <row r="49" spans="1:31" x14ac:dyDescent="0.35">
      <c r="A49" s="5"/>
      <c r="B49" s="5"/>
      <c r="C49" s="5"/>
      <c r="D49" s="6"/>
      <c r="E49" s="118">
        <f t="shared" si="0"/>
      </c>
      <c r="F49" s="118">
        <f t="shared" si="1"/>
      </c>
      <c r="G49" s="118">
        <f t="shared" si="2"/>
      </c>
      <c r="H49" s="118">
        <f t="shared" si="3"/>
      </c>
      <c r="I49" s="119"/>
      <c r="J49" s="119"/>
      <c r="K49" s="119"/>
      <c r="L49" s="119"/>
      <c r="M49" s="118">
        <f t="shared" si="4"/>
      </c>
      <c r="N49" s="8">
        <f t="shared" si="5"/>
      </c>
      <c r="O49" s="118">
        <f t="shared" si="6"/>
      </c>
      <c r="P49" s="118">
        <f t="shared" si="7"/>
      </c>
      <c r="Q49" s="118">
        <f t="shared" si="8"/>
      </c>
      <c r="R49" s="7">
        <f t="shared" si="9"/>
      </c>
      <c r="S49" s="118">
        <f t="shared" si="10"/>
      </c>
      <c r="T49" s="118">
        <f t="shared" si="11"/>
      </c>
      <c r="U49" s="118">
        <f t="shared" si="12"/>
      </c>
      <c r="V49" s="118">
        <f t="shared" si="13"/>
      </c>
      <c r="W49" s="118">
        <f t="shared" si="14"/>
      </c>
      <c r="X49" s="118">
        <f t="shared" si="15"/>
      </c>
      <c r="Y49" s="118">
        <f t="shared" si="16"/>
      </c>
      <c r="Z49" s="5"/>
      <c r="AA49" s="5"/>
      <c r="AB49" s="5"/>
      <c r="AC49" s="5"/>
      <c r="AD49" s="5"/>
      <c r="AE49" s="5"/>
    </row>
    <row r="50" spans="1:31" x14ac:dyDescent="0.35">
      <c r="A50" s="5"/>
      <c r="B50" s="5"/>
      <c r="C50" s="5"/>
      <c r="D50" s="6"/>
      <c r="E50" s="118">
        <f t="shared" si="0"/>
      </c>
      <c r="F50" s="118">
        <f t="shared" si="1"/>
      </c>
      <c r="G50" s="118">
        <f t="shared" si="2"/>
      </c>
      <c r="H50" s="118">
        <f t="shared" si="3"/>
      </c>
      <c r="I50" s="119"/>
      <c r="J50" s="119"/>
      <c r="K50" s="119"/>
      <c r="L50" s="119"/>
      <c r="M50" s="118">
        <f t="shared" si="4"/>
      </c>
      <c r="N50" s="8">
        <f t="shared" si="5"/>
      </c>
      <c r="O50" s="118">
        <f t="shared" si="6"/>
      </c>
      <c r="P50" s="118">
        <f t="shared" si="7"/>
      </c>
      <c r="Q50" s="118">
        <f t="shared" si="8"/>
      </c>
      <c r="R50" s="7">
        <f t="shared" si="9"/>
      </c>
      <c r="S50" s="118">
        <f t="shared" si="10"/>
      </c>
      <c r="T50" s="118">
        <f t="shared" si="11"/>
      </c>
      <c r="U50" s="118">
        <f t="shared" si="12"/>
      </c>
      <c r="V50" s="118">
        <f t="shared" si="13"/>
      </c>
      <c r="W50" s="118">
        <f t="shared" si="14"/>
      </c>
      <c r="X50" s="118">
        <f t="shared" si="15"/>
      </c>
      <c r="Y50" s="118">
        <f t="shared" si="16"/>
      </c>
      <c r="Z50" s="5"/>
      <c r="AA50" s="5"/>
      <c r="AB50" s="5"/>
      <c r="AC50" s="5"/>
      <c r="AD50" s="5"/>
      <c r="AE50" s="5"/>
    </row>
    <row r="51" spans="1:31" x14ac:dyDescent="0.35">
      <c r="A51" s="5"/>
      <c r="B51" s="5"/>
      <c r="C51" s="5"/>
      <c r="D51" s="6"/>
      <c r="E51" s="118">
        <f t="shared" si="0"/>
      </c>
      <c r="F51" s="118">
        <f t="shared" si="1"/>
      </c>
      <c r="G51" s="118">
        <f t="shared" si="2"/>
      </c>
      <c r="H51" s="118">
        <f t="shared" si="3"/>
      </c>
      <c r="I51" s="119"/>
      <c r="J51" s="119"/>
      <c r="K51" s="119"/>
      <c r="L51" s="119"/>
      <c r="M51" s="118">
        <f t="shared" si="4"/>
      </c>
      <c r="N51" s="8">
        <f t="shared" si="5"/>
      </c>
      <c r="O51" s="118">
        <f t="shared" si="6"/>
      </c>
      <c r="P51" s="118">
        <f t="shared" si="7"/>
      </c>
      <c r="Q51" s="118">
        <f t="shared" si="8"/>
      </c>
      <c r="R51" s="7">
        <f t="shared" si="9"/>
      </c>
      <c r="S51" s="118">
        <f t="shared" si="10"/>
      </c>
      <c r="T51" s="118">
        <f t="shared" si="11"/>
      </c>
      <c r="U51" s="118">
        <f t="shared" si="12"/>
      </c>
      <c r="V51" s="118">
        <f t="shared" si="13"/>
      </c>
      <c r="W51" s="118">
        <f t="shared" si="14"/>
      </c>
      <c r="X51" s="118">
        <f t="shared" si="15"/>
      </c>
      <c r="Y51" s="118">
        <f t="shared" si="16"/>
      </c>
      <c r="Z51" s="5"/>
      <c r="AA51" s="5"/>
      <c r="AB51" s="5"/>
      <c r="AC51" s="5"/>
      <c r="AD51" s="5"/>
      <c r="AE51" s="5"/>
    </row>
    <row r="52" spans="1:31" x14ac:dyDescent="0.35">
      <c r="A52" s="5"/>
      <c r="B52" s="5"/>
      <c r="C52" s="5"/>
      <c r="D52" s="6"/>
      <c r="E52" s="118">
        <f t="shared" si="0"/>
      </c>
      <c r="F52" s="118">
        <f t="shared" si="1"/>
      </c>
      <c r="G52" s="118">
        <f t="shared" si="2"/>
      </c>
      <c r="H52" s="118">
        <f t="shared" si="3"/>
      </c>
      <c r="I52" s="119"/>
      <c r="J52" s="119"/>
      <c r="K52" s="119"/>
      <c r="L52" s="119"/>
      <c r="M52" s="118">
        <f t="shared" si="4"/>
      </c>
      <c r="N52" s="8">
        <f t="shared" si="5"/>
      </c>
      <c r="O52" s="118">
        <f t="shared" si="6"/>
      </c>
      <c r="P52" s="118">
        <f t="shared" si="7"/>
      </c>
      <c r="Q52" s="118">
        <f t="shared" si="8"/>
      </c>
      <c r="R52" s="7">
        <f t="shared" si="9"/>
      </c>
      <c r="S52" s="118">
        <f t="shared" si="10"/>
      </c>
      <c r="T52" s="118">
        <f t="shared" si="11"/>
      </c>
      <c r="U52" s="118">
        <f t="shared" si="12"/>
      </c>
      <c r="V52" s="118">
        <f t="shared" si="13"/>
      </c>
      <c r="W52" s="118">
        <f t="shared" si="14"/>
      </c>
      <c r="X52" s="118">
        <f t="shared" si="15"/>
      </c>
      <c r="Y52" s="118">
        <f t="shared" si="16"/>
      </c>
      <c r="Z52" s="5"/>
      <c r="AA52" s="5"/>
      <c r="AB52" s="5"/>
      <c r="AC52" s="5"/>
      <c r="AD52" s="5"/>
      <c r="AE52" s="5"/>
    </row>
    <row r="53" spans="1:31" x14ac:dyDescent="0.35">
      <c r="A53" s="5"/>
      <c r="B53" s="5"/>
      <c r="C53" s="5"/>
      <c r="D53" s="6"/>
      <c r="E53" s="118">
        <f t="shared" si="0"/>
      </c>
      <c r="F53" s="118">
        <f t="shared" si="1"/>
      </c>
      <c r="G53" s="118">
        <f t="shared" si="2"/>
      </c>
      <c r="H53" s="118">
        <f t="shared" si="3"/>
      </c>
      <c r="I53" s="119"/>
      <c r="J53" s="119"/>
      <c r="K53" s="119"/>
      <c r="L53" s="119"/>
      <c r="M53" s="118">
        <f t="shared" si="4"/>
      </c>
      <c r="N53" s="8">
        <f t="shared" si="5"/>
      </c>
      <c r="O53" s="118">
        <f t="shared" si="6"/>
      </c>
      <c r="P53" s="118">
        <f t="shared" si="7"/>
      </c>
      <c r="Q53" s="118">
        <f t="shared" si="8"/>
      </c>
      <c r="R53" s="7">
        <f t="shared" si="9"/>
      </c>
      <c r="S53" s="118">
        <f t="shared" si="10"/>
      </c>
      <c r="T53" s="118">
        <f t="shared" si="11"/>
      </c>
      <c r="U53" s="118">
        <f t="shared" si="12"/>
      </c>
      <c r="V53" s="118">
        <f t="shared" si="13"/>
      </c>
      <c r="W53" s="118">
        <f t="shared" si="14"/>
      </c>
      <c r="X53" s="118">
        <f t="shared" si="15"/>
      </c>
      <c r="Y53" s="118">
        <f t="shared" si="16"/>
      </c>
      <c r="Z53" s="5"/>
      <c r="AA53" s="5"/>
      <c r="AB53" s="5"/>
      <c r="AC53" s="5"/>
      <c r="AD53" s="5"/>
      <c r="AE53" s="5"/>
    </row>
    <row r="54" spans="1:31" x14ac:dyDescent="0.35">
      <c r="A54" s="5"/>
      <c r="B54" s="5"/>
      <c r="C54" s="5"/>
      <c r="D54" s="6"/>
      <c r="E54" s="118">
        <f t="shared" si="0"/>
      </c>
      <c r="F54" s="118">
        <f t="shared" si="1"/>
      </c>
      <c r="G54" s="118">
        <f t="shared" si="2"/>
      </c>
      <c r="H54" s="118">
        <f t="shared" si="3"/>
      </c>
      <c r="I54" s="119"/>
      <c r="J54" s="119"/>
      <c r="K54" s="119"/>
      <c r="L54" s="119"/>
      <c r="M54" s="118">
        <f t="shared" si="4"/>
      </c>
      <c r="N54" s="8">
        <f t="shared" si="5"/>
      </c>
      <c r="O54" s="118">
        <f t="shared" si="6"/>
      </c>
      <c r="P54" s="118">
        <f t="shared" si="7"/>
      </c>
      <c r="Q54" s="118">
        <f t="shared" si="8"/>
      </c>
      <c r="R54" s="7">
        <f t="shared" si="9"/>
      </c>
      <c r="S54" s="118">
        <f t="shared" si="10"/>
      </c>
      <c r="T54" s="118">
        <f t="shared" si="11"/>
      </c>
      <c r="U54" s="118">
        <f t="shared" si="12"/>
      </c>
      <c r="V54" s="118">
        <f t="shared" si="13"/>
      </c>
      <c r="W54" s="118">
        <f t="shared" si="14"/>
      </c>
      <c r="X54" s="118">
        <f t="shared" si="15"/>
      </c>
      <c r="Y54" s="118">
        <f t="shared" si="16"/>
      </c>
      <c r="Z54" s="5"/>
      <c r="AA54" s="5"/>
      <c r="AB54" s="5"/>
      <c r="AC54" s="5"/>
      <c r="AD54" s="5"/>
      <c r="AE54" s="5"/>
    </row>
    <row r="55" spans="1:31" x14ac:dyDescent="0.35">
      <c r="A55" s="5"/>
      <c r="B55" s="5"/>
      <c r="C55" s="5"/>
      <c r="D55" s="6"/>
      <c r="E55" s="118">
        <f t="shared" si="0"/>
      </c>
      <c r="F55" s="118">
        <f t="shared" si="1"/>
      </c>
      <c r="G55" s="118">
        <f t="shared" si="2"/>
      </c>
      <c r="H55" s="118">
        <f t="shared" si="3"/>
      </c>
      <c r="I55" s="119"/>
      <c r="J55" s="119"/>
      <c r="K55" s="119"/>
      <c r="L55" s="119"/>
      <c r="M55" s="118">
        <f t="shared" si="4"/>
      </c>
      <c r="N55" s="8">
        <f t="shared" si="5"/>
      </c>
      <c r="O55" s="118">
        <f t="shared" si="6"/>
      </c>
      <c r="P55" s="118">
        <f t="shared" si="7"/>
      </c>
      <c r="Q55" s="118">
        <f t="shared" si="8"/>
      </c>
      <c r="R55" s="7">
        <f t="shared" si="9"/>
      </c>
      <c r="S55" s="118">
        <f t="shared" si="10"/>
      </c>
      <c r="T55" s="118">
        <f t="shared" si="11"/>
      </c>
      <c r="U55" s="118">
        <f t="shared" si="12"/>
      </c>
      <c r="V55" s="118">
        <f t="shared" si="13"/>
      </c>
      <c r="W55" s="118">
        <f t="shared" si="14"/>
      </c>
      <c r="X55" s="118">
        <f t="shared" si="15"/>
      </c>
      <c r="Y55" s="118">
        <f t="shared" si="16"/>
      </c>
      <c r="Z55" s="5"/>
      <c r="AA55" s="5"/>
      <c r="AB55" s="5"/>
      <c r="AC55" s="5"/>
      <c r="AD55" s="5"/>
      <c r="AE55" s="5"/>
    </row>
    <row r="56" spans="1:31" x14ac:dyDescent="0.35">
      <c r="A56" s="5"/>
      <c r="B56" s="5"/>
      <c r="C56" s="5"/>
      <c r="D56" s="6"/>
      <c r="E56" s="118">
        <f t="shared" si="0"/>
      </c>
      <c r="F56" s="118">
        <f t="shared" si="1"/>
      </c>
      <c r="G56" s="118">
        <f t="shared" si="2"/>
      </c>
      <c r="H56" s="118">
        <f t="shared" si="3"/>
      </c>
      <c r="I56" s="119"/>
      <c r="J56" s="119"/>
      <c r="K56" s="119"/>
      <c r="L56" s="119"/>
      <c r="M56" s="118">
        <f t="shared" si="4"/>
      </c>
      <c r="N56" s="8">
        <f t="shared" si="5"/>
      </c>
      <c r="O56" s="118">
        <f t="shared" si="6"/>
      </c>
      <c r="P56" s="118">
        <f t="shared" si="7"/>
      </c>
      <c r="Q56" s="118">
        <f t="shared" si="8"/>
      </c>
      <c r="R56" s="7">
        <f t="shared" si="9"/>
      </c>
      <c r="S56" s="118">
        <f t="shared" si="10"/>
      </c>
      <c r="T56" s="118">
        <f t="shared" si="11"/>
      </c>
      <c r="U56" s="118">
        <f t="shared" si="12"/>
      </c>
      <c r="V56" s="118">
        <f t="shared" si="13"/>
      </c>
      <c r="W56" s="118">
        <f t="shared" si="14"/>
      </c>
      <c r="X56" s="118">
        <f t="shared" si="15"/>
      </c>
      <c r="Y56" s="118">
        <f t="shared" si="16"/>
      </c>
      <c r="Z56" s="5"/>
      <c r="AA56" s="5"/>
      <c r="AB56" s="5"/>
      <c r="AC56" s="5"/>
      <c r="AD56" s="5"/>
      <c r="AE56" s="5"/>
    </row>
    <row r="57" spans="1:31" x14ac:dyDescent="0.35">
      <c r="A57" s="5"/>
      <c r="B57" s="5"/>
      <c r="C57" s="5"/>
      <c r="D57" s="6"/>
      <c r="E57" s="118">
        <f t="shared" si="0"/>
      </c>
      <c r="F57" s="118">
        <f t="shared" si="1"/>
      </c>
      <c r="G57" s="118">
        <f t="shared" si="2"/>
      </c>
      <c r="H57" s="118">
        <f t="shared" si="3"/>
      </c>
      <c r="I57" s="119"/>
      <c r="J57" s="119"/>
      <c r="K57" s="119"/>
      <c r="L57" s="119"/>
      <c r="M57" s="118">
        <f t="shared" si="4"/>
      </c>
      <c r="N57" s="8">
        <f t="shared" si="5"/>
      </c>
      <c r="O57" s="118">
        <f t="shared" si="6"/>
      </c>
      <c r="P57" s="118">
        <f t="shared" si="7"/>
      </c>
      <c r="Q57" s="118">
        <f t="shared" si="8"/>
      </c>
      <c r="R57" s="7">
        <f t="shared" si="9"/>
      </c>
      <c r="S57" s="118">
        <f t="shared" si="10"/>
      </c>
      <c r="T57" s="118">
        <f t="shared" si="11"/>
      </c>
      <c r="U57" s="118">
        <f t="shared" si="12"/>
      </c>
      <c r="V57" s="118">
        <f t="shared" si="13"/>
      </c>
      <c r="W57" s="118">
        <f t="shared" si="14"/>
      </c>
      <c r="X57" s="118">
        <f t="shared" si="15"/>
      </c>
      <c r="Y57" s="118">
        <f t="shared" si="16"/>
      </c>
      <c r="Z57" s="5"/>
      <c r="AA57" s="5"/>
      <c r="AB57" s="5"/>
      <c r="AC57" s="5"/>
      <c r="AD57" s="5"/>
      <c r="AE57" s="5"/>
    </row>
    <row r="58" spans="1:31" x14ac:dyDescent="0.35">
      <c r="A58" s="5"/>
      <c r="B58" s="5"/>
      <c r="C58" s="5"/>
      <c r="D58" s="6"/>
      <c r="E58" s="118">
        <f t="shared" si="0"/>
      </c>
      <c r="F58" s="118">
        <f t="shared" si="1"/>
      </c>
      <c r="G58" s="118">
        <f t="shared" si="2"/>
      </c>
      <c r="H58" s="118">
        <f t="shared" si="3"/>
      </c>
      <c r="I58" s="119"/>
      <c r="J58" s="119"/>
      <c r="K58" s="119"/>
      <c r="L58" s="119"/>
      <c r="M58" s="118">
        <f t="shared" si="4"/>
      </c>
      <c r="N58" s="8">
        <f t="shared" si="5"/>
      </c>
      <c r="O58" s="118">
        <f t="shared" si="6"/>
      </c>
      <c r="P58" s="118">
        <f t="shared" si="7"/>
      </c>
      <c r="Q58" s="118">
        <f t="shared" si="8"/>
      </c>
      <c r="R58" s="7">
        <f t="shared" si="9"/>
      </c>
      <c r="S58" s="118">
        <f t="shared" si="10"/>
      </c>
      <c r="T58" s="118">
        <f t="shared" si="11"/>
      </c>
      <c r="U58" s="118">
        <f t="shared" si="12"/>
      </c>
      <c r="V58" s="118">
        <f t="shared" si="13"/>
      </c>
      <c r="W58" s="118">
        <f t="shared" si="14"/>
      </c>
      <c r="X58" s="118">
        <f t="shared" si="15"/>
      </c>
      <c r="Y58" s="118">
        <f t="shared" si="16"/>
      </c>
      <c r="Z58" s="5"/>
      <c r="AA58" s="5"/>
      <c r="AB58" s="5"/>
      <c r="AC58" s="5"/>
      <c r="AD58" s="5"/>
      <c r="AE58" s="5"/>
    </row>
    <row r="59" spans="1:31" x14ac:dyDescent="0.35">
      <c r="A59" s="5"/>
      <c r="B59" s="5"/>
      <c r="C59" s="5"/>
      <c r="D59" s="6"/>
      <c r="E59" s="118">
        <f t="shared" si="0"/>
      </c>
      <c r="F59" s="118">
        <f t="shared" si="1"/>
      </c>
      <c r="G59" s="118">
        <f t="shared" si="2"/>
      </c>
      <c r="H59" s="118">
        <f t="shared" si="3"/>
      </c>
      <c r="I59" s="119"/>
      <c r="J59" s="119"/>
      <c r="K59" s="119"/>
      <c r="L59" s="119"/>
      <c r="M59" s="118">
        <f t="shared" si="4"/>
      </c>
      <c r="N59" s="8">
        <f t="shared" si="5"/>
      </c>
      <c r="O59" s="118">
        <f t="shared" si="6"/>
      </c>
      <c r="P59" s="118">
        <f t="shared" si="7"/>
      </c>
      <c r="Q59" s="118">
        <f t="shared" si="8"/>
      </c>
      <c r="R59" s="7">
        <f t="shared" si="9"/>
      </c>
      <c r="S59" s="118">
        <f t="shared" si="10"/>
      </c>
      <c r="T59" s="118">
        <f t="shared" si="11"/>
      </c>
      <c r="U59" s="118">
        <f t="shared" si="12"/>
      </c>
      <c r="V59" s="118">
        <f t="shared" si="13"/>
      </c>
      <c r="W59" s="118">
        <f t="shared" si="14"/>
      </c>
      <c r="X59" s="118">
        <f t="shared" si="15"/>
      </c>
      <c r="Y59" s="118">
        <f t="shared" si="16"/>
      </c>
      <c r="Z59" s="5"/>
      <c r="AA59" s="5"/>
      <c r="AB59" s="5"/>
      <c r="AC59" s="5"/>
      <c r="AD59" s="5"/>
      <c r="AE59" s="5"/>
    </row>
    <row r="60" spans="1:31" x14ac:dyDescent="0.35">
      <c r="A60" s="9" t="s">
        <v>37</v>
      </c>
      <c r="D60" s="10">
        <f>SUBTOTAL(9,D30:D59)</f>
      </c>
      <c r="E60" s="10">
        <f>SUBTOTAL(9,E30:E59)</f>
      </c>
      <c r="F60" s="10">
        <f>SUBTOTAL(9,F30:F59)</f>
      </c>
      <c r="G60" s="10">
        <f>SUBTOTAL(9,G30:G59)</f>
      </c>
      <c r="I60" s="10">
        <f>SUBTOTAL(9,I30:I59)</f>
      </c>
      <c r="J60" s="10">
        <f>SUBTOTAL(9,J30:J59)</f>
      </c>
      <c r="K60" s="10">
        <f>SUBTOTAL(9,K30:K59)</f>
      </c>
      <c r="L60" s="10">
        <f>SUBTOTAL(9,L30:L59)</f>
      </c>
      <c r="M60" s="10">
        <f>SUBTOTAL(9,M30:M59)</f>
      </c>
      <c r="O60" s="10">
        <f t="shared" ref="O60:Y60" si="17">SUBTOTAL(9,O30:O59)</f>
      </c>
      <c r="P60" s="10">
        <f t="shared" si="17"/>
      </c>
      <c r="Q60" s="10">
        <f t="shared" si="17"/>
      </c>
      <c r="R60" s="10">
        <f t="shared" si="17"/>
      </c>
      <c r="S60" s="10">
        <f t="shared" si="17"/>
      </c>
      <c r="T60" s="10">
        <f t="shared" si="17"/>
      </c>
      <c r="U60" s="10">
        <f t="shared" si="17"/>
      </c>
      <c r="V60" s="10">
        <f t="shared" si="17"/>
      </c>
      <c r="W60" s="10">
        <f t="shared" si="17"/>
      </c>
      <c r="X60" s="10">
        <f t="shared" si="17"/>
      </c>
      <c r="Y60" s="10">
        <f t="shared" si="17"/>
      </c>
    </row>
  </sheetData>
  <mergeCells count="112">
    <mergeCell ref="A1:AE1"/>
    <mergeCell ref="K6:O7"/>
    <mergeCell ref="D20:F20"/>
    <mergeCell ref="K15:M15"/>
    <mergeCell ref="K24:M24"/>
    <mergeCell ref="H10:J10"/>
    <mergeCell ref="D22:F22"/>
    <mergeCell ref="K21:M21"/>
    <mergeCell ref="T28:U28"/>
    <mergeCell ref="Y21:AA21"/>
    <mergeCell ref="D13:F13"/>
    <mergeCell ref="O16:Q16"/>
    <mergeCell ref="V11:X11"/>
    <mergeCell ref="Y16:AA16"/>
    <mergeCell ref="A17:C17"/>
    <mergeCell ref="H12:J12"/>
    <mergeCell ref="D15:F15"/>
    <mergeCell ref="D24:F24"/>
    <mergeCell ref="A10:C10"/>
    <mergeCell ref="O11:Q11"/>
    <mergeCell ref="H14:J14"/>
    <mergeCell ref="H23:J23"/>
    <mergeCell ref="O20:X20"/>
    <mergeCell ref="E28:H28"/>
    <mergeCell ref="Y23:AA23"/>
    <mergeCell ref="U6:Y7"/>
    <mergeCell ref="A5:E5"/>
    <mergeCell ref="A15:C15"/>
    <mergeCell ref="V17:X17"/>
    <mergeCell ref="A24:C24"/>
    <mergeCell ref="H20:J20"/>
    <mergeCell ref="R11:T11"/>
    <mergeCell ref="Y24:AA24"/>
    <mergeCell ref="D21:F21"/>
    <mergeCell ref="P5:T5"/>
    <mergeCell ref="A16:C16"/>
    <mergeCell ref="Y10:AA10"/>
    <mergeCell ref="Y17:AA17"/>
    <mergeCell ref="D16:F16"/>
    <mergeCell ref="A19:M19"/>
    <mergeCell ref="Z5:AE5"/>
    <mergeCell ref="H13:J13"/>
    <mergeCell ref="A9:M9"/>
    <mergeCell ref="A22:C22"/>
    <mergeCell ref="O17:Q17"/>
    <mergeCell ref="O19:AA19"/>
    <mergeCell ref="A20:C20"/>
    <mergeCell ref="V16:X16"/>
    <mergeCell ref="A28:D28"/>
    <mergeCell ref="H16:J16"/>
    <mergeCell ref="O23:X23"/>
    <mergeCell ref="A14:C14"/>
    <mergeCell ref="K14:M14"/>
    <mergeCell ref="O12:Q12"/>
    <mergeCell ref="K23:M23"/>
    <mergeCell ref="R17:T17"/>
    <mergeCell ref="I28:M28"/>
    <mergeCell ref="O24:X24"/>
    <mergeCell ref="A13:C13"/>
    <mergeCell ref="O25:X25"/>
    <mergeCell ref="A27:AE27"/>
    <mergeCell ref="Y25:AA25"/>
    <mergeCell ref="H15:J15"/>
    <mergeCell ref="H24:J24"/>
    <mergeCell ref="K13:M13"/>
    <mergeCell ref="O22:X22"/>
    <mergeCell ref="O21:X21"/>
    <mergeCell ref="R16:T16"/>
    <mergeCell ref="N28"/>
    <mergeCell ref="P6:T7"/>
    <mergeCell ref="K20:M20"/>
    <mergeCell ref="H21:J21"/>
    <mergeCell ref="K11:M11"/>
    <mergeCell ref="Y20:AA20"/>
    <mergeCell ref="A2:AE2"/>
    <mergeCell ref="K22:M22"/>
    <mergeCell ref="Z6:AE7"/>
    <mergeCell ref="D17:F17"/>
    <mergeCell ref="K5:O5"/>
    <mergeCell ref="Y22:AA22"/>
    <mergeCell ref="K12:M12"/>
    <mergeCell ref="A12:C12"/>
    <mergeCell ref="O9:AA9"/>
    <mergeCell ref="D10:F10"/>
    <mergeCell ref="A11:C11"/>
    <mergeCell ref="R10:T10"/>
    <mergeCell ref="U5:Y5"/>
    <mergeCell ref="A6:E7"/>
    <mergeCell ref="V10:X10"/>
    <mergeCell ref="Y11:AA11"/>
    <mergeCell ref="D11:F11"/>
    <mergeCell ref="O28:S28"/>
    <mergeCell ref="A21:C21"/>
    <mergeCell ref="H17:J17"/>
    <mergeCell ref="H11:J11"/>
    <mergeCell ref="A4:AE4"/>
    <mergeCell ref="A23:C23"/>
    <mergeCell ref="V28:W28"/>
    <mergeCell ref="H22:J22"/>
    <mergeCell ref="X28:Y28"/>
    <mergeCell ref="R12:AA13"/>
    <mergeCell ref="D12:F12"/>
    <mergeCell ref="F5:J5"/>
    <mergeCell ref="K17:M17"/>
    <mergeCell ref="O15:AA15"/>
    <mergeCell ref="D14:F14"/>
    <mergeCell ref="K10:M10"/>
    <mergeCell ref="D23:F23"/>
    <mergeCell ref="Z28:AE28"/>
    <mergeCell ref="F6:J7"/>
    <mergeCell ref="K16:M16"/>
    <mergeCell ref="O10:Q10"/>
  </mergeCells>
  <conditionalFormatting sqref="Z6">
    <cfRule type="cellIs" dxfId="1" priority="1" operator="lessThan">
      <formula>1</formula>
    </cfRule>
    <cfRule type="cellIs" dxfId="0" priority="2" operator="greaterThanOrEqual">
      <formula>1</formula>
    </cfRule>
  </conditionalFormatting>
  <dataValidations count="4">
    <dataValidation type="list" allowBlank="1" sqref="D20" xr:uid="{00000000-0002-0000-0000-000000000000}">
      <formula1>"FIJO,VARIABLE"</formula1>
    </dataValidation>
    <dataValidation type="list" allowBlank="1" sqref="B30:B59 D21 R10" xr:uid="{00000000-0002-0000-0000-000001000000}">
      <formula1>"Y,N"</formula1>
    </dataValidation>
    <dataValidation type="list" allowBlank="1" sqref="D24" xr:uid="{00000000-0002-0000-0000-000002000000}">
      <formula1>"Sí,No"</formula1>
    </dataValidation>
    <dataValidation type="list" allowBlank="1" sqref="Y20:Y25" xr:uid="{00000000-0002-0000-0000-000003000000}">
      <formula1>"✓,✗"</formula1>
    </dataValidation>
  </dataValidations>
  <pageMargins left="0.25" right="0.25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8"/>
  <sheetViews>
    <sheetView showGridLines="0" workbookViewId="0"/>
  </sheetViews>
  <sheetFormatPr defaultRowHeight="14.5" x14ac:dyDescent="0.35"/>
  <cols>
    <col min="2" max="2" width="22" customWidth="1"/>
    <col min="3" max="3" width="34" customWidth="1"/>
    <col min="4" max="5" width="20" customWidth="1"/>
    <col min="6" max="6" width="14" customWidth="1"/>
  </cols>
  <sheetData>
    <row r="1" spans="2:6" ht="17" x14ac:dyDescent="0.4">
      <c r="B1" s="122" t="s">
        <v>148</v>
      </c>
      <c r="C1" s="123"/>
      <c r="D1" s="123"/>
      <c r="E1" s="123"/>
      <c r="F1" s="123"/>
    </row>
    <row r="2" spans="2:6" x14ac:dyDescent="0.35">
      <c r="B2" s="124" t="s">
        <v>149</v>
      </c>
    </row>
    <row r="4" spans="2:6" x14ac:dyDescent="0.35">
      <c r="B4" s="125" t="s">
        <v>150</v>
      </c>
      <c r="C4" s="125" t="s">
        <v>151</v>
      </c>
      <c r="D4" s="125" t="s">
        <v>152</v>
      </c>
      <c r="E4" s="125" t="s">
        <v>71</v>
      </c>
      <c r="F4" s="125" t="s">
        <v>153</v>
      </c>
    </row>
    <row r="5" spans="2:6" x14ac:dyDescent="0.35">
      <c r="B5" s="126" t="s">
        <v>154</v>
      </c>
      <c r="C5" s="127" t="s">
        <v>96</v>
      </c>
      <c r="D5" s="128">
        <f>('Informe Subasta'!$D$16-'Informe Subasta'!$D$15)*'Informe Subasta'!$D$22*'Informe Subasta'!$D$10/365</f>
      </c>
      <c r="E5" s="128">
        <f>'Informe Subasta'!$K$10+D5+IF('Informe Subasta'!$D$17&gt;0,'Informe Subasta'!$K$12,'Informe Subasta'!$D$14)</f>
      </c>
      <c r="F5" s="129">
        <f>IFERROR(D5*36500/('Informe Subasta'!$D$10*('Informe Subasta'!$D$16-'Informe Subasta'!$D$15)),0)</f>
      </c>
    </row>
    <row r="6" spans="2:6" x14ac:dyDescent="0.35">
      <c r="B6" s="126" t="s">
        <v>155</v>
      </c>
      <c r="C6" s="127" t="s">
        <v>99</v>
      </c>
      <c r="D6" s="128">
        <f>('Informe Subasta'!$D$16-'Informe Subasta'!$D$15)*'Informe Subasta'!$D$23*'Informe Subasta'!$D$10/365</f>
      </c>
      <c r="E6" s="128">
        <f>'Informe Subasta'!$K$10+D6+IF('Informe Subasta'!$D$17&gt;0,'Informe Subasta'!$K$12,'Informe Subasta'!$D$14)</f>
      </c>
      <c r="F6" s="129">
        <f>IFERROR(D6*36500/('Informe Subasta'!$D$10*('Informe Subasta'!$D$16-'Informe Subasta'!$D$15)),0)</f>
      </c>
    </row>
    <row r="7" spans="2:6" x14ac:dyDescent="0.35">
      <c r="B7" s="126" t="s">
        <v>156</v>
      </c>
      <c r="C7" s="127" t="s">
        <v>157</v>
      </c>
      <c r="D7" s="128">
        <f>SUM('CI Variable'!$O$5:$O$304)</f>
      </c>
      <c r="E7" s="128">
        <f>'Informe Subasta'!$K$10+D7+IF('Informe Subasta'!$D$17&gt;0,'Informe Subasta'!$K$12,'Informe Subasta'!$D$14)</f>
      </c>
      <c r="F7" s="129">
        <f>IFERROR(D7*36500/('Informe Subasta'!$D$10*('Informe Subasta'!$D$16-'Informe Subasta'!$D$15)),0)</f>
      </c>
    </row>
    <row r="8" spans="2:6" x14ac:dyDescent="0.35">
      <c r="B8" s="126" t="s">
        <v>158</v>
      </c>
      <c r="C8" s="127" t="s">
        <v>159</v>
      </c>
      <c r="D8" s="128">
        <f>SUM('CI Variable +3%'!$O$5:$O$304)</f>
      </c>
      <c r="E8" s="128">
        <f>'Informe Subasta'!$K$10+D8+IF('Informe Subasta'!$D$17&gt;0,'Informe Subasta'!$K$12,'Informe Subasta'!$D$14)</f>
      </c>
      <c r="F8" s="129">
        <f>IFERROR(D8*36500/('Informe Subasta'!$D$10*('Informe Subasta'!$D$16-'Informe Subasta'!$D$15)),0)</f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  <pageSetUpPr fitToPage="1"/>
  </sheetPr>
  <dimension ref="A1:P304"/>
  <sheetViews>
    <sheetView zoomScale="68" zoomScaleNormal="89" workbookViewId="0">
      <pane xSplit="6" ySplit="4" topLeftCell="G5" activePane="bottomRight" state="frozen"/>
      <selection pane="topRight"/>
      <selection pane="bottomLeft"/>
      <selection pane="bottomRight" activeCell="L12" sqref="L12"/>
    </sheetView>
  </sheetViews>
  <sheetFormatPr defaultRowHeight="14.5" x14ac:dyDescent="0.35"/>
  <cols>
    <col min="1" max="1" width="26" customWidth="1"/>
    <col min="2" max="3" width="3" customWidth="1"/>
    <col min="4" max="4" width="11" customWidth="1"/>
    <col min="5" max="5" width="7.26953125" customWidth="1"/>
    <col min="6" max="6" width="2" customWidth="1"/>
    <col min="7" max="7" width="6" customWidth="1"/>
    <col min="8" max="9" width="13" customWidth="1"/>
    <col min="10" max="10" width="7" customWidth="1"/>
    <col min="11" max="11" width="13" customWidth="1"/>
    <col min="12" max="14" width="12" customWidth="1"/>
    <col min="15" max="15" width="14" customWidth="1"/>
    <col min="16" max="16" width="16" customWidth="1"/>
  </cols>
  <sheetData>
    <row r="1" spans="1:16" ht="15.75" customHeight="1" x14ac:dyDescent="0.35">
      <c r="A1" s="184" t="s">
        <v>160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 x14ac:dyDescent="0.35">
      <c r="A2" s="187" t="s">
        <v>161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4" spans="1:16" ht="26.15" customHeight="1" x14ac:dyDescent="0.35">
      <c r="A4" s="152" t="s">
        <v>162</v>
      </c>
      <c r="B4" s="147"/>
      <c r="C4" s="147"/>
      <c r="D4" s="147"/>
      <c r="E4" s="148"/>
      <c r="G4" s="4" t="s">
        <v>163</v>
      </c>
      <c r="H4" s="4" t="s">
        <v>164</v>
      </c>
      <c r="I4" s="4" t="s">
        <v>165</v>
      </c>
      <c r="J4" s="4" t="s">
        <v>166</v>
      </c>
      <c r="K4" s="4" t="s">
        <v>167</v>
      </c>
      <c r="L4" s="4" t="s">
        <v>168</v>
      </c>
      <c r="M4" s="4" t="s">
        <v>169</v>
      </c>
      <c r="N4" s="4" t="s">
        <v>170</v>
      </c>
      <c r="O4" s="4" t="s">
        <v>171</v>
      </c>
      <c r="P4" s="4" t="s">
        <v>172</v>
      </c>
    </row>
    <row r="5" spans="1:16" x14ac:dyDescent="0.35">
      <c r="A5" s="146" t="s">
        <v>57</v>
      </c>
      <c r="B5" s="147"/>
      <c r="C5" s="148"/>
      <c r="D5" s="167">
        <f>'Informe Subasta'!$D$10</f>
      </c>
      <c r="E5" s="148"/>
      <c r="G5" s="11">
        <f t="shared" ref="G5:G68" si="0">IF(H5="","",ROW()-4)</f>
      </c>
      <c r="H5" s="12">
        <f>IF($D$8="FIJO","",$D$6)</f>
      </c>
      <c r="I5" s="12">
        <f t="shared" ref="I5:I68" si="1">IF(H5="","",MIN(IF($D$18="LEGAL",DATE(YEAR(H5)+1,1,1),EDATE($D$12,$D$11*(INT((((YEAR(H5)-YEAR($D$12))*12+(MONTH(H5)-MONTH($D$12))-IF(DAY(H5)&lt;DAY($D$12),1,0))/$D$11))+1))),$D$7))</f>
      </c>
      <c r="J5" s="11">
        <f t="shared" ref="J5:J68" si="2">IF(H5="","",I5-H5)</f>
      </c>
      <c r="K5" s="12">
        <f>IF(H5="","",IF($D$18="LEGAL",H5,EDATE($D$12,-$D$13)))</f>
      </c>
      <c r="L5" s="13">
        <f>IF(H5="","",IFERROR(INDEX('Tipos BdE'!$B$7:$M$336,MATCH(DATE(YEAR(K5),MONTH(K5),1),'Tipos BdE'!$A$7:$A$336,1),MATCH($D$9,'Tipos BdE'!$B$6:$M$6,0)),0))</f>
      </c>
      <c r="M5" s="13">
        <f t="shared" ref="M5:M68" si="3">IF(H5="","",IF($D$18="LEGAL",0,$D$10))</f>
      </c>
      <c r="N5" s="13">
        <f t="shared" ref="N5:N68" si="4">IF(H5="","",IF(AND($D$14="Sí",(L5+M5)&lt;0),0,L5+M5))</f>
      </c>
      <c r="O5" s="14">
        <f t="shared" ref="O5:O68" si="5">IF(H5="","",$D$5*N5*J5/36500)</f>
      </c>
      <c r="P5" s="14">
        <f>IF(H5="","",$D$5+SUM($O$5:O5))</f>
      </c>
    </row>
    <row r="6" spans="1:16" x14ac:dyDescent="0.35">
      <c r="A6" s="146" t="s">
        <v>173</v>
      </c>
      <c r="B6" s="147"/>
      <c r="C6" s="148"/>
      <c r="D6" s="182">
        <f>'Informe Subasta'!$D$15</f>
      </c>
      <c r="E6" s="148"/>
      <c r="G6" s="11">
        <f t="shared" si="0"/>
      </c>
      <c r="H6" s="12">
        <f t="shared" ref="H6:H69" si="6">IF(OR(I5="",I5&gt;=$D$7),"",I5)</f>
      </c>
      <c r="I6" s="12">
        <f t="shared" si="1"/>
      </c>
      <c r="J6" s="11">
        <f t="shared" si="2"/>
      </c>
      <c r="K6" s="12">
        <f t="shared" ref="K6:K69" si="7">IF(H6="","",IF($D$18="LEGAL",H6,EDATE(H6,-$D$13)))</f>
      </c>
      <c r="L6" s="13">
        <f>IF(H6="","",IFERROR(INDEX('Tipos BdE'!$B$7:$M$336,MATCH(DATE(YEAR(K6),MONTH(K6),1),'Tipos BdE'!$A$7:$A$336,1),MATCH($D$9,'Tipos BdE'!$B$6:$M$6,0)),0))</f>
      </c>
      <c r="M6" s="13">
        <f t="shared" si="3"/>
      </c>
      <c r="N6" s="13">
        <f t="shared" si="4"/>
      </c>
      <c r="O6" s="14">
        <f t="shared" si="5"/>
      </c>
      <c r="P6" s="14">
        <f>IF(H6="","",$D$5+SUM($O$5:O6))</f>
      </c>
    </row>
    <row r="7" spans="1:16" x14ac:dyDescent="0.35">
      <c r="A7" s="146" t="s">
        <v>77</v>
      </c>
      <c r="B7" s="147"/>
      <c r="C7" s="148"/>
      <c r="D7" s="182">
        <f>'Informe Subasta'!$D$16</f>
      </c>
      <c r="E7" s="148"/>
      <c r="G7" s="11">
        <f t="shared" si="0"/>
      </c>
      <c r="H7" s="12">
        <f t="shared" si="6"/>
      </c>
      <c r="I7" s="12">
        <f t="shared" si="1"/>
      </c>
      <c r="J7" s="11">
        <f t="shared" si="2"/>
      </c>
      <c r="K7" s="12">
        <f t="shared" si="7"/>
      </c>
      <c r="L7" s="13">
        <f>IF(H7="","",IFERROR(INDEX('Tipos BdE'!$B$7:$M$336,MATCH(DATE(YEAR(K7),MONTH(K7),1),'Tipos BdE'!$A$7:$A$336,1),MATCH($D$9,'Tipos BdE'!$B$6:$M$6,0)),0))</f>
      </c>
      <c r="M7" s="13">
        <f t="shared" si="3"/>
      </c>
      <c r="N7" s="13">
        <f t="shared" si="4"/>
      </c>
      <c r="O7" s="14">
        <f t="shared" si="5"/>
      </c>
      <c r="P7" s="14">
        <f>IF(H7="","",$D$5+SUM($O$5:O7))</f>
      </c>
    </row>
    <row r="8" spans="1:16" x14ac:dyDescent="0.35">
      <c r="A8" s="146" t="s">
        <v>87</v>
      </c>
      <c r="B8" s="147"/>
      <c r="C8" s="148"/>
      <c r="D8" s="175" t="str">
        <f>'Informe Subasta'!$D$20</f>
      </c>
      <c r="E8" s="148"/>
      <c r="G8" s="11">
        <f t="shared" si="0"/>
      </c>
      <c r="H8" s="12">
        <f t="shared" si="6"/>
      </c>
      <c r="I8" s="12">
        <f t="shared" si="1"/>
      </c>
      <c r="J8" s="11">
        <f t="shared" si="2"/>
      </c>
      <c r="K8" s="12">
        <f t="shared" si="7"/>
      </c>
      <c r="L8" s="13">
        <f>IF(H8="","",IFERROR(INDEX('Tipos BdE'!$B$7:$M$336,MATCH(DATE(YEAR(K8),MONTH(K8),1),'Tipos BdE'!$A$7:$A$336,1),MATCH($D$9,'Tipos BdE'!$B$6:$M$6,0)),0))</f>
      </c>
      <c r="M8" s="13">
        <f t="shared" si="3"/>
      </c>
      <c r="N8" s="13">
        <f t="shared" si="4"/>
      </c>
      <c r="O8" s="14">
        <f t="shared" si="5"/>
      </c>
      <c r="P8" s="14">
        <f>IF(H8="","",$D$5+SUM($O$5:O8))</f>
      </c>
    </row>
    <row r="9" spans="1:16" x14ac:dyDescent="0.35">
      <c r="A9" s="146" t="s">
        <v>88</v>
      </c>
      <c r="B9" s="147"/>
      <c r="C9" s="148"/>
      <c r="D9" s="175" t="str">
        <f>'Informe Subasta'!$K$20</f>
      </c>
      <c r="E9" s="148"/>
      <c r="G9" s="11">
        <f t="shared" si="0"/>
      </c>
      <c r="H9" s="12">
        <f t="shared" si="6"/>
      </c>
      <c r="I9" s="12">
        <f t="shared" si="1"/>
      </c>
      <c r="J9" s="11">
        <f t="shared" si="2"/>
      </c>
      <c r="K9" s="12">
        <f t="shared" si="7"/>
      </c>
      <c r="L9" s="13">
        <f>IF(H9="","",IFERROR(INDEX('Tipos BdE'!$B$7:$M$336,MATCH(DATE(YEAR(K9),MONTH(K9),1),'Tipos BdE'!$A$7:$A$336,1),MATCH($D$9,'Tipos BdE'!$B$6:$M$6,0)),0))</f>
      </c>
      <c r="M9" s="13">
        <f t="shared" si="3"/>
      </c>
      <c r="N9" s="13">
        <f t="shared" si="4"/>
      </c>
      <c r="O9" s="14">
        <f t="shared" si="5"/>
      </c>
      <c r="P9" s="14">
        <f>IF(H9="","",$D$5+SUM($O$5:O9))</f>
      </c>
    </row>
    <row r="10" spans="1:16" x14ac:dyDescent="0.35">
      <c r="A10" s="146" t="s">
        <v>94</v>
      </c>
      <c r="B10" s="147"/>
      <c r="C10" s="148"/>
      <c r="D10" s="173">
        <f>'Informe Subasta'!$K$21</f>
      </c>
      <c r="E10" s="148"/>
      <c r="G10" s="11">
        <f t="shared" si="0"/>
      </c>
      <c r="H10" s="12">
        <f t="shared" si="6"/>
      </c>
      <c r="I10" s="12">
        <f t="shared" si="1"/>
      </c>
      <c r="J10" s="11">
        <f t="shared" si="2"/>
      </c>
      <c r="K10" s="12">
        <f t="shared" si="7"/>
      </c>
      <c r="L10" s="13">
        <f>IF(H10="","",IFERROR(INDEX('Tipos BdE'!$B$7:$M$336,MATCH(DATE(YEAR(K10),MONTH(K10),1),'Tipos BdE'!$A$7:$A$336,1),MATCH($D$9,'Tipos BdE'!$B$6:$M$6,0)),0))</f>
      </c>
      <c r="M10" s="13">
        <f t="shared" si="3"/>
      </c>
      <c r="N10" s="13">
        <f t="shared" si="4"/>
      </c>
      <c r="O10" s="14">
        <f t="shared" si="5"/>
      </c>
      <c r="P10" s="14">
        <f>IF(H10="","",$D$5+SUM($O$5:O10))</f>
      </c>
    </row>
    <row r="11" spans="1:16" x14ac:dyDescent="0.35">
      <c r="A11" s="146" t="s">
        <v>97</v>
      </c>
      <c r="B11" s="147"/>
      <c r="C11" s="148"/>
      <c r="D11" s="175">
        <f>'Informe Subasta'!$K$22</f>
      </c>
      <c r="E11" s="148"/>
      <c r="G11" s="11">
        <f t="shared" si="0"/>
      </c>
      <c r="H11" s="12">
        <f t="shared" si="6"/>
      </c>
      <c r="I11" s="12">
        <f t="shared" si="1"/>
      </c>
      <c r="J11" s="11">
        <f t="shared" si="2"/>
      </c>
      <c r="K11" s="12">
        <f t="shared" si="7"/>
      </c>
      <c r="L11" s="13">
        <f>IF(H11="","",IFERROR(INDEX('Tipos BdE'!$B$7:$M$336,MATCH(DATE(YEAR(K11),MONTH(K11),1),'Tipos BdE'!$A$7:$A$336,1),MATCH($D$9,'Tipos BdE'!$B$6:$M$6,0)),0))</f>
      </c>
      <c r="M11" s="13">
        <f t="shared" si="3"/>
      </c>
      <c r="N11" s="13">
        <f t="shared" si="4"/>
      </c>
      <c r="O11" s="14">
        <f t="shared" si="5"/>
      </c>
      <c r="P11" s="14">
        <f>IF(H11="","",$D$5+SUM($O$5:O11))</f>
      </c>
    </row>
    <row r="12" spans="1:16" x14ac:dyDescent="0.35">
      <c r="A12" s="146" t="s">
        <v>100</v>
      </c>
      <c r="B12" s="147"/>
      <c r="C12" s="148"/>
      <c r="D12" s="182">
        <f>'Informe Subasta'!$K$23</f>
      </c>
      <c r="E12" s="148"/>
      <c r="G12" s="11">
        <f t="shared" si="0"/>
      </c>
      <c r="H12" s="12">
        <f t="shared" si="6"/>
      </c>
      <c r="I12" s="12">
        <f t="shared" si="1"/>
      </c>
      <c r="J12" s="11">
        <f t="shared" si="2"/>
      </c>
      <c r="K12" s="12">
        <f t="shared" si="7"/>
      </c>
      <c r="L12" s="13">
        <f>IF(H12="","",IFERROR(INDEX('Tipos BdE'!$B$7:$M$336,MATCH(DATE(YEAR(K12),MONTH(K12),1),'Tipos BdE'!$A$7:$A$336,1),MATCH($D$9,'Tipos BdE'!$B$6:$M$6,0)),0))</f>
      </c>
      <c r="M12" s="13">
        <f t="shared" si="3"/>
      </c>
      <c r="N12" s="13">
        <f t="shared" si="4"/>
      </c>
      <c r="O12" s="14">
        <f t="shared" si="5"/>
      </c>
      <c r="P12" s="14">
        <f>IF(H12="","",$D$5+SUM($O$5:O12))</f>
      </c>
    </row>
    <row r="13" spans="1:16" x14ac:dyDescent="0.35">
      <c r="A13" s="146" t="s">
        <v>104</v>
      </c>
      <c r="B13" s="147"/>
      <c r="C13" s="148"/>
      <c r="D13" s="175">
        <f>'Informe Subasta'!$K$24</f>
      </c>
      <c r="E13" s="148"/>
      <c r="G13" s="11">
        <f t="shared" si="0"/>
      </c>
      <c r="H13" s="12">
        <f t="shared" si="6"/>
      </c>
      <c r="I13" s="12">
        <f t="shared" si="1"/>
      </c>
      <c r="J13" s="11">
        <f t="shared" si="2"/>
      </c>
      <c r="K13" s="12">
        <f t="shared" si="7"/>
      </c>
      <c r="L13" s="13">
        <f>IF(H13="","",IFERROR(INDEX('Tipos BdE'!$B$7:$M$336,MATCH(DATE(YEAR(K13),MONTH(K13),1),'Tipos BdE'!$A$7:$A$336,1),MATCH($D$9,'Tipos BdE'!$B$6:$M$6,0)),0))</f>
      </c>
      <c r="M13" s="13">
        <f t="shared" si="3"/>
      </c>
      <c r="N13" s="13">
        <f t="shared" si="4"/>
      </c>
      <c r="O13" s="14">
        <f t="shared" si="5"/>
      </c>
      <c r="P13" s="14">
        <f>IF(H13="","",$D$5+SUM($O$5:O13))</f>
      </c>
    </row>
    <row r="14" spans="1:16" x14ac:dyDescent="0.35">
      <c r="A14" s="146" t="s">
        <v>102</v>
      </c>
      <c r="B14" s="147"/>
      <c r="C14" s="148"/>
      <c r="D14" s="175" t="str">
        <f>'Informe Subasta'!$D$24</f>
      </c>
      <c r="E14" s="148"/>
      <c r="G14" s="11">
        <f t="shared" si="0"/>
      </c>
      <c r="H14" s="12">
        <f t="shared" si="6"/>
      </c>
      <c r="I14" s="12">
        <f t="shared" si="1"/>
      </c>
      <c r="J14" s="11">
        <f t="shared" si="2"/>
      </c>
      <c r="K14" s="12">
        <f t="shared" si="7"/>
      </c>
      <c r="L14" s="13">
        <f>IF(H14="","",IFERROR(INDEX('Tipos BdE'!$B$7:$M$336,MATCH(DATE(YEAR(K14),MONTH(K14),1),'Tipos BdE'!$A$7:$A$336,1),MATCH($D$9,'Tipos BdE'!$B$6:$M$6,0)),0))</f>
      </c>
      <c r="M14" s="13">
        <f t="shared" si="3"/>
      </c>
      <c r="N14" s="13">
        <f t="shared" si="4"/>
      </c>
      <c r="O14" s="14">
        <f t="shared" si="5"/>
      </c>
      <c r="P14" s="14">
        <f>IF(H14="","",$D$5+SUM($O$5:O14))</f>
      </c>
    </row>
    <row r="15" spans="1:16" x14ac:dyDescent="0.35">
      <c r="A15" s="146" t="s">
        <v>174</v>
      </c>
      <c r="B15" s="147"/>
      <c r="C15" s="148"/>
      <c r="D15" s="175" t="str">
        <f>'Informe Subasta'!$D$21</f>
      </c>
      <c r="E15" s="148"/>
      <c r="G15" s="11">
        <f t="shared" si="0"/>
      </c>
      <c r="H15" s="12">
        <f t="shared" si="6"/>
      </c>
      <c r="I15" s="12">
        <f t="shared" si="1"/>
      </c>
      <c r="J15" s="11">
        <f t="shared" si="2"/>
      </c>
      <c r="K15" s="12">
        <f t="shared" si="7"/>
      </c>
      <c r="L15" s="13">
        <f>IF(H15="","",IFERROR(INDEX('Tipos BdE'!$B$7:$M$336,MATCH(DATE(YEAR(K15),MONTH(K15),1),'Tipos BdE'!$A$7:$A$336,1),MATCH($D$9,'Tipos BdE'!$B$6:$M$6,0)),0))</f>
      </c>
      <c r="M15" s="13">
        <f t="shared" si="3"/>
      </c>
      <c r="N15" s="13">
        <f t="shared" si="4"/>
      </c>
      <c r="O15" s="14">
        <f t="shared" si="5"/>
      </c>
      <c r="P15" s="14">
        <f>IF(H15="","",$D$5+SUM($O$5:O15))</f>
      </c>
    </row>
    <row r="16" spans="1:16" x14ac:dyDescent="0.35">
      <c r="A16" s="146" t="s">
        <v>96</v>
      </c>
      <c r="B16" s="147"/>
      <c r="C16" s="148"/>
      <c r="D16" s="183">
        <f>'Informe Subasta'!$D$22</f>
      </c>
      <c r="E16" s="148"/>
      <c r="G16" s="11">
        <f t="shared" si="0"/>
      </c>
      <c r="H16" s="12">
        <f t="shared" si="6"/>
      </c>
      <c r="I16" s="12">
        <f t="shared" si="1"/>
      </c>
      <c r="J16" s="11">
        <f t="shared" si="2"/>
      </c>
      <c r="K16" s="12">
        <f t="shared" si="7"/>
      </c>
      <c r="L16" s="13">
        <f>IF(H16="","",IFERROR(INDEX('Tipos BdE'!$B$7:$M$336,MATCH(DATE(YEAR(K16),MONTH(K16),1),'Tipos BdE'!$A$7:$A$336,1),MATCH($D$9,'Tipos BdE'!$B$6:$M$6,0)),0))</f>
      </c>
      <c r="M16" s="13">
        <f t="shared" si="3"/>
      </c>
      <c r="N16" s="13">
        <f t="shared" si="4"/>
      </c>
      <c r="O16" s="14">
        <f t="shared" si="5"/>
      </c>
      <c r="P16" s="14">
        <f>IF(H16="","",$D$5+SUM($O$5:O16))</f>
      </c>
    </row>
    <row r="17" spans="1:16" x14ac:dyDescent="0.35">
      <c r="A17" s="146" t="s">
        <v>99</v>
      </c>
      <c r="B17" s="147"/>
      <c r="C17" s="148"/>
      <c r="D17" s="183">
        <f>'Informe Subasta'!$D$23</f>
      </c>
      <c r="E17" s="148"/>
      <c r="G17" s="11">
        <f t="shared" si="0"/>
      </c>
      <c r="H17" s="12">
        <f t="shared" si="6"/>
      </c>
      <c r="I17" s="12">
        <f t="shared" si="1"/>
      </c>
      <c r="J17" s="11">
        <f t="shared" si="2"/>
      </c>
      <c r="K17" s="12">
        <f t="shared" si="7"/>
      </c>
      <c r="L17" s="13">
        <f>IF(H17="","",IFERROR(INDEX('Tipos BdE'!$B$7:$M$336,MATCH(DATE(YEAR(K17),MONTH(K17),1),'Tipos BdE'!$A$7:$A$336,1),MATCH($D$9,'Tipos BdE'!$B$6:$M$6,0)),0))</f>
      </c>
      <c r="M17" s="13">
        <f t="shared" si="3"/>
      </c>
      <c r="N17" s="13">
        <f t="shared" si="4"/>
      </c>
      <c r="O17" s="14">
        <f t="shared" si="5"/>
      </c>
      <c r="P17" s="14">
        <f>IF(H17="","",$D$5+SUM($O$5:O17))</f>
      </c>
    </row>
    <row r="18" spans="1:16" x14ac:dyDescent="0.35">
      <c r="A18" s="146" t="s">
        <v>175</v>
      </c>
      <c r="B18" s="147"/>
      <c r="C18" s="148"/>
      <c r="D18" s="185" t="str">
        <f>IF(OR(ISNUMBER(SEARCH("legal",$D$9)),ISNUMBER(SEARCH("demora",$D$9)),ISNUMBER(SEARCH("mora procesal",$D$9)),ISNUMBER(SEARCH("576",$D$9))),"LEGAL","VARIABLE")</f>
      </c>
      <c r="E18" s="148"/>
      <c r="G18" s="11">
        <f t="shared" si="0"/>
      </c>
      <c r="H18" s="12">
        <f t="shared" si="6"/>
      </c>
      <c r="I18" s="12">
        <f t="shared" si="1"/>
      </c>
      <c r="J18" s="11">
        <f t="shared" si="2"/>
      </c>
      <c r="K18" s="12">
        <f t="shared" si="7"/>
      </c>
      <c r="L18" s="13">
        <f>IF(H18="","",IFERROR(INDEX('Tipos BdE'!$B$7:$M$336,MATCH(DATE(YEAR(K18),MONTH(K18),1),'Tipos BdE'!$A$7:$A$336,1),MATCH($D$9,'Tipos BdE'!$B$6:$M$6,0)),0))</f>
      </c>
      <c r="M18" s="13">
        <f t="shared" si="3"/>
      </c>
      <c r="N18" s="13">
        <f t="shared" si="4"/>
      </c>
      <c r="O18" s="14">
        <f t="shared" si="5"/>
      </c>
      <c r="P18" s="14">
        <f>IF(H18="","",$D$5+SUM($O$5:O18))</f>
      </c>
    </row>
    <row r="19" spans="1:16" x14ac:dyDescent="0.35">
      <c r="G19" s="11">
        <f t="shared" si="0"/>
      </c>
      <c r="H19" s="12">
        <f t="shared" si="6"/>
      </c>
      <c r="I19" s="12">
        <f t="shared" si="1"/>
      </c>
      <c r="J19" s="11">
        <f t="shared" si="2"/>
      </c>
      <c r="K19" s="12">
        <f t="shared" si="7"/>
      </c>
      <c r="L19" s="13">
        <f>IF(H19="","",IFERROR(INDEX('Tipos BdE'!$B$7:$M$336,MATCH(DATE(YEAR(K19),MONTH(K19),1),'Tipos BdE'!$A$7:$A$336,1),MATCH($D$9,'Tipos BdE'!$B$6:$M$6,0)),0))</f>
      </c>
      <c r="M19" s="13">
        <f t="shared" si="3"/>
      </c>
      <c r="N19" s="13">
        <f t="shared" si="4"/>
      </c>
      <c r="O19" s="14">
        <f t="shared" si="5"/>
      </c>
      <c r="P19" s="14">
        <f>IF(H19="","",$D$5+SUM($O$5:O19))</f>
      </c>
    </row>
    <row r="20" spans="1:16" x14ac:dyDescent="0.35">
      <c r="A20" s="152" t="s">
        <v>176</v>
      </c>
      <c r="B20" s="147"/>
      <c r="C20" s="147"/>
      <c r="D20" s="147"/>
      <c r="E20" s="148"/>
      <c r="G20" s="11">
        <f t="shared" si="0"/>
      </c>
      <c r="H20" s="12">
        <f t="shared" si="6"/>
      </c>
      <c r="I20" s="12">
        <f t="shared" si="1"/>
      </c>
      <c r="J20" s="11">
        <f t="shared" si="2"/>
      </c>
      <c r="K20" s="12">
        <f t="shared" si="7"/>
      </c>
      <c r="L20" s="13">
        <f>IF(H20="","",IFERROR(INDEX('Tipos BdE'!$B$7:$M$336,MATCH(DATE(YEAR(K20),MONTH(K20),1),'Tipos BdE'!$A$7:$A$336,1),MATCH($D$9,'Tipos BdE'!$B$6:$M$6,0)),0))</f>
      </c>
      <c r="M20" s="13">
        <f t="shared" si="3"/>
      </c>
      <c r="N20" s="13">
        <f t="shared" si="4"/>
      </c>
      <c r="O20" s="14">
        <f t="shared" si="5"/>
      </c>
      <c r="P20" s="14">
        <f>IF(H20="","",$D$5+SUM($O$5:O20))</f>
      </c>
    </row>
    <row r="21" spans="1:16" x14ac:dyDescent="0.35">
      <c r="A21" s="146" t="s">
        <v>177</v>
      </c>
      <c r="B21" s="147"/>
      <c r="C21" s="148"/>
      <c r="D21" s="181">
        <f>IF($D$8="FIJO",($D$7-$D$6)*IF($D$15="Y",$D$16,$D$17)*$D$5/365,SUM($O$5:$O$304))</f>
      </c>
      <c r="E21" s="164"/>
      <c r="G21" s="11">
        <f t="shared" si="0"/>
      </c>
      <c r="H21" s="12">
        <f t="shared" si="6"/>
      </c>
      <c r="I21" s="12">
        <f t="shared" si="1"/>
      </c>
      <c r="J21" s="11">
        <f t="shared" si="2"/>
      </c>
      <c r="K21" s="12">
        <f t="shared" si="7"/>
      </c>
      <c r="L21" s="13">
        <f>IF(H21="","",IFERROR(INDEX('Tipos BdE'!$B$7:$M$336,MATCH(DATE(YEAR(K21),MONTH(K21),1),'Tipos BdE'!$A$7:$A$336,1),MATCH($D$9,'Tipos BdE'!$B$6:$M$6,0)),0))</f>
      </c>
      <c r="M21" s="13">
        <f t="shared" si="3"/>
      </c>
      <c r="N21" s="13">
        <f t="shared" si="4"/>
      </c>
      <c r="O21" s="14">
        <f t="shared" si="5"/>
      </c>
      <c r="P21" s="14">
        <f>IF(H21="","",$D$5+SUM($O$5:O21))</f>
      </c>
    </row>
    <row r="22" spans="1:16" x14ac:dyDescent="0.35">
      <c r="A22" s="72"/>
      <c r="D22" s="73"/>
      <c r="G22" s="11" t="str">
        <f t="shared" si="0"/>
      </c>
      <c r="H22" s="12" t="str">
        <f t="shared" si="6"/>
      </c>
      <c r="I22" s="12" t="str">
        <f t="shared" si="1"/>
      </c>
      <c r="J22" s="11" t="str">
        <f t="shared" si="2"/>
      </c>
      <c r="K22" s="12" t="str">
        <f t="shared" si="7"/>
      </c>
      <c r="L22" s="13" t="str">
        <f>IF(H22="","",IFERROR(INDEX('Tipos BdE'!$B$7:$M$336,MATCH(DATE(YEAR(K22),MONTH(K22),1),'Tipos BdE'!$A$7:$A$336,1),MATCH($D$9,'Tipos BdE'!$B$6:$M$6,0)),0))</f>
      </c>
      <c r="M22" s="13" t="str">
        <f t="shared" si="3"/>
      </c>
      <c r="N22" s="13" t="str">
        <f t="shared" si="4"/>
      </c>
      <c r="O22" s="14" t="str">
        <f t="shared" si="5"/>
      </c>
      <c r="P22" s="14" t="str">
        <f>IF(H22="","",$D$5+SUM($O$5:O22))</f>
      </c>
    </row>
    <row r="23" spans="1:16" x14ac:dyDescent="0.35">
      <c r="A23" s="146" t="s">
        <v>178</v>
      </c>
      <c r="B23" s="147"/>
      <c r="C23" s="148"/>
      <c r="D23" s="171">
        <f>COUNT($J$5:$J$304)</f>
      </c>
      <c r="E23" s="148"/>
      <c r="G23" s="11" t="str">
        <f t="shared" si="0"/>
      </c>
      <c r="H23" s="12" t="str">
        <f t="shared" si="6"/>
      </c>
      <c r="I23" s="12" t="str">
        <f t="shared" si="1"/>
      </c>
      <c r="J23" s="11" t="str">
        <f t="shared" si="2"/>
      </c>
      <c r="K23" s="12" t="str">
        <f t="shared" si="7"/>
      </c>
      <c r="L23" s="13" t="str">
        <f>IF(H23="","",IFERROR(INDEX('Tipos BdE'!$B$7:$M$336,MATCH(DATE(YEAR(K23),MONTH(K23),1),'Tipos BdE'!$A$7:$A$336,1),MATCH($D$9,'Tipos BdE'!$B$6:$M$6,0)),0))</f>
      </c>
      <c r="M23" s="13" t="str">
        <f t="shared" si="3"/>
      </c>
      <c r="N23" s="13" t="str">
        <f t="shared" si="4"/>
      </c>
      <c r="O23" s="14" t="str">
        <f t="shared" si="5"/>
      </c>
      <c r="P23" s="14" t="str">
        <f>IF(H23="","",$D$5+SUM($O$5:O23))</f>
      </c>
    </row>
    <row r="24" spans="1:16" x14ac:dyDescent="0.35">
      <c r="A24" s="146" t="s">
        <v>179</v>
      </c>
      <c r="B24" s="147"/>
      <c r="C24" s="148"/>
      <c r="D24" s="186">
        <f>IFERROR($D$21*36500/($D$5*IF($D$8="FIJO",$D$7-$D$6,SUM($J$5:$J$304))),0)</f>
      </c>
      <c r="E24" s="148"/>
      <c r="G24" s="11" t="str">
        <f t="shared" si="0"/>
      </c>
      <c r="H24" s="12" t="str">
        <f t="shared" si="6"/>
      </c>
      <c r="I24" s="12" t="str">
        <f t="shared" si="1"/>
      </c>
      <c r="J24" s="11" t="str">
        <f t="shared" si="2"/>
      </c>
      <c r="K24" s="12" t="str">
        <f t="shared" si="7"/>
      </c>
      <c r="L24" s="13" t="str">
        <f>IF(H24="","",IFERROR(INDEX('Tipos BdE'!$B$7:$M$336,MATCH(DATE(YEAR(K24),MONTH(K24),1),'Tipos BdE'!$A$7:$A$336,1),MATCH($D$9,'Tipos BdE'!$B$6:$M$6,0)),0))</f>
      </c>
      <c r="M24" s="13" t="str">
        <f t="shared" si="3"/>
      </c>
      <c r="N24" s="13" t="str">
        <f t="shared" si="4"/>
      </c>
      <c r="O24" s="14" t="str">
        <f t="shared" si="5"/>
      </c>
      <c r="P24" s="14" t="str">
        <f>IF(H24="","",$D$5+SUM($O$5:O24))</f>
      </c>
    </row>
    <row r="25" spans="1:16" x14ac:dyDescent="0.35">
      <c r="G25" s="11" t="str">
        <f t="shared" si="0"/>
      </c>
      <c r="H25" s="12" t="str">
        <f t="shared" si="6"/>
      </c>
      <c r="I25" s="12" t="str">
        <f t="shared" si="1"/>
      </c>
      <c r="J25" s="11" t="str">
        <f t="shared" si="2"/>
      </c>
      <c r="K25" s="12" t="str">
        <f t="shared" si="7"/>
      </c>
      <c r="L25" s="13" t="str">
        <f>IF(H25="","",IFERROR(INDEX('Tipos BdE'!$B$7:$M$336,MATCH(DATE(YEAR(K25),MONTH(K25),1),'Tipos BdE'!$A$7:$A$336,1),MATCH($D$9,'Tipos BdE'!$B$6:$M$6,0)),0))</f>
      </c>
      <c r="M25" s="13" t="str">
        <f t="shared" si="3"/>
      </c>
      <c r="N25" s="13" t="str">
        <f t="shared" si="4"/>
      </c>
      <c r="O25" s="14" t="str">
        <f t="shared" si="5"/>
      </c>
      <c r="P25" s="14" t="str">
        <f>IF(H25="","",$D$5+SUM($O$5:O25))</f>
      </c>
    </row>
    <row r="26" spans="1:16" x14ac:dyDescent="0.35">
      <c r="G26" s="11" t="str">
        <f t="shared" si="0"/>
      </c>
      <c r="H26" s="12" t="str">
        <f t="shared" si="6"/>
      </c>
      <c r="I26" s="12" t="str">
        <f t="shared" si="1"/>
      </c>
      <c r="J26" s="11" t="str">
        <f t="shared" si="2"/>
      </c>
      <c r="K26" s="12" t="str">
        <f t="shared" si="7"/>
      </c>
      <c r="L26" s="13" t="str">
        <f>IF(H26="","",IFERROR(INDEX('Tipos BdE'!$B$7:$M$336,MATCH(DATE(YEAR(K26),MONTH(K26),1),'Tipos BdE'!$A$7:$A$336,1),MATCH($D$9,'Tipos BdE'!$B$6:$M$6,0)),0))</f>
      </c>
      <c r="M26" s="13" t="str">
        <f t="shared" si="3"/>
      </c>
      <c r="N26" s="13" t="str">
        <f t="shared" si="4"/>
      </c>
      <c r="O26" s="14" t="str">
        <f t="shared" si="5"/>
      </c>
      <c r="P26" s="14" t="str">
        <f>IF(H26="","",$D$5+SUM($O$5:O26))</f>
      </c>
    </row>
    <row r="27" spans="1:16" x14ac:dyDescent="0.35">
      <c r="G27" s="11" t="str">
        <f t="shared" si="0"/>
      </c>
      <c r="H27" s="12" t="str">
        <f t="shared" si="6"/>
      </c>
      <c r="I27" s="12" t="str">
        <f t="shared" si="1"/>
      </c>
      <c r="J27" s="11" t="str">
        <f t="shared" si="2"/>
      </c>
      <c r="K27" s="12" t="str">
        <f t="shared" si="7"/>
      </c>
      <c r="L27" s="13" t="str">
        <f>IF(H27="","",IFERROR(INDEX('Tipos BdE'!$B$7:$M$336,MATCH(DATE(YEAR(K27),MONTH(K27),1),'Tipos BdE'!$A$7:$A$336,1),MATCH($D$9,'Tipos BdE'!$B$6:$M$6,0)),0))</f>
      </c>
      <c r="M27" s="13" t="str">
        <f t="shared" si="3"/>
      </c>
      <c r="N27" s="13" t="str">
        <f t="shared" si="4"/>
      </c>
      <c r="O27" s="14" t="str">
        <f t="shared" si="5"/>
      </c>
      <c r="P27" s="14" t="str">
        <f>IF(H27="","",$D$5+SUM($O$5:O27))</f>
      </c>
    </row>
    <row r="28" spans="1:16" x14ac:dyDescent="0.35">
      <c r="G28" s="11" t="str">
        <f t="shared" si="0"/>
      </c>
      <c r="H28" s="12" t="str">
        <f t="shared" si="6"/>
      </c>
      <c r="I28" s="12" t="str">
        <f t="shared" si="1"/>
      </c>
      <c r="J28" s="11" t="str">
        <f t="shared" si="2"/>
      </c>
      <c r="K28" s="12" t="str">
        <f t="shared" si="7"/>
      </c>
      <c r="L28" s="13" t="str">
        <f>IF(H28="","",IFERROR(INDEX('Tipos BdE'!$B$7:$M$336,MATCH(DATE(YEAR(K28),MONTH(K28),1),'Tipos BdE'!$A$7:$A$336,1),MATCH($D$9,'Tipos BdE'!$B$6:$M$6,0)),0))</f>
      </c>
      <c r="M28" s="13" t="str">
        <f t="shared" si="3"/>
      </c>
      <c r="N28" s="13" t="str">
        <f t="shared" si="4"/>
      </c>
      <c r="O28" s="14" t="str">
        <f t="shared" si="5"/>
      </c>
      <c r="P28" s="14" t="str">
        <f>IF(H28="","",$D$5+SUM($O$5:O28))</f>
      </c>
    </row>
    <row r="29" spans="1:16" x14ac:dyDescent="0.35">
      <c r="G29" s="11" t="str">
        <f t="shared" si="0"/>
      </c>
      <c r="H29" s="12" t="str">
        <f t="shared" si="6"/>
      </c>
      <c r="I29" s="12" t="str">
        <f t="shared" si="1"/>
      </c>
      <c r="J29" s="11" t="str">
        <f t="shared" si="2"/>
      </c>
      <c r="K29" s="12" t="str">
        <f t="shared" si="7"/>
      </c>
      <c r="L29" s="13" t="str">
        <f>IF(H29="","",IFERROR(INDEX('Tipos BdE'!$B$7:$M$336,MATCH(DATE(YEAR(K29),MONTH(K29),1),'Tipos BdE'!$A$7:$A$336,1),MATCH($D$9,'Tipos BdE'!$B$6:$M$6,0)),0))</f>
      </c>
      <c r="M29" s="13" t="str">
        <f t="shared" si="3"/>
      </c>
      <c r="N29" s="13" t="str">
        <f t="shared" si="4"/>
      </c>
      <c r="O29" s="14" t="str">
        <f t="shared" si="5"/>
      </c>
      <c r="P29" s="14" t="str">
        <f>IF(H29="","",$D$5+SUM($O$5:O29))</f>
      </c>
    </row>
    <row r="30" spans="1:16" x14ac:dyDescent="0.35">
      <c r="G30" s="11" t="str">
        <f t="shared" si="0"/>
      </c>
      <c r="H30" s="12" t="str">
        <f t="shared" si="6"/>
      </c>
      <c r="I30" s="12" t="str">
        <f t="shared" si="1"/>
      </c>
      <c r="J30" s="11" t="str">
        <f t="shared" si="2"/>
      </c>
      <c r="K30" s="12" t="str">
        <f t="shared" si="7"/>
      </c>
      <c r="L30" s="13" t="str">
        <f>IF(H30="","",IFERROR(INDEX('Tipos BdE'!$B$7:$M$336,MATCH(DATE(YEAR(K30),MONTH(K30),1),'Tipos BdE'!$A$7:$A$336,1),MATCH($D$9,'Tipos BdE'!$B$6:$M$6,0)),0))</f>
      </c>
      <c r="M30" s="13" t="str">
        <f t="shared" si="3"/>
      </c>
      <c r="N30" s="13" t="str">
        <f t="shared" si="4"/>
      </c>
      <c r="O30" s="14" t="str">
        <f t="shared" si="5"/>
      </c>
      <c r="P30" s="14" t="str">
        <f>IF(H30="","",$D$5+SUM($O$5:O30))</f>
      </c>
    </row>
    <row r="31" spans="1:16" x14ac:dyDescent="0.35">
      <c r="G31" s="11" t="str">
        <f t="shared" si="0"/>
      </c>
      <c r="H31" s="12" t="str">
        <f t="shared" si="6"/>
      </c>
      <c r="I31" s="12" t="str">
        <f t="shared" si="1"/>
      </c>
      <c r="J31" s="11" t="str">
        <f t="shared" si="2"/>
      </c>
      <c r="K31" s="12" t="str">
        <f t="shared" si="7"/>
      </c>
      <c r="L31" s="13" t="str">
        <f>IF(H31="","",IFERROR(INDEX('Tipos BdE'!$B$7:$M$336,MATCH(DATE(YEAR(K31),MONTH(K31),1),'Tipos BdE'!$A$7:$A$336,1),MATCH($D$9,'Tipos BdE'!$B$6:$M$6,0)),0))</f>
      </c>
      <c r="M31" s="13" t="str">
        <f t="shared" si="3"/>
      </c>
      <c r="N31" s="13" t="str">
        <f t="shared" si="4"/>
      </c>
      <c r="O31" s="14" t="str">
        <f t="shared" si="5"/>
      </c>
      <c r="P31" s="14" t="str">
        <f>IF(H31="","",$D$5+SUM($O$5:O31))</f>
      </c>
    </row>
    <row r="32" spans="1:16" x14ac:dyDescent="0.35">
      <c r="G32" s="11" t="str">
        <f t="shared" si="0"/>
      </c>
      <c r="H32" s="12" t="str">
        <f t="shared" si="6"/>
      </c>
      <c r="I32" s="12" t="str">
        <f t="shared" si="1"/>
      </c>
      <c r="J32" s="11" t="str">
        <f t="shared" si="2"/>
      </c>
      <c r="K32" s="12" t="str">
        <f t="shared" si="7"/>
      </c>
      <c r="L32" s="13" t="str">
        <f>IF(H32="","",IFERROR(INDEX('Tipos BdE'!$B$7:$M$336,MATCH(DATE(YEAR(K32),MONTH(K32),1),'Tipos BdE'!$A$7:$A$336,1),MATCH($D$9,'Tipos BdE'!$B$6:$M$6,0)),0))</f>
      </c>
      <c r="M32" s="13" t="str">
        <f t="shared" si="3"/>
      </c>
      <c r="N32" s="13" t="str">
        <f t="shared" si="4"/>
      </c>
      <c r="O32" s="14" t="str">
        <f t="shared" si="5"/>
      </c>
      <c r="P32" s="14" t="str">
        <f>IF(H32="","",$D$5+SUM($O$5:O32))</f>
      </c>
    </row>
    <row r="33" spans="7:16" x14ac:dyDescent="0.35">
      <c r="G33" s="11" t="str">
        <f t="shared" si="0"/>
      </c>
      <c r="H33" s="12" t="str">
        <f t="shared" si="6"/>
      </c>
      <c r="I33" s="12" t="str">
        <f t="shared" si="1"/>
      </c>
      <c r="J33" s="11" t="str">
        <f t="shared" si="2"/>
      </c>
      <c r="K33" s="12" t="str">
        <f t="shared" si="7"/>
      </c>
      <c r="L33" s="13" t="str">
        <f>IF(H33="","",IFERROR(INDEX('Tipos BdE'!$B$7:$M$336,MATCH(DATE(YEAR(K33),MONTH(K33),1),'Tipos BdE'!$A$7:$A$336,1),MATCH($D$9,'Tipos BdE'!$B$6:$M$6,0)),0))</f>
      </c>
      <c r="M33" s="13" t="str">
        <f t="shared" si="3"/>
      </c>
      <c r="N33" s="13" t="str">
        <f t="shared" si="4"/>
      </c>
      <c r="O33" s="14" t="str">
        <f t="shared" si="5"/>
      </c>
      <c r="P33" s="14" t="str">
        <f>IF(H33="","",$D$5+SUM($O$5:O33))</f>
      </c>
    </row>
    <row r="34" spans="7:16" x14ac:dyDescent="0.35">
      <c r="G34" s="11" t="str">
        <f t="shared" si="0"/>
      </c>
      <c r="H34" s="12" t="str">
        <f t="shared" si="6"/>
      </c>
      <c r="I34" s="12" t="str">
        <f t="shared" si="1"/>
      </c>
      <c r="J34" s="11" t="str">
        <f t="shared" si="2"/>
      </c>
      <c r="K34" s="12" t="str">
        <f t="shared" si="7"/>
      </c>
      <c r="L34" s="13" t="str">
        <f>IF(H34="","",IFERROR(INDEX('Tipos BdE'!$B$7:$M$336,MATCH(DATE(YEAR(K34),MONTH(K34),1),'Tipos BdE'!$A$7:$A$336,1),MATCH($D$9,'Tipos BdE'!$B$6:$M$6,0)),0))</f>
      </c>
      <c r="M34" s="13" t="str">
        <f t="shared" si="3"/>
      </c>
      <c r="N34" s="13" t="str">
        <f t="shared" si="4"/>
      </c>
      <c r="O34" s="14" t="str">
        <f t="shared" si="5"/>
      </c>
      <c r="P34" s="14" t="str">
        <f>IF(H34="","",$D$5+SUM($O$5:O34))</f>
      </c>
    </row>
    <row r="35" spans="7:16" x14ac:dyDescent="0.35">
      <c r="G35" s="11" t="str">
        <f t="shared" si="0"/>
      </c>
      <c r="H35" s="12" t="str">
        <f t="shared" si="6"/>
      </c>
      <c r="I35" s="12" t="str">
        <f t="shared" si="1"/>
      </c>
      <c r="J35" s="11" t="str">
        <f t="shared" si="2"/>
      </c>
      <c r="K35" s="12" t="str">
        <f t="shared" si="7"/>
      </c>
      <c r="L35" s="13" t="str">
        <f>IF(H35="","",IFERROR(INDEX('Tipos BdE'!$B$7:$M$336,MATCH(DATE(YEAR(K35),MONTH(K35),1),'Tipos BdE'!$A$7:$A$336,1),MATCH($D$9,'Tipos BdE'!$B$6:$M$6,0)),0))</f>
      </c>
      <c r="M35" s="13" t="str">
        <f t="shared" si="3"/>
      </c>
      <c r="N35" s="13" t="str">
        <f t="shared" si="4"/>
      </c>
      <c r="O35" s="14" t="str">
        <f t="shared" si="5"/>
      </c>
      <c r="P35" s="14" t="str">
        <f>IF(H35="","",$D$5+SUM($O$5:O35))</f>
      </c>
    </row>
    <row r="36" spans="7:16" x14ac:dyDescent="0.35">
      <c r="G36" s="11" t="str">
        <f t="shared" si="0"/>
      </c>
      <c r="H36" s="12" t="str">
        <f t="shared" si="6"/>
      </c>
      <c r="I36" s="12" t="str">
        <f t="shared" si="1"/>
      </c>
      <c r="J36" s="11" t="str">
        <f t="shared" si="2"/>
      </c>
      <c r="K36" s="12" t="str">
        <f t="shared" si="7"/>
      </c>
      <c r="L36" s="13" t="str">
        <f>IF(H36="","",IFERROR(INDEX('Tipos BdE'!$B$7:$M$336,MATCH(DATE(YEAR(K36),MONTH(K36),1),'Tipos BdE'!$A$7:$A$336,1),MATCH($D$9,'Tipos BdE'!$B$6:$M$6,0)),0))</f>
      </c>
      <c r="M36" s="13" t="str">
        <f t="shared" si="3"/>
      </c>
      <c r="N36" s="13" t="str">
        <f t="shared" si="4"/>
      </c>
      <c r="O36" s="14" t="str">
        <f t="shared" si="5"/>
      </c>
      <c r="P36" s="14" t="str">
        <f>IF(H36="","",$D$5+SUM($O$5:O36))</f>
      </c>
    </row>
    <row r="37" spans="7:16" x14ac:dyDescent="0.35">
      <c r="G37" s="11" t="str">
        <f t="shared" si="0"/>
      </c>
      <c r="H37" s="12" t="str">
        <f t="shared" si="6"/>
      </c>
      <c r="I37" s="12" t="str">
        <f t="shared" si="1"/>
      </c>
      <c r="J37" s="11" t="str">
        <f t="shared" si="2"/>
      </c>
      <c r="K37" s="12" t="str">
        <f t="shared" si="7"/>
      </c>
      <c r="L37" s="13" t="str">
        <f>IF(H37="","",IFERROR(INDEX('Tipos BdE'!$B$7:$M$336,MATCH(DATE(YEAR(K37),MONTH(K37),1),'Tipos BdE'!$A$7:$A$336,1),MATCH($D$9,'Tipos BdE'!$B$6:$M$6,0)),0))</f>
      </c>
      <c r="M37" s="13" t="str">
        <f t="shared" si="3"/>
      </c>
      <c r="N37" s="13" t="str">
        <f t="shared" si="4"/>
      </c>
      <c r="O37" s="14" t="str">
        <f t="shared" si="5"/>
      </c>
      <c r="P37" s="14" t="str">
        <f>IF(H37="","",$D$5+SUM($O$5:O37))</f>
      </c>
    </row>
    <row r="38" spans="7:16" x14ac:dyDescent="0.35">
      <c r="G38" s="11" t="str">
        <f t="shared" si="0"/>
      </c>
      <c r="H38" s="12" t="str">
        <f t="shared" si="6"/>
      </c>
      <c r="I38" s="12" t="str">
        <f t="shared" si="1"/>
      </c>
      <c r="J38" s="11" t="str">
        <f t="shared" si="2"/>
      </c>
      <c r="K38" s="12" t="str">
        <f t="shared" si="7"/>
      </c>
      <c r="L38" s="13" t="str">
        <f>IF(H38="","",IFERROR(INDEX('Tipos BdE'!$B$7:$M$336,MATCH(DATE(YEAR(K38),MONTH(K38),1),'Tipos BdE'!$A$7:$A$336,1),MATCH($D$9,'Tipos BdE'!$B$6:$M$6,0)),0))</f>
      </c>
      <c r="M38" s="13" t="str">
        <f t="shared" si="3"/>
      </c>
      <c r="N38" s="13" t="str">
        <f t="shared" si="4"/>
      </c>
      <c r="O38" s="14" t="str">
        <f t="shared" si="5"/>
      </c>
      <c r="P38" s="14" t="str">
        <f>IF(H38="","",$D$5+SUM($O$5:O38))</f>
      </c>
    </row>
    <row r="39" spans="7:16" x14ac:dyDescent="0.35">
      <c r="G39" s="11" t="str">
        <f t="shared" si="0"/>
      </c>
      <c r="H39" s="12" t="str">
        <f t="shared" si="6"/>
      </c>
      <c r="I39" s="12" t="str">
        <f t="shared" si="1"/>
      </c>
      <c r="J39" s="11" t="str">
        <f t="shared" si="2"/>
      </c>
      <c r="K39" s="12" t="str">
        <f t="shared" si="7"/>
      </c>
      <c r="L39" s="13" t="str">
        <f>IF(H39="","",IFERROR(INDEX('Tipos BdE'!$B$7:$M$336,MATCH(DATE(YEAR(K39),MONTH(K39),1),'Tipos BdE'!$A$7:$A$336,1),MATCH($D$9,'Tipos BdE'!$B$6:$M$6,0)),0))</f>
      </c>
      <c r="M39" s="13" t="str">
        <f t="shared" si="3"/>
      </c>
      <c r="N39" s="13" t="str">
        <f t="shared" si="4"/>
      </c>
      <c r="O39" s="14" t="str">
        <f t="shared" si="5"/>
      </c>
      <c r="P39" s="14" t="str">
        <f>IF(H39="","",$D$5+SUM($O$5:O39))</f>
      </c>
    </row>
    <row r="40" spans="7:16" x14ac:dyDescent="0.35">
      <c r="G40" s="11" t="str">
        <f t="shared" si="0"/>
      </c>
      <c r="H40" s="12" t="str">
        <f t="shared" si="6"/>
      </c>
      <c r="I40" s="12" t="str">
        <f t="shared" si="1"/>
      </c>
      <c r="J40" s="11" t="str">
        <f t="shared" si="2"/>
      </c>
      <c r="K40" s="12" t="str">
        <f t="shared" si="7"/>
      </c>
      <c r="L40" s="13" t="str">
        <f>IF(H40="","",IFERROR(INDEX('Tipos BdE'!$B$7:$M$336,MATCH(DATE(YEAR(K40),MONTH(K40),1),'Tipos BdE'!$A$7:$A$336,1),MATCH($D$9,'Tipos BdE'!$B$6:$M$6,0)),0))</f>
      </c>
      <c r="M40" s="13" t="str">
        <f t="shared" si="3"/>
      </c>
      <c r="N40" s="13" t="str">
        <f t="shared" si="4"/>
      </c>
      <c r="O40" s="14" t="str">
        <f t="shared" si="5"/>
      </c>
      <c r="P40" s="14" t="str">
        <f>IF(H40="","",$D$5+SUM($O$5:O40))</f>
      </c>
    </row>
    <row r="41" spans="7:16" x14ac:dyDescent="0.35">
      <c r="G41" s="11" t="str">
        <f t="shared" si="0"/>
      </c>
      <c r="H41" s="12" t="str">
        <f t="shared" si="6"/>
      </c>
      <c r="I41" s="12" t="str">
        <f t="shared" si="1"/>
      </c>
      <c r="J41" s="11" t="str">
        <f t="shared" si="2"/>
      </c>
      <c r="K41" s="12" t="str">
        <f t="shared" si="7"/>
      </c>
      <c r="L41" s="13" t="str">
        <f>IF(H41="","",IFERROR(INDEX('Tipos BdE'!$B$7:$M$336,MATCH(DATE(YEAR(K41),MONTH(K41),1),'Tipos BdE'!$A$7:$A$336,1),MATCH($D$9,'Tipos BdE'!$B$6:$M$6,0)),0))</f>
      </c>
      <c r="M41" s="13" t="str">
        <f t="shared" si="3"/>
      </c>
      <c r="N41" s="13" t="str">
        <f t="shared" si="4"/>
      </c>
      <c r="O41" s="14" t="str">
        <f t="shared" si="5"/>
      </c>
      <c r="P41" s="14" t="str">
        <f>IF(H41="","",$D$5+SUM($O$5:O41))</f>
      </c>
    </row>
    <row r="42" spans="7:16" x14ac:dyDescent="0.35">
      <c r="G42" s="11" t="str">
        <f t="shared" si="0"/>
      </c>
      <c r="H42" s="12" t="str">
        <f t="shared" si="6"/>
      </c>
      <c r="I42" s="12" t="str">
        <f t="shared" si="1"/>
      </c>
      <c r="J42" s="11" t="str">
        <f t="shared" si="2"/>
      </c>
      <c r="K42" s="12" t="str">
        <f t="shared" si="7"/>
      </c>
      <c r="L42" s="13" t="str">
        <f>IF(H42="","",IFERROR(INDEX('Tipos BdE'!$B$7:$M$336,MATCH(DATE(YEAR(K42),MONTH(K42),1),'Tipos BdE'!$A$7:$A$336,1),MATCH($D$9,'Tipos BdE'!$B$6:$M$6,0)),0))</f>
      </c>
      <c r="M42" s="13" t="str">
        <f t="shared" si="3"/>
      </c>
      <c r="N42" s="13" t="str">
        <f t="shared" si="4"/>
      </c>
      <c r="O42" s="14" t="str">
        <f t="shared" si="5"/>
      </c>
      <c r="P42" s="14" t="str">
        <f>IF(H42="","",$D$5+SUM($O$5:O42))</f>
      </c>
    </row>
    <row r="43" spans="7:16" x14ac:dyDescent="0.35">
      <c r="G43" s="11" t="str">
        <f t="shared" si="0"/>
      </c>
      <c r="H43" s="12" t="str">
        <f t="shared" si="6"/>
      </c>
      <c r="I43" s="12" t="str">
        <f t="shared" si="1"/>
      </c>
      <c r="J43" s="11" t="str">
        <f t="shared" si="2"/>
      </c>
      <c r="K43" s="12" t="str">
        <f t="shared" si="7"/>
      </c>
      <c r="L43" s="13" t="str">
        <f>IF(H43="","",IFERROR(INDEX('Tipos BdE'!$B$7:$M$336,MATCH(DATE(YEAR(K43),MONTH(K43),1),'Tipos BdE'!$A$7:$A$336,1),MATCH($D$9,'Tipos BdE'!$B$6:$M$6,0)),0))</f>
      </c>
      <c r="M43" s="13" t="str">
        <f t="shared" si="3"/>
      </c>
      <c r="N43" s="13" t="str">
        <f t="shared" si="4"/>
      </c>
      <c r="O43" s="14" t="str">
        <f t="shared" si="5"/>
      </c>
      <c r="P43" s="14" t="str">
        <f>IF(H43="","",$D$5+SUM($O$5:O43))</f>
      </c>
    </row>
    <row r="44" spans="7:16" x14ac:dyDescent="0.35">
      <c r="G44" s="11" t="str">
        <f t="shared" si="0"/>
      </c>
      <c r="H44" s="12" t="str">
        <f t="shared" si="6"/>
      </c>
      <c r="I44" s="12" t="str">
        <f t="shared" si="1"/>
      </c>
      <c r="J44" s="11" t="str">
        <f t="shared" si="2"/>
      </c>
      <c r="K44" s="12" t="str">
        <f t="shared" si="7"/>
      </c>
      <c r="L44" s="13" t="str">
        <f>IF(H44="","",IFERROR(INDEX('Tipos BdE'!$B$7:$M$336,MATCH(DATE(YEAR(K44),MONTH(K44),1),'Tipos BdE'!$A$7:$A$336,1),MATCH($D$9,'Tipos BdE'!$B$6:$M$6,0)),0))</f>
      </c>
      <c r="M44" s="13" t="str">
        <f t="shared" si="3"/>
      </c>
      <c r="N44" s="13" t="str">
        <f t="shared" si="4"/>
      </c>
      <c r="O44" s="14" t="str">
        <f t="shared" si="5"/>
      </c>
      <c r="P44" s="14" t="str">
        <f>IF(H44="","",$D$5+SUM($O$5:O44))</f>
      </c>
    </row>
    <row r="45" spans="7:16" x14ac:dyDescent="0.35">
      <c r="G45" s="11" t="str">
        <f t="shared" si="0"/>
      </c>
      <c r="H45" s="12" t="str">
        <f t="shared" si="6"/>
      </c>
      <c r="I45" s="12" t="str">
        <f t="shared" si="1"/>
      </c>
      <c r="J45" s="11" t="str">
        <f t="shared" si="2"/>
      </c>
      <c r="K45" s="12" t="str">
        <f t="shared" si="7"/>
      </c>
      <c r="L45" s="13" t="str">
        <f>IF(H45="","",IFERROR(INDEX('Tipos BdE'!$B$7:$M$336,MATCH(DATE(YEAR(K45),MONTH(K45),1),'Tipos BdE'!$A$7:$A$336,1),MATCH($D$9,'Tipos BdE'!$B$6:$M$6,0)),0))</f>
      </c>
      <c r="M45" s="13" t="str">
        <f t="shared" si="3"/>
      </c>
      <c r="N45" s="13" t="str">
        <f t="shared" si="4"/>
      </c>
      <c r="O45" s="14" t="str">
        <f t="shared" si="5"/>
      </c>
      <c r="P45" s="14" t="str">
        <f>IF(H45="","",$D$5+SUM($O$5:O45))</f>
      </c>
    </row>
    <row r="46" spans="7:16" x14ac:dyDescent="0.35">
      <c r="G46" s="11" t="str">
        <f t="shared" si="0"/>
      </c>
      <c r="H46" s="12" t="str">
        <f t="shared" si="6"/>
      </c>
      <c r="I46" s="12" t="str">
        <f t="shared" si="1"/>
      </c>
      <c r="J46" s="11" t="str">
        <f t="shared" si="2"/>
      </c>
      <c r="K46" s="12" t="str">
        <f t="shared" si="7"/>
      </c>
      <c r="L46" s="13" t="str">
        <f>IF(H46="","",IFERROR(INDEX('Tipos BdE'!$B$7:$M$336,MATCH(DATE(YEAR(K46),MONTH(K46),1),'Tipos BdE'!$A$7:$A$336,1),MATCH($D$9,'Tipos BdE'!$B$6:$M$6,0)),0))</f>
      </c>
      <c r="M46" s="13" t="str">
        <f t="shared" si="3"/>
      </c>
      <c r="N46" s="13" t="str">
        <f t="shared" si="4"/>
      </c>
      <c r="O46" s="14" t="str">
        <f t="shared" si="5"/>
      </c>
      <c r="P46" s="14" t="str">
        <f>IF(H46="","",$D$5+SUM($O$5:O46))</f>
      </c>
    </row>
    <row r="47" spans="7:16" x14ac:dyDescent="0.35">
      <c r="G47" s="11" t="str">
        <f t="shared" si="0"/>
      </c>
      <c r="H47" s="12" t="str">
        <f t="shared" si="6"/>
      </c>
      <c r="I47" s="12" t="str">
        <f t="shared" si="1"/>
      </c>
      <c r="J47" s="11" t="str">
        <f t="shared" si="2"/>
      </c>
      <c r="K47" s="12" t="str">
        <f t="shared" si="7"/>
      </c>
      <c r="L47" s="13" t="str">
        <f>IF(H47="","",IFERROR(INDEX('Tipos BdE'!$B$7:$M$336,MATCH(DATE(YEAR(K47),MONTH(K47),1),'Tipos BdE'!$A$7:$A$336,1),MATCH($D$9,'Tipos BdE'!$B$6:$M$6,0)),0))</f>
      </c>
      <c r="M47" s="13" t="str">
        <f t="shared" si="3"/>
      </c>
      <c r="N47" s="13" t="str">
        <f t="shared" si="4"/>
      </c>
      <c r="O47" s="14" t="str">
        <f t="shared" si="5"/>
      </c>
      <c r="P47" s="14" t="str">
        <f>IF(H47="","",$D$5+SUM($O$5:O47))</f>
      </c>
    </row>
    <row r="48" spans="7:16" x14ac:dyDescent="0.35">
      <c r="G48" s="11" t="str">
        <f t="shared" si="0"/>
      </c>
      <c r="H48" s="12" t="str">
        <f t="shared" si="6"/>
      </c>
      <c r="I48" s="12" t="str">
        <f t="shared" si="1"/>
      </c>
      <c r="J48" s="11" t="str">
        <f t="shared" si="2"/>
      </c>
      <c r="K48" s="12" t="str">
        <f t="shared" si="7"/>
      </c>
      <c r="L48" s="13" t="str">
        <f>IF(H48="","",IFERROR(INDEX('Tipos BdE'!$B$7:$M$336,MATCH(DATE(YEAR(K48),MONTH(K48),1),'Tipos BdE'!$A$7:$A$336,1),MATCH($D$9,'Tipos BdE'!$B$6:$M$6,0)),0))</f>
      </c>
      <c r="M48" s="13" t="str">
        <f t="shared" si="3"/>
      </c>
      <c r="N48" s="13" t="str">
        <f t="shared" si="4"/>
      </c>
      <c r="O48" s="14" t="str">
        <f t="shared" si="5"/>
      </c>
      <c r="P48" s="14" t="str">
        <f>IF(H48="","",$D$5+SUM($O$5:O48))</f>
      </c>
    </row>
    <row r="49" spans="7:16" x14ac:dyDescent="0.35">
      <c r="G49" s="11" t="str">
        <f t="shared" si="0"/>
      </c>
      <c r="H49" s="12" t="str">
        <f t="shared" si="6"/>
      </c>
      <c r="I49" s="12" t="str">
        <f t="shared" si="1"/>
      </c>
      <c r="J49" s="11" t="str">
        <f t="shared" si="2"/>
      </c>
      <c r="K49" s="12" t="str">
        <f t="shared" si="7"/>
      </c>
      <c r="L49" s="13" t="str">
        <f>IF(H49="","",IFERROR(INDEX('Tipos BdE'!$B$7:$M$336,MATCH(DATE(YEAR(K49),MONTH(K49),1),'Tipos BdE'!$A$7:$A$336,1),MATCH($D$9,'Tipos BdE'!$B$6:$M$6,0)),0))</f>
      </c>
      <c r="M49" s="13" t="str">
        <f t="shared" si="3"/>
      </c>
      <c r="N49" s="13" t="str">
        <f t="shared" si="4"/>
      </c>
      <c r="O49" s="14" t="str">
        <f t="shared" si="5"/>
      </c>
      <c r="P49" s="14" t="str">
        <f>IF(H49="","",$D$5+SUM($O$5:O49))</f>
      </c>
    </row>
    <row r="50" spans="7:16" x14ac:dyDescent="0.35">
      <c r="G50" s="11" t="str">
        <f t="shared" si="0"/>
      </c>
      <c r="H50" s="12" t="str">
        <f t="shared" si="6"/>
      </c>
      <c r="I50" s="12" t="str">
        <f t="shared" si="1"/>
      </c>
      <c r="J50" s="11" t="str">
        <f t="shared" si="2"/>
      </c>
      <c r="K50" s="12" t="str">
        <f t="shared" si="7"/>
      </c>
      <c r="L50" s="13" t="str">
        <f>IF(H50="","",IFERROR(INDEX('Tipos BdE'!$B$7:$M$336,MATCH(DATE(YEAR(K50),MONTH(K50),1),'Tipos BdE'!$A$7:$A$336,1),MATCH($D$9,'Tipos BdE'!$B$6:$M$6,0)),0))</f>
      </c>
      <c r="M50" s="13" t="str">
        <f t="shared" si="3"/>
      </c>
      <c r="N50" s="13" t="str">
        <f t="shared" si="4"/>
      </c>
      <c r="O50" s="14" t="str">
        <f t="shared" si="5"/>
      </c>
      <c r="P50" s="14" t="str">
        <f>IF(H50="","",$D$5+SUM($O$5:O50))</f>
      </c>
    </row>
    <row r="51" spans="7:16" x14ac:dyDescent="0.35">
      <c r="G51" s="11" t="str">
        <f t="shared" si="0"/>
      </c>
      <c r="H51" s="12" t="str">
        <f t="shared" si="6"/>
      </c>
      <c r="I51" s="12" t="str">
        <f t="shared" si="1"/>
      </c>
      <c r="J51" s="11" t="str">
        <f t="shared" si="2"/>
      </c>
      <c r="K51" s="12" t="str">
        <f t="shared" si="7"/>
      </c>
      <c r="L51" s="13" t="str">
        <f>IF(H51="","",IFERROR(INDEX('Tipos BdE'!$B$7:$M$336,MATCH(DATE(YEAR(K51),MONTH(K51),1),'Tipos BdE'!$A$7:$A$336,1),MATCH($D$9,'Tipos BdE'!$B$6:$M$6,0)),0))</f>
      </c>
      <c r="M51" s="13" t="str">
        <f t="shared" si="3"/>
      </c>
      <c r="N51" s="13" t="str">
        <f t="shared" si="4"/>
      </c>
      <c r="O51" s="14" t="str">
        <f t="shared" si="5"/>
      </c>
      <c r="P51" s="14" t="str">
        <f>IF(H51="","",$D$5+SUM($O$5:O51))</f>
      </c>
    </row>
    <row r="52" spans="7:16" x14ac:dyDescent="0.35">
      <c r="G52" s="11" t="str">
        <f t="shared" si="0"/>
      </c>
      <c r="H52" s="12" t="str">
        <f t="shared" si="6"/>
      </c>
      <c r="I52" s="12" t="str">
        <f t="shared" si="1"/>
      </c>
      <c r="J52" s="11" t="str">
        <f t="shared" si="2"/>
      </c>
      <c r="K52" s="12" t="str">
        <f t="shared" si="7"/>
      </c>
      <c r="L52" s="13" t="str">
        <f>IF(H52="","",IFERROR(INDEX('Tipos BdE'!$B$7:$M$336,MATCH(DATE(YEAR(K52),MONTH(K52),1),'Tipos BdE'!$A$7:$A$336,1),MATCH($D$9,'Tipos BdE'!$B$6:$M$6,0)),0))</f>
      </c>
      <c r="M52" s="13" t="str">
        <f t="shared" si="3"/>
      </c>
      <c r="N52" s="13" t="str">
        <f t="shared" si="4"/>
      </c>
      <c r="O52" s="14" t="str">
        <f t="shared" si="5"/>
      </c>
      <c r="P52" s="14" t="str">
        <f>IF(H52="","",$D$5+SUM($O$5:O52))</f>
      </c>
    </row>
    <row r="53" spans="7:16" x14ac:dyDescent="0.35">
      <c r="G53" s="11" t="str">
        <f t="shared" si="0"/>
      </c>
      <c r="H53" s="12" t="str">
        <f t="shared" si="6"/>
      </c>
      <c r="I53" s="12" t="str">
        <f t="shared" si="1"/>
      </c>
      <c r="J53" s="11" t="str">
        <f t="shared" si="2"/>
      </c>
      <c r="K53" s="12" t="str">
        <f t="shared" si="7"/>
      </c>
      <c r="L53" s="13" t="str">
        <f>IF(H53="","",IFERROR(INDEX('Tipos BdE'!$B$7:$M$336,MATCH(DATE(YEAR(K53),MONTH(K53),1),'Tipos BdE'!$A$7:$A$336,1),MATCH($D$9,'Tipos BdE'!$B$6:$M$6,0)),0))</f>
      </c>
      <c r="M53" s="13" t="str">
        <f t="shared" si="3"/>
      </c>
      <c r="N53" s="13" t="str">
        <f t="shared" si="4"/>
      </c>
      <c r="O53" s="14" t="str">
        <f t="shared" si="5"/>
      </c>
      <c r="P53" s="14" t="str">
        <f>IF(H53="","",$D$5+SUM($O$5:O53))</f>
      </c>
    </row>
    <row r="54" spans="7:16" x14ac:dyDescent="0.35">
      <c r="G54" s="11" t="str">
        <f t="shared" si="0"/>
      </c>
      <c r="H54" s="12" t="str">
        <f t="shared" si="6"/>
      </c>
      <c r="I54" s="12" t="str">
        <f t="shared" si="1"/>
      </c>
      <c r="J54" s="11" t="str">
        <f t="shared" si="2"/>
      </c>
      <c r="K54" s="12" t="str">
        <f t="shared" si="7"/>
      </c>
      <c r="L54" s="13" t="str">
        <f>IF(H54="","",IFERROR(INDEX('Tipos BdE'!$B$7:$M$336,MATCH(DATE(YEAR(K54),MONTH(K54),1),'Tipos BdE'!$A$7:$A$336,1),MATCH($D$9,'Tipos BdE'!$B$6:$M$6,0)),0))</f>
      </c>
      <c r="M54" s="13" t="str">
        <f t="shared" si="3"/>
      </c>
      <c r="N54" s="13" t="str">
        <f t="shared" si="4"/>
      </c>
      <c r="O54" s="14" t="str">
        <f t="shared" si="5"/>
      </c>
      <c r="P54" s="14" t="str">
        <f>IF(H54="","",$D$5+SUM($O$5:O54))</f>
      </c>
    </row>
    <row r="55" spans="7:16" x14ac:dyDescent="0.35">
      <c r="G55" s="11" t="str">
        <f t="shared" si="0"/>
      </c>
      <c r="H55" s="12" t="str">
        <f t="shared" si="6"/>
      </c>
      <c r="I55" s="12" t="str">
        <f t="shared" si="1"/>
      </c>
      <c r="J55" s="11" t="str">
        <f t="shared" si="2"/>
      </c>
      <c r="K55" s="12" t="str">
        <f t="shared" si="7"/>
      </c>
      <c r="L55" s="13" t="str">
        <f>IF(H55="","",IFERROR(INDEX('Tipos BdE'!$B$7:$M$336,MATCH(DATE(YEAR(K55),MONTH(K55),1),'Tipos BdE'!$A$7:$A$336,1),MATCH($D$9,'Tipos BdE'!$B$6:$M$6,0)),0))</f>
      </c>
      <c r="M55" s="13" t="str">
        <f t="shared" si="3"/>
      </c>
      <c r="N55" s="13" t="str">
        <f t="shared" si="4"/>
      </c>
      <c r="O55" s="14" t="str">
        <f t="shared" si="5"/>
      </c>
      <c r="P55" s="14" t="str">
        <f>IF(H55="","",$D$5+SUM($O$5:O55))</f>
      </c>
    </row>
    <row r="56" spans="7:16" x14ac:dyDescent="0.35">
      <c r="G56" s="11" t="str">
        <f t="shared" si="0"/>
      </c>
      <c r="H56" s="12" t="str">
        <f t="shared" si="6"/>
      </c>
      <c r="I56" s="12" t="str">
        <f t="shared" si="1"/>
      </c>
      <c r="J56" s="11" t="str">
        <f t="shared" si="2"/>
      </c>
      <c r="K56" s="12" t="str">
        <f t="shared" si="7"/>
      </c>
      <c r="L56" s="13" t="str">
        <f>IF(H56="","",IFERROR(INDEX('Tipos BdE'!$B$7:$M$336,MATCH(DATE(YEAR(K56),MONTH(K56),1),'Tipos BdE'!$A$7:$A$336,1),MATCH($D$9,'Tipos BdE'!$B$6:$M$6,0)),0))</f>
      </c>
      <c r="M56" s="13" t="str">
        <f t="shared" si="3"/>
      </c>
      <c r="N56" s="13" t="str">
        <f t="shared" si="4"/>
      </c>
      <c r="O56" s="14" t="str">
        <f t="shared" si="5"/>
      </c>
      <c r="P56" s="14" t="str">
        <f>IF(H56="","",$D$5+SUM($O$5:O56))</f>
      </c>
    </row>
    <row r="57" spans="7:16" x14ac:dyDescent="0.35">
      <c r="G57" s="11" t="str">
        <f t="shared" si="0"/>
      </c>
      <c r="H57" s="12" t="str">
        <f t="shared" si="6"/>
      </c>
      <c r="I57" s="12" t="str">
        <f t="shared" si="1"/>
      </c>
      <c r="J57" s="11" t="str">
        <f t="shared" si="2"/>
      </c>
      <c r="K57" s="12" t="str">
        <f t="shared" si="7"/>
      </c>
      <c r="L57" s="13" t="str">
        <f>IF(H57="","",IFERROR(INDEX('Tipos BdE'!$B$7:$M$336,MATCH(DATE(YEAR(K57),MONTH(K57),1),'Tipos BdE'!$A$7:$A$336,1),MATCH($D$9,'Tipos BdE'!$B$6:$M$6,0)),0))</f>
      </c>
      <c r="M57" s="13" t="str">
        <f t="shared" si="3"/>
      </c>
      <c r="N57" s="13" t="str">
        <f t="shared" si="4"/>
      </c>
      <c r="O57" s="14" t="str">
        <f t="shared" si="5"/>
      </c>
      <c r="P57" s="14" t="str">
        <f>IF(H57="","",$D$5+SUM($O$5:O57))</f>
      </c>
    </row>
    <row r="58" spans="7:16" x14ac:dyDescent="0.35">
      <c r="G58" s="11" t="str">
        <f t="shared" si="0"/>
      </c>
      <c r="H58" s="12" t="str">
        <f t="shared" si="6"/>
      </c>
      <c r="I58" s="12" t="str">
        <f t="shared" si="1"/>
      </c>
      <c r="J58" s="11" t="str">
        <f t="shared" si="2"/>
      </c>
      <c r="K58" s="12" t="str">
        <f t="shared" si="7"/>
      </c>
      <c r="L58" s="13" t="str">
        <f>IF(H58="","",IFERROR(INDEX('Tipos BdE'!$B$7:$M$336,MATCH(DATE(YEAR(K58),MONTH(K58),1),'Tipos BdE'!$A$7:$A$336,1),MATCH($D$9,'Tipos BdE'!$B$6:$M$6,0)),0))</f>
      </c>
      <c r="M58" s="13" t="str">
        <f t="shared" si="3"/>
      </c>
      <c r="N58" s="13" t="str">
        <f t="shared" si="4"/>
      </c>
      <c r="O58" s="14" t="str">
        <f t="shared" si="5"/>
      </c>
      <c r="P58" s="14" t="str">
        <f>IF(H58="","",$D$5+SUM($O$5:O58))</f>
      </c>
    </row>
    <row r="59" spans="7:16" x14ac:dyDescent="0.35">
      <c r="G59" s="11" t="str">
        <f t="shared" si="0"/>
      </c>
      <c r="H59" s="12" t="str">
        <f t="shared" si="6"/>
      </c>
      <c r="I59" s="12" t="str">
        <f t="shared" si="1"/>
      </c>
      <c r="J59" s="11" t="str">
        <f t="shared" si="2"/>
      </c>
      <c r="K59" s="12" t="str">
        <f t="shared" si="7"/>
      </c>
      <c r="L59" s="13" t="str">
        <f>IF(H59="","",IFERROR(INDEX('Tipos BdE'!$B$7:$M$336,MATCH(DATE(YEAR(K59),MONTH(K59),1),'Tipos BdE'!$A$7:$A$336,1),MATCH($D$9,'Tipos BdE'!$B$6:$M$6,0)),0))</f>
      </c>
      <c r="M59" s="13" t="str">
        <f t="shared" si="3"/>
      </c>
      <c r="N59" s="13" t="str">
        <f t="shared" si="4"/>
      </c>
      <c r="O59" s="14" t="str">
        <f t="shared" si="5"/>
      </c>
      <c r="P59" s="14" t="str">
        <f>IF(H59="","",$D$5+SUM($O$5:O59))</f>
      </c>
    </row>
    <row r="60" spans="7:16" x14ac:dyDescent="0.35">
      <c r="G60" s="11" t="str">
        <f t="shared" si="0"/>
      </c>
      <c r="H60" s="12" t="str">
        <f t="shared" si="6"/>
      </c>
      <c r="I60" s="12" t="str">
        <f t="shared" si="1"/>
      </c>
      <c r="J60" s="11" t="str">
        <f t="shared" si="2"/>
      </c>
      <c r="K60" s="12" t="str">
        <f t="shared" si="7"/>
      </c>
      <c r="L60" s="13" t="str">
        <f>IF(H60="","",IFERROR(INDEX('Tipos BdE'!$B$7:$M$336,MATCH(DATE(YEAR(K60),MONTH(K60),1),'Tipos BdE'!$A$7:$A$336,1),MATCH($D$9,'Tipos BdE'!$B$6:$M$6,0)),0))</f>
      </c>
      <c r="M60" s="13" t="str">
        <f t="shared" si="3"/>
      </c>
      <c r="N60" s="13" t="str">
        <f t="shared" si="4"/>
      </c>
      <c r="O60" s="14" t="str">
        <f t="shared" si="5"/>
      </c>
      <c r="P60" s="14" t="str">
        <f>IF(H60="","",$D$5+SUM($O$5:O60))</f>
      </c>
    </row>
    <row r="61" spans="7:16" x14ac:dyDescent="0.35">
      <c r="G61" s="11" t="str">
        <f t="shared" si="0"/>
      </c>
      <c r="H61" s="12" t="str">
        <f t="shared" si="6"/>
      </c>
      <c r="I61" s="12" t="str">
        <f t="shared" si="1"/>
      </c>
      <c r="J61" s="11" t="str">
        <f t="shared" si="2"/>
      </c>
      <c r="K61" s="12" t="str">
        <f t="shared" si="7"/>
      </c>
      <c r="L61" s="13" t="str">
        <f>IF(H61="","",IFERROR(INDEX('Tipos BdE'!$B$7:$M$336,MATCH(DATE(YEAR(K61),MONTH(K61),1),'Tipos BdE'!$A$7:$A$336,1),MATCH($D$9,'Tipos BdE'!$B$6:$M$6,0)),0))</f>
      </c>
      <c r="M61" s="13" t="str">
        <f t="shared" si="3"/>
      </c>
      <c r="N61" s="13" t="str">
        <f t="shared" si="4"/>
      </c>
      <c r="O61" s="14" t="str">
        <f t="shared" si="5"/>
      </c>
      <c r="P61" s="14" t="str">
        <f>IF(H61="","",$D$5+SUM($O$5:O61))</f>
      </c>
    </row>
    <row r="62" spans="7:16" x14ac:dyDescent="0.35">
      <c r="G62" s="11" t="str">
        <f t="shared" si="0"/>
      </c>
      <c r="H62" s="12" t="str">
        <f t="shared" si="6"/>
      </c>
      <c r="I62" s="12" t="str">
        <f t="shared" si="1"/>
      </c>
      <c r="J62" s="11" t="str">
        <f t="shared" si="2"/>
      </c>
      <c r="K62" s="12" t="str">
        <f t="shared" si="7"/>
      </c>
      <c r="L62" s="13" t="str">
        <f>IF(H62="","",IFERROR(INDEX('Tipos BdE'!$B$7:$M$336,MATCH(DATE(YEAR(K62),MONTH(K62),1),'Tipos BdE'!$A$7:$A$336,1),MATCH($D$9,'Tipos BdE'!$B$6:$M$6,0)),0))</f>
      </c>
      <c r="M62" s="13" t="str">
        <f t="shared" si="3"/>
      </c>
      <c r="N62" s="13" t="str">
        <f t="shared" si="4"/>
      </c>
      <c r="O62" s="14" t="str">
        <f t="shared" si="5"/>
      </c>
      <c r="P62" s="14" t="str">
        <f>IF(H62="","",$D$5+SUM($O$5:O62))</f>
      </c>
    </row>
    <row r="63" spans="7:16" x14ac:dyDescent="0.35">
      <c r="G63" s="11" t="str">
        <f t="shared" si="0"/>
      </c>
      <c r="H63" s="12" t="str">
        <f t="shared" si="6"/>
      </c>
      <c r="I63" s="12" t="str">
        <f t="shared" si="1"/>
      </c>
      <c r="J63" s="11" t="str">
        <f t="shared" si="2"/>
      </c>
      <c r="K63" s="12" t="str">
        <f t="shared" si="7"/>
      </c>
      <c r="L63" s="13" t="str">
        <f>IF(H63="","",IFERROR(INDEX('Tipos BdE'!$B$7:$M$336,MATCH(DATE(YEAR(K63),MONTH(K63),1),'Tipos BdE'!$A$7:$A$336,1),MATCH($D$9,'Tipos BdE'!$B$6:$M$6,0)),0))</f>
      </c>
      <c r="M63" s="13" t="str">
        <f t="shared" si="3"/>
      </c>
      <c r="N63" s="13" t="str">
        <f t="shared" si="4"/>
      </c>
      <c r="O63" s="14" t="str">
        <f t="shared" si="5"/>
      </c>
      <c r="P63" s="14" t="str">
        <f>IF(H63="","",$D$5+SUM($O$5:O63))</f>
      </c>
    </row>
    <row r="64" spans="7:16" x14ac:dyDescent="0.35">
      <c r="G64" s="11" t="str">
        <f t="shared" si="0"/>
      </c>
      <c r="H64" s="12" t="str">
        <f t="shared" si="6"/>
      </c>
      <c r="I64" s="12" t="str">
        <f t="shared" si="1"/>
      </c>
      <c r="J64" s="11" t="str">
        <f t="shared" si="2"/>
      </c>
      <c r="K64" s="12" t="str">
        <f t="shared" si="7"/>
      </c>
      <c r="L64" s="13" t="str">
        <f>IF(H64="","",IFERROR(INDEX('Tipos BdE'!$B$7:$M$336,MATCH(DATE(YEAR(K64),MONTH(K64),1),'Tipos BdE'!$A$7:$A$336,1),MATCH($D$9,'Tipos BdE'!$B$6:$M$6,0)),0))</f>
      </c>
      <c r="M64" s="13" t="str">
        <f t="shared" si="3"/>
      </c>
      <c r="N64" s="13" t="str">
        <f t="shared" si="4"/>
      </c>
      <c r="O64" s="14" t="str">
        <f t="shared" si="5"/>
      </c>
      <c r="P64" s="14" t="str">
        <f>IF(H64="","",$D$5+SUM($O$5:O64))</f>
      </c>
    </row>
    <row r="65" spans="7:16" x14ac:dyDescent="0.35">
      <c r="G65" s="11" t="str">
        <f t="shared" si="0"/>
      </c>
      <c r="H65" s="12" t="str">
        <f t="shared" si="6"/>
      </c>
      <c r="I65" s="12" t="str">
        <f t="shared" si="1"/>
      </c>
      <c r="J65" s="11" t="str">
        <f t="shared" si="2"/>
      </c>
      <c r="K65" s="12" t="str">
        <f t="shared" si="7"/>
      </c>
      <c r="L65" s="13" t="str">
        <f>IF(H65="","",IFERROR(INDEX('Tipos BdE'!$B$7:$M$336,MATCH(DATE(YEAR(K65),MONTH(K65),1),'Tipos BdE'!$A$7:$A$336,1),MATCH($D$9,'Tipos BdE'!$B$6:$M$6,0)),0))</f>
      </c>
      <c r="M65" s="13" t="str">
        <f t="shared" si="3"/>
      </c>
      <c r="N65" s="13" t="str">
        <f t="shared" si="4"/>
      </c>
      <c r="O65" s="14" t="str">
        <f t="shared" si="5"/>
      </c>
      <c r="P65" s="14" t="str">
        <f>IF(H65="","",$D$5+SUM($O$5:O65))</f>
      </c>
    </row>
    <row r="66" spans="7:16" x14ac:dyDescent="0.35">
      <c r="G66" s="11" t="str">
        <f t="shared" si="0"/>
      </c>
      <c r="H66" s="12" t="str">
        <f t="shared" si="6"/>
      </c>
      <c r="I66" s="12" t="str">
        <f t="shared" si="1"/>
      </c>
      <c r="J66" s="11" t="str">
        <f t="shared" si="2"/>
      </c>
      <c r="K66" s="12" t="str">
        <f t="shared" si="7"/>
      </c>
      <c r="L66" s="13" t="str">
        <f>IF(H66="","",IFERROR(INDEX('Tipos BdE'!$B$7:$M$336,MATCH(DATE(YEAR(K66),MONTH(K66),1),'Tipos BdE'!$A$7:$A$336,1),MATCH($D$9,'Tipos BdE'!$B$6:$M$6,0)),0))</f>
      </c>
      <c r="M66" s="13" t="str">
        <f t="shared" si="3"/>
      </c>
      <c r="N66" s="13" t="str">
        <f t="shared" si="4"/>
      </c>
      <c r="O66" s="14" t="str">
        <f t="shared" si="5"/>
      </c>
      <c r="P66" s="14" t="str">
        <f>IF(H66="","",$D$5+SUM($O$5:O66))</f>
      </c>
    </row>
    <row r="67" spans="7:16" x14ac:dyDescent="0.35">
      <c r="G67" s="11" t="str">
        <f t="shared" si="0"/>
      </c>
      <c r="H67" s="12" t="str">
        <f t="shared" si="6"/>
      </c>
      <c r="I67" s="12" t="str">
        <f t="shared" si="1"/>
      </c>
      <c r="J67" s="11" t="str">
        <f t="shared" si="2"/>
      </c>
      <c r="K67" s="12" t="str">
        <f t="shared" si="7"/>
      </c>
      <c r="L67" s="13" t="str">
        <f>IF(H67="","",IFERROR(INDEX('Tipos BdE'!$B$7:$M$336,MATCH(DATE(YEAR(K67),MONTH(K67),1),'Tipos BdE'!$A$7:$A$336,1),MATCH($D$9,'Tipos BdE'!$B$6:$M$6,0)),0))</f>
      </c>
      <c r="M67" s="13" t="str">
        <f t="shared" si="3"/>
      </c>
      <c r="N67" s="13" t="str">
        <f t="shared" si="4"/>
      </c>
      <c r="O67" s="14" t="str">
        <f t="shared" si="5"/>
      </c>
      <c r="P67" s="14" t="str">
        <f>IF(H67="","",$D$5+SUM($O$5:O67))</f>
      </c>
    </row>
    <row r="68" spans="7:16" x14ac:dyDescent="0.35">
      <c r="G68" s="11" t="str">
        <f t="shared" si="0"/>
      </c>
      <c r="H68" s="12" t="str">
        <f t="shared" si="6"/>
      </c>
      <c r="I68" s="12" t="str">
        <f t="shared" si="1"/>
      </c>
      <c r="J68" s="11" t="str">
        <f t="shared" si="2"/>
      </c>
      <c r="K68" s="12" t="str">
        <f t="shared" si="7"/>
      </c>
      <c r="L68" s="13" t="str">
        <f>IF(H68="","",IFERROR(INDEX('Tipos BdE'!$B$7:$M$336,MATCH(DATE(YEAR(K68),MONTH(K68),1),'Tipos BdE'!$A$7:$A$336,1),MATCH($D$9,'Tipos BdE'!$B$6:$M$6,0)),0))</f>
      </c>
      <c r="M68" s="13" t="str">
        <f t="shared" si="3"/>
      </c>
      <c r="N68" s="13" t="str">
        <f t="shared" si="4"/>
      </c>
      <c r="O68" s="14" t="str">
        <f t="shared" si="5"/>
      </c>
      <c r="P68" s="14" t="str">
        <f>IF(H68="","",$D$5+SUM($O$5:O68))</f>
      </c>
    </row>
    <row r="69" spans="7:16" x14ac:dyDescent="0.35">
      <c r="G69" s="11" t="str">
        <f t="shared" ref="G69:G132" si="8">IF(H69="","",ROW()-4)</f>
      </c>
      <c r="H69" s="12" t="str">
        <f t="shared" si="6"/>
      </c>
      <c r="I69" s="12" t="str">
        <f t="shared" ref="I69:I132" si="9">IF(H69="","",MIN(IF($D$18="LEGAL",DATE(YEAR(H69)+1,1,1),EDATE($D$12,$D$11*(INT((((YEAR(H69)-YEAR($D$12))*12+(MONTH(H69)-MONTH($D$12))-IF(DAY(H69)&lt;DAY($D$12),1,0))/$D$11))+1))),$D$7))</f>
      </c>
      <c r="J69" s="11" t="str">
        <f t="shared" ref="J69:J132" si="10">IF(H69="","",I69-H69)</f>
      </c>
      <c r="K69" s="12" t="str">
        <f t="shared" si="7"/>
      </c>
      <c r="L69" s="13" t="str">
        <f>IF(H69="","",IFERROR(INDEX('Tipos BdE'!$B$7:$M$336,MATCH(DATE(YEAR(K69),MONTH(K69),1),'Tipos BdE'!$A$7:$A$336,1),MATCH($D$9,'Tipos BdE'!$B$6:$M$6,0)),0))</f>
      </c>
      <c r="M69" s="13" t="str">
        <f t="shared" ref="M69:M132" si="11">IF(H69="","",IF($D$18="LEGAL",0,$D$10))</f>
      </c>
      <c r="N69" s="13" t="str">
        <f t="shared" ref="N69:N132" si="12">IF(H69="","",IF(AND($D$14="Sí",(L69+M69)&lt;0),0,L69+M69))</f>
      </c>
      <c r="O69" s="14" t="str">
        <f t="shared" ref="O69:O132" si="13">IF(H69="","",$D$5*N69*J69/36500)</f>
      </c>
      <c r="P69" s="14" t="str">
        <f>IF(H69="","",$D$5+SUM($O$5:O69))</f>
      </c>
    </row>
    <row r="70" spans="7:16" x14ac:dyDescent="0.35">
      <c r="G70" s="11" t="str">
        <f t="shared" si="8"/>
      </c>
      <c r="H70" s="12" t="str">
        <f t="shared" ref="H70:H133" si="14">IF(OR(I69="",I69&gt;=$D$7),"",I69)</f>
      </c>
      <c r="I70" s="12" t="str">
        <f t="shared" si="9"/>
      </c>
      <c r="J70" s="11" t="str">
        <f t="shared" si="10"/>
      </c>
      <c r="K70" s="12" t="str">
        <f t="shared" ref="K70:K133" si="15">IF(H70="","",IF($D$18="LEGAL",H70,EDATE(H70,-$D$13)))</f>
      </c>
      <c r="L70" s="13" t="str">
        <f>IF(H70="","",IFERROR(INDEX('Tipos BdE'!$B$7:$M$336,MATCH(DATE(YEAR(K70),MONTH(K70),1),'Tipos BdE'!$A$7:$A$336,1),MATCH($D$9,'Tipos BdE'!$B$6:$M$6,0)),0))</f>
      </c>
      <c r="M70" s="13" t="str">
        <f t="shared" si="11"/>
      </c>
      <c r="N70" s="13" t="str">
        <f t="shared" si="12"/>
      </c>
      <c r="O70" s="14" t="str">
        <f t="shared" si="13"/>
      </c>
      <c r="P70" s="14" t="str">
        <f>IF(H70="","",$D$5+SUM($O$5:O70))</f>
      </c>
    </row>
    <row r="71" spans="7:16" x14ac:dyDescent="0.35">
      <c r="G71" s="11" t="str">
        <f t="shared" si="8"/>
      </c>
      <c r="H71" s="12" t="str">
        <f t="shared" si="14"/>
      </c>
      <c r="I71" s="12" t="str">
        <f t="shared" si="9"/>
      </c>
      <c r="J71" s="11" t="str">
        <f t="shared" si="10"/>
      </c>
      <c r="K71" s="12" t="str">
        <f t="shared" si="15"/>
      </c>
      <c r="L71" s="13" t="str">
        <f>IF(H71="","",IFERROR(INDEX('Tipos BdE'!$B$7:$M$336,MATCH(DATE(YEAR(K71),MONTH(K71),1),'Tipos BdE'!$A$7:$A$336,1),MATCH($D$9,'Tipos BdE'!$B$6:$M$6,0)),0))</f>
      </c>
      <c r="M71" s="13" t="str">
        <f t="shared" si="11"/>
      </c>
      <c r="N71" s="13" t="str">
        <f t="shared" si="12"/>
      </c>
      <c r="O71" s="14" t="str">
        <f t="shared" si="13"/>
      </c>
      <c r="P71" s="14" t="str">
        <f>IF(H71="","",$D$5+SUM($O$5:O71))</f>
      </c>
    </row>
    <row r="72" spans="7:16" x14ac:dyDescent="0.35">
      <c r="G72" s="11" t="str">
        <f t="shared" si="8"/>
      </c>
      <c r="H72" s="12" t="str">
        <f t="shared" si="14"/>
      </c>
      <c r="I72" s="12" t="str">
        <f t="shared" si="9"/>
      </c>
      <c r="J72" s="11" t="str">
        <f t="shared" si="10"/>
      </c>
      <c r="K72" s="12" t="str">
        <f t="shared" si="15"/>
      </c>
      <c r="L72" s="13" t="str">
        <f>IF(H72="","",IFERROR(INDEX('Tipos BdE'!$B$7:$M$336,MATCH(DATE(YEAR(K72),MONTH(K72),1),'Tipos BdE'!$A$7:$A$336,1),MATCH($D$9,'Tipos BdE'!$B$6:$M$6,0)),0))</f>
      </c>
      <c r="M72" s="13" t="str">
        <f t="shared" si="11"/>
      </c>
      <c r="N72" s="13" t="str">
        <f t="shared" si="12"/>
      </c>
      <c r="O72" s="14" t="str">
        <f t="shared" si="13"/>
      </c>
      <c r="P72" s="14" t="str">
        <f>IF(H72="","",$D$5+SUM($O$5:O72))</f>
      </c>
    </row>
    <row r="73" spans="7:16" x14ac:dyDescent="0.35">
      <c r="G73" s="11" t="str">
        <f t="shared" si="8"/>
      </c>
      <c r="H73" s="12" t="str">
        <f t="shared" si="14"/>
      </c>
      <c r="I73" s="12" t="str">
        <f t="shared" si="9"/>
      </c>
      <c r="J73" s="11" t="str">
        <f t="shared" si="10"/>
      </c>
      <c r="K73" s="12" t="str">
        <f t="shared" si="15"/>
      </c>
      <c r="L73" s="13" t="str">
        <f>IF(H73="","",IFERROR(INDEX('Tipos BdE'!$B$7:$M$336,MATCH(DATE(YEAR(K73),MONTH(K73),1),'Tipos BdE'!$A$7:$A$336,1),MATCH($D$9,'Tipos BdE'!$B$6:$M$6,0)),0))</f>
      </c>
      <c r="M73" s="13" t="str">
        <f t="shared" si="11"/>
      </c>
      <c r="N73" s="13" t="str">
        <f t="shared" si="12"/>
      </c>
      <c r="O73" s="14" t="str">
        <f t="shared" si="13"/>
      </c>
      <c r="P73" s="14" t="str">
        <f>IF(H73="","",$D$5+SUM($O$5:O73))</f>
      </c>
    </row>
    <row r="74" spans="7:16" x14ac:dyDescent="0.35">
      <c r="G74" s="11" t="str">
        <f t="shared" si="8"/>
      </c>
      <c r="H74" s="12" t="str">
        <f t="shared" si="14"/>
      </c>
      <c r="I74" s="12" t="str">
        <f t="shared" si="9"/>
      </c>
      <c r="J74" s="11" t="str">
        <f t="shared" si="10"/>
      </c>
      <c r="K74" s="12" t="str">
        <f t="shared" si="15"/>
      </c>
      <c r="L74" s="13" t="str">
        <f>IF(H74="","",IFERROR(INDEX('Tipos BdE'!$B$7:$M$336,MATCH(DATE(YEAR(K74),MONTH(K74),1),'Tipos BdE'!$A$7:$A$336,1),MATCH($D$9,'Tipos BdE'!$B$6:$M$6,0)),0))</f>
      </c>
      <c r="M74" s="13" t="str">
        <f t="shared" si="11"/>
      </c>
      <c r="N74" s="13" t="str">
        <f t="shared" si="12"/>
      </c>
      <c r="O74" s="14" t="str">
        <f t="shared" si="13"/>
      </c>
      <c r="P74" s="14" t="str">
        <f>IF(H74="","",$D$5+SUM($O$5:O74))</f>
      </c>
    </row>
    <row r="75" spans="7:16" x14ac:dyDescent="0.35">
      <c r="G75" s="11" t="str">
        <f t="shared" si="8"/>
      </c>
      <c r="H75" s="12" t="str">
        <f t="shared" si="14"/>
      </c>
      <c r="I75" s="12" t="str">
        <f t="shared" si="9"/>
      </c>
      <c r="J75" s="11" t="str">
        <f t="shared" si="10"/>
      </c>
      <c r="K75" s="12" t="str">
        <f t="shared" si="15"/>
      </c>
      <c r="L75" s="13" t="str">
        <f>IF(H75="","",IFERROR(INDEX('Tipos BdE'!$B$7:$M$336,MATCH(DATE(YEAR(K75),MONTH(K75),1),'Tipos BdE'!$A$7:$A$336,1),MATCH($D$9,'Tipos BdE'!$B$6:$M$6,0)),0))</f>
      </c>
      <c r="M75" s="13" t="str">
        <f t="shared" si="11"/>
      </c>
      <c r="N75" s="13" t="str">
        <f t="shared" si="12"/>
      </c>
      <c r="O75" s="14" t="str">
        <f t="shared" si="13"/>
      </c>
      <c r="P75" s="14" t="str">
        <f>IF(H75="","",$D$5+SUM($O$5:O75))</f>
      </c>
    </row>
    <row r="76" spans="7:16" x14ac:dyDescent="0.35">
      <c r="G76" s="11" t="str">
        <f t="shared" si="8"/>
      </c>
      <c r="H76" s="12" t="str">
        <f t="shared" si="14"/>
      </c>
      <c r="I76" s="12" t="str">
        <f t="shared" si="9"/>
      </c>
      <c r="J76" s="11" t="str">
        <f t="shared" si="10"/>
      </c>
      <c r="K76" s="12" t="str">
        <f t="shared" si="15"/>
      </c>
      <c r="L76" s="13" t="str">
        <f>IF(H76="","",IFERROR(INDEX('Tipos BdE'!$B$7:$M$336,MATCH(DATE(YEAR(K76),MONTH(K76),1),'Tipos BdE'!$A$7:$A$336,1),MATCH($D$9,'Tipos BdE'!$B$6:$M$6,0)),0))</f>
      </c>
      <c r="M76" s="13" t="str">
        <f t="shared" si="11"/>
      </c>
      <c r="N76" s="13" t="str">
        <f t="shared" si="12"/>
      </c>
      <c r="O76" s="14" t="str">
        <f t="shared" si="13"/>
      </c>
      <c r="P76" s="14" t="str">
        <f>IF(H76="","",$D$5+SUM($O$5:O76))</f>
      </c>
    </row>
    <row r="77" spans="7:16" x14ac:dyDescent="0.35">
      <c r="G77" s="11" t="str">
        <f t="shared" si="8"/>
      </c>
      <c r="H77" s="12" t="str">
        <f t="shared" si="14"/>
      </c>
      <c r="I77" s="12" t="str">
        <f t="shared" si="9"/>
      </c>
      <c r="J77" s="11" t="str">
        <f t="shared" si="10"/>
      </c>
      <c r="K77" s="12" t="str">
        <f t="shared" si="15"/>
      </c>
      <c r="L77" s="13" t="str">
        <f>IF(H77="","",IFERROR(INDEX('Tipos BdE'!$B$7:$M$336,MATCH(DATE(YEAR(K77),MONTH(K77),1),'Tipos BdE'!$A$7:$A$336,1),MATCH($D$9,'Tipos BdE'!$B$6:$M$6,0)),0))</f>
      </c>
      <c r="M77" s="13" t="str">
        <f t="shared" si="11"/>
      </c>
      <c r="N77" s="13" t="str">
        <f t="shared" si="12"/>
      </c>
      <c r="O77" s="14" t="str">
        <f t="shared" si="13"/>
      </c>
      <c r="P77" s="14" t="str">
        <f>IF(H77="","",$D$5+SUM($O$5:O77))</f>
      </c>
    </row>
    <row r="78" spans="7:16" x14ac:dyDescent="0.35">
      <c r="G78" s="11" t="str">
        <f t="shared" si="8"/>
      </c>
      <c r="H78" s="12" t="str">
        <f t="shared" si="14"/>
      </c>
      <c r="I78" s="12" t="str">
        <f t="shared" si="9"/>
      </c>
      <c r="J78" s="11" t="str">
        <f t="shared" si="10"/>
      </c>
      <c r="K78" s="12" t="str">
        <f t="shared" si="15"/>
      </c>
      <c r="L78" s="13" t="str">
        <f>IF(H78="","",IFERROR(INDEX('Tipos BdE'!$B$7:$M$336,MATCH(DATE(YEAR(K78),MONTH(K78),1),'Tipos BdE'!$A$7:$A$336,1),MATCH($D$9,'Tipos BdE'!$B$6:$M$6,0)),0))</f>
      </c>
      <c r="M78" s="13" t="str">
        <f t="shared" si="11"/>
      </c>
      <c r="N78" s="13" t="str">
        <f t="shared" si="12"/>
      </c>
      <c r="O78" s="14" t="str">
        <f t="shared" si="13"/>
      </c>
      <c r="P78" s="14" t="str">
        <f>IF(H78="","",$D$5+SUM($O$5:O78))</f>
      </c>
    </row>
    <row r="79" spans="7:16" x14ac:dyDescent="0.35">
      <c r="G79" s="11" t="str">
        <f t="shared" si="8"/>
      </c>
      <c r="H79" s="12" t="str">
        <f t="shared" si="14"/>
      </c>
      <c r="I79" s="12" t="str">
        <f t="shared" si="9"/>
      </c>
      <c r="J79" s="11" t="str">
        <f t="shared" si="10"/>
      </c>
      <c r="K79" s="12" t="str">
        <f t="shared" si="15"/>
      </c>
      <c r="L79" s="13" t="str">
        <f>IF(H79="","",IFERROR(INDEX('Tipos BdE'!$B$7:$M$336,MATCH(DATE(YEAR(K79),MONTH(K79),1),'Tipos BdE'!$A$7:$A$336,1),MATCH($D$9,'Tipos BdE'!$B$6:$M$6,0)),0))</f>
      </c>
      <c r="M79" s="13" t="str">
        <f t="shared" si="11"/>
      </c>
      <c r="N79" s="13" t="str">
        <f t="shared" si="12"/>
      </c>
      <c r="O79" s="14" t="str">
        <f t="shared" si="13"/>
      </c>
      <c r="P79" s="14" t="str">
        <f>IF(H79="","",$D$5+SUM($O$5:O79))</f>
      </c>
    </row>
    <row r="80" spans="7:16" x14ac:dyDescent="0.35">
      <c r="G80" s="11" t="str">
        <f t="shared" si="8"/>
      </c>
      <c r="H80" s="12" t="str">
        <f t="shared" si="14"/>
      </c>
      <c r="I80" s="12" t="str">
        <f t="shared" si="9"/>
      </c>
      <c r="J80" s="11" t="str">
        <f t="shared" si="10"/>
      </c>
      <c r="K80" s="12" t="str">
        <f t="shared" si="15"/>
      </c>
      <c r="L80" s="13" t="str">
        <f>IF(H80="","",IFERROR(INDEX('Tipos BdE'!$B$7:$M$336,MATCH(DATE(YEAR(K80),MONTH(K80),1),'Tipos BdE'!$A$7:$A$336,1),MATCH($D$9,'Tipos BdE'!$B$6:$M$6,0)),0))</f>
      </c>
      <c r="M80" s="13" t="str">
        <f t="shared" si="11"/>
      </c>
      <c r="N80" s="13" t="str">
        <f t="shared" si="12"/>
      </c>
      <c r="O80" s="14" t="str">
        <f t="shared" si="13"/>
      </c>
      <c r="P80" s="14" t="str">
        <f>IF(H80="","",$D$5+SUM($O$5:O80))</f>
      </c>
    </row>
    <row r="81" spans="7:16" x14ac:dyDescent="0.35">
      <c r="G81" s="11" t="str">
        <f t="shared" si="8"/>
      </c>
      <c r="H81" s="12" t="str">
        <f t="shared" si="14"/>
      </c>
      <c r="I81" s="12" t="str">
        <f t="shared" si="9"/>
      </c>
      <c r="J81" s="11" t="str">
        <f t="shared" si="10"/>
      </c>
      <c r="K81" s="12" t="str">
        <f t="shared" si="15"/>
      </c>
      <c r="L81" s="13" t="str">
        <f>IF(H81="","",IFERROR(INDEX('Tipos BdE'!$B$7:$M$336,MATCH(DATE(YEAR(K81),MONTH(K81),1),'Tipos BdE'!$A$7:$A$336,1),MATCH($D$9,'Tipos BdE'!$B$6:$M$6,0)),0))</f>
      </c>
      <c r="M81" s="13" t="str">
        <f t="shared" si="11"/>
      </c>
      <c r="N81" s="13" t="str">
        <f t="shared" si="12"/>
      </c>
      <c r="O81" s="14" t="str">
        <f t="shared" si="13"/>
      </c>
      <c r="P81" s="14" t="str">
        <f>IF(H81="","",$D$5+SUM($O$5:O81))</f>
      </c>
    </row>
    <row r="82" spans="7:16" x14ac:dyDescent="0.35">
      <c r="G82" s="11" t="str">
        <f t="shared" si="8"/>
      </c>
      <c r="H82" s="12" t="str">
        <f t="shared" si="14"/>
      </c>
      <c r="I82" s="12" t="str">
        <f t="shared" si="9"/>
      </c>
      <c r="J82" s="11" t="str">
        <f t="shared" si="10"/>
      </c>
      <c r="K82" s="12" t="str">
        <f t="shared" si="15"/>
      </c>
      <c r="L82" s="13" t="str">
        <f>IF(H82="","",IFERROR(INDEX('Tipos BdE'!$B$7:$M$336,MATCH(DATE(YEAR(K82),MONTH(K82),1),'Tipos BdE'!$A$7:$A$336,1),MATCH($D$9,'Tipos BdE'!$B$6:$M$6,0)),0))</f>
      </c>
      <c r="M82" s="13" t="str">
        <f t="shared" si="11"/>
      </c>
      <c r="N82" s="13" t="str">
        <f t="shared" si="12"/>
      </c>
      <c r="O82" s="14" t="str">
        <f t="shared" si="13"/>
      </c>
      <c r="P82" s="14" t="str">
        <f>IF(H82="","",$D$5+SUM($O$5:O82))</f>
      </c>
    </row>
    <row r="83" spans="7:16" x14ac:dyDescent="0.35">
      <c r="G83" s="11" t="str">
        <f t="shared" si="8"/>
      </c>
      <c r="H83" s="12" t="str">
        <f t="shared" si="14"/>
      </c>
      <c r="I83" s="12" t="str">
        <f t="shared" si="9"/>
      </c>
      <c r="J83" s="11" t="str">
        <f t="shared" si="10"/>
      </c>
      <c r="K83" s="12" t="str">
        <f t="shared" si="15"/>
      </c>
      <c r="L83" s="13" t="str">
        <f>IF(H83="","",IFERROR(INDEX('Tipos BdE'!$B$7:$M$336,MATCH(DATE(YEAR(K83),MONTH(K83),1),'Tipos BdE'!$A$7:$A$336,1),MATCH($D$9,'Tipos BdE'!$B$6:$M$6,0)),0))</f>
      </c>
      <c r="M83" s="13" t="str">
        <f t="shared" si="11"/>
      </c>
      <c r="N83" s="13" t="str">
        <f t="shared" si="12"/>
      </c>
      <c r="O83" s="14" t="str">
        <f t="shared" si="13"/>
      </c>
      <c r="P83" s="14" t="str">
        <f>IF(H83="","",$D$5+SUM($O$5:O83))</f>
      </c>
    </row>
    <row r="84" spans="7:16" x14ac:dyDescent="0.35">
      <c r="G84" s="11" t="str">
        <f t="shared" si="8"/>
      </c>
      <c r="H84" s="12" t="str">
        <f t="shared" si="14"/>
      </c>
      <c r="I84" s="12" t="str">
        <f t="shared" si="9"/>
      </c>
      <c r="J84" s="11" t="str">
        <f t="shared" si="10"/>
      </c>
      <c r="K84" s="12" t="str">
        <f t="shared" si="15"/>
      </c>
      <c r="L84" s="13" t="str">
        <f>IF(H84="","",IFERROR(INDEX('Tipos BdE'!$B$7:$M$336,MATCH(DATE(YEAR(K84),MONTH(K84),1),'Tipos BdE'!$A$7:$A$336,1),MATCH($D$9,'Tipos BdE'!$B$6:$M$6,0)),0))</f>
      </c>
      <c r="M84" s="13" t="str">
        <f t="shared" si="11"/>
      </c>
      <c r="N84" s="13" t="str">
        <f t="shared" si="12"/>
      </c>
      <c r="O84" s="14" t="str">
        <f t="shared" si="13"/>
      </c>
      <c r="P84" s="14" t="str">
        <f>IF(H84="","",$D$5+SUM($O$5:O84))</f>
      </c>
    </row>
    <row r="85" spans="7:16" x14ac:dyDescent="0.35">
      <c r="G85" s="11" t="str">
        <f t="shared" si="8"/>
      </c>
      <c r="H85" s="12" t="str">
        <f t="shared" si="14"/>
      </c>
      <c r="I85" s="12" t="str">
        <f t="shared" si="9"/>
      </c>
      <c r="J85" s="11" t="str">
        <f t="shared" si="10"/>
      </c>
      <c r="K85" s="12" t="str">
        <f t="shared" si="15"/>
      </c>
      <c r="L85" s="13" t="str">
        <f>IF(H85="","",IFERROR(INDEX('Tipos BdE'!$B$7:$M$336,MATCH(DATE(YEAR(K85),MONTH(K85),1),'Tipos BdE'!$A$7:$A$336,1),MATCH($D$9,'Tipos BdE'!$B$6:$M$6,0)),0))</f>
      </c>
      <c r="M85" s="13" t="str">
        <f t="shared" si="11"/>
      </c>
      <c r="N85" s="13" t="str">
        <f t="shared" si="12"/>
      </c>
      <c r="O85" s="14" t="str">
        <f t="shared" si="13"/>
      </c>
      <c r="P85" s="14" t="str">
        <f>IF(H85="","",$D$5+SUM($O$5:O85))</f>
      </c>
    </row>
    <row r="86" spans="7:16" x14ac:dyDescent="0.35">
      <c r="G86" s="11" t="str">
        <f t="shared" si="8"/>
      </c>
      <c r="H86" s="12" t="str">
        <f t="shared" si="14"/>
      </c>
      <c r="I86" s="12" t="str">
        <f t="shared" si="9"/>
      </c>
      <c r="J86" s="11" t="str">
        <f t="shared" si="10"/>
      </c>
      <c r="K86" s="12" t="str">
        <f t="shared" si="15"/>
      </c>
      <c r="L86" s="13" t="str">
        <f>IF(H86="","",IFERROR(INDEX('Tipos BdE'!$B$7:$M$336,MATCH(DATE(YEAR(K86),MONTH(K86),1),'Tipos BdE'!$A$7:$A$336,1),MATCH($D$9,'Tipos BdE'!$B$6:$M$6,0)),0))</f>
      </c>
      <c r="M86" s="13" t="str">
        <f t="shared" si="11"/>
      </c>
      <c r="N86" s="13" t="str">
        <f t="shared" si="12"/>
      </c>
      <c r="O86" s="14" t="str">
        <f t="shared" si="13"/>
      </c>
      <c r="P86" s="14" t="str">
        <f>IF(H86="","",$D$5+SUM($O$5:O86))</f>
      </c>
    </row>
    <row r="87" spans="7:16" x14ac:dyDescent="0.35">
      <c r="G87" s="11" t="str">
        <f t="shared" si="8"/>
      </c>
      <c r="H87" s="12" t="str">
        <f t="shared" si="14"/>
      </c>
      <c r="I87" s="12" t="str">
        <f t="shared" si="9"/>
      </c>
      <c r="J87" s="11" t="str">
        <f t="shared" si="10"/>
      </c>
      <c r="K87" s="12" t="str">
        <f t="shared" si="15"/>
      </c>
      <c r="L87" s="13" t="str">
        <f>IF(H87="","",IFERROR(INDEX('Tipos BdE'!$B$7:$M$336,MATCH(DATE(YEAR(K87),MONTH(K87),1),'Tipos BdE'!$A$7:$A$336,1),MATCH($D$9,'Tipos BdE'!$B$6:$M$6,0)),0))</f>
      </c>
      <c r="M87" s="13" t="str">
        <f t="shared" si="11"/>
      </c>
      <c r="N87" s="13" t="str">
        <f t="shared" si="12"/>
      </c>
      <c r="O87" s="14" t="str">
        <f t="shared" si="13"/>
      </c>
      <c r="P87" s="14" t="str">
        <f>IF(H87="","",$D$5+SUM($O$5:O87))</f>
      </c>
    </row>
    <row r="88" spans="7:16" x14ac:dyDescent="0.35">
      <c r="G88" s="11" t="str">
        <f t="shared" si="8"/>
      </c>
      <c r="H88" s="12" t="str">
        <f t="shared" si="14"/>
      </c>
      <c r="I88" s="12" t="str">
        <f t="shared" si="9"/>
      </c>
      <c r="J88" s="11" t="str">
        <f t="shared" si="10"/>
      </c>
      <c r="K88" s="12" t="str">
        <f t="shared" si="15"/>
      </c>
      <c r="L88" s="13" t="str">
        <f>IF(H88="","",IFERROR(INDEX('Tipos BdE'!$B$7:$M$336,MATCH(DATE(YEAR(K88),MONTH(K88),1),'Tipos BdE'!$A$7:$A$336,1),MATCH($D$9,'Tipos BdE'!$B$6:$M$6,0)),0))</f>
      </c>
      <c r="M88" s="13" t="str">
        <f t="shared" si="11"/>
      </c>
      <c r="N88" s="13" t="str">
        <f t="shared" si="12"/>
      </c>
      <c r="O88" s="14" t="str">
        <f t="shared" si="13"/>
      </c>
      <c r="P88" s="14" t="str">
        <f>IF(H88="","",$D$5+SUM($O$5:O88))</f>
      </c>
    </row>
    <row r="89" spans="7:16" x14ac:dyDescent="0.35">
      <c r="G89" s="11" t="str">
        <f t="shared" si="8"/>
      </c>
      <c r="H89" s="12" t="str">
        <f t="shared" si="14"/>
      </c>
      <c r="I89" s="12" t="str">
        <f t="shared" si="9"/>
      </c>
      <c r="J89" s="11" t="str">
        <f t="shared" si="10"/>
      </c>
      <c r="K89" s="12" t="str">
        <f t="shared" si="15"/>
      </c>
      <c r="L89" s="13" t="str">
        <f>IF(H89="","",IFERROR(INDEX('Tipos BdE'!$B$7:$M$336,MATCH(DATE(YEAR(K89),MONTH(K89),1),'Tipos BdE'!$A$7:$A$336,1),MATCH($D$9,'Tipos BdE'!$B$6:$M$6,0)),0))</f>
      </c>
      <c r="M89" s="13" t="str">
        <f t="shared" si="11"/>
      </c>
      <c r="N89" s="13" t="str">
        <f t="shared" si="12"/>
      </c>
      <c r="O89" s="14" t="str">
        <f t="shared" si="13"/>
      </c>
      <c r="P89" s="14" t="str">
        <f>IF(H89="","",$D$5+SUM($O$5:O89))</f>
      </c>
    </row>
    <row r="90" spans="7:16" x14ac:dyDescent="0.35">
      <c r="G90" s="11" t="str">
        <f t="shared" si="8"/>
      </c>
      <c r="H90" s="12" t="str">
        <f t="shared" si="14"/>
      </c>
      <c r="I90" s="12" t="str">
        <f t="shared" si="9"/>
      </c>
      <c r="J90" s="11" t="str">
        <f t="shared" si="10"/>
      </c>
      <c r="K90" s="12" t="str">
        <f t="shared" si="15"/>
      </c>
      <c r="L90" s="13" t="str">
        <f>IF(H90="","",IFERROR(INDEX('Tipos BdE'!$B$7:$M$336,MATCH(DATE(YEAR(K90),MONTH(K90),1),'Tipos BdE'!$A$7:$A$336,1),MATCH($D$9,'Tipos BdE'!$B$6:$M$6,0)),0))</f>
      </c>
      <c r="M90" s="13" t="str">
        <f t="shared" si="11"/>
      </c>
      <c r="N90" s="13" t="str">
        <f t="shared" si="12"/>
      </c>
      <c r="O90" s="14" t="str">
        <f t="shared" si="13"/>
      </c>
      <c r="P90" s="14" t="str">
        <f>IF(H90="","",$D$5+SUM($O$5:O90))</f>
      </c>
    </row>
    <row r="91" spans="7:16" x14ac:dyDescent="0.35">
      <c r="G91" s="11" t="str">
        <f t="shared" si="8"/>
      </c>
      <c r="H91" s="12" t="str">
        <f t="shared" si="14"/>
      </c>
      <c r="I91" s="12" t="str">
        <f t="shared" si="9"/>
      </c>
      <c r="J91" s="11" t="str">
        <f t="shared" si="10"/>
      </c>
      <c r="K91" s="12" t="str">
        <f t="shared" si="15"/>
      </c>
      <c r="L91" s="13" t="str">
        <f>IF(H91="","",IFERROR(INDEX('Tipos BdE'!$B$7:$M$336,MATCH(DATE(YEAR(K91),MONTH(K91),1),'Tipos BdE'!$A$7:$A$336,1),MATCH($D$9,'Tipos BdE'!$B$6:$M$6,0)),0))</f>
      </c>
      <c r="M91" s="13" t="str">
        <f t="shared" si="11"/>
      </c>
      <c r="N91" s="13" t="str">
        <f t="shared" si="12"/>
      </c>
      <c r="O91" s="14" t="str">
        <f t="shared" si="13"/>
      </c>
      <c r="P91" s="14" t="str">
        <f>IF(H91="","",$D$5+SUM($O$5:O91))</f>
      </c>
    </row>
    <row r="92" spans="7:16" x14ac:dyDescent="0.35">
      <c r="G92" s="11" t="str">
        <f t="shared" si="8"/>
      </c>
      <c r="H92" s="12" t="str">
        <f t="shared" si="14"/>
      </c>
      <c r="I92" s="12" t="str">
        <f t="shared" si="9"/>
      </c>
      <c r="J92" s="11" t="str">
        <f t="shared" si="10"/>
      </c>
      <c r="K92" s="12" t="str">
        <f t="shared" si="15"/>
      </c>
      <c r="L92" s="13" t="str">
        <f>IF(H92="","",IFERROR(INDEX('Tipos BdE'!$B$7:$M$336,MATCH(DATE(YEAR(K92),MONTH(K92),1),'Tipos BdE'!$A$7:$A$336,1),MATCH($D$9,'Tipos BdE'!$B$6:$M$6,0)),0))</f>
      </c>
      <c r="M92" s="13" t="str">
        <f t="shared" si="11"/>
      </c>
      <c r="N92" s="13" t="str">
        <f t="shared" si="12"/>
      </c>
      <c r="O92" s="14" t="str">
        <f t="shared" si="13"/>
      </c>
      <c r="P92" s="14" t="str">
        <f>IF(H92="","",$D$5+SUM($O$5:O92))</f>
      </c>
    </row>
    <row r="93" spans="7:16" x14ac:dyDescent="0.35">
      <c r="G93" s="11" t="str">
        <f t="shared" si="8"/>
      </c>
      <c r="H93" s="12" t="str">
        <f t="shared" si="14"/>
      </c>
      <c r="I93" s="12" t="str">
        <f t="shared" si="9"/>
      </c>
      <c r="J93" s="11" t="str">
        <f t="shared" si="10"/>
      </c>
      <c r="K93" s="12" t="str">
        <f t="shared" si="15"/>
      </c>
      <c r="L93" s="13" t="str">
        <f>IF(H93="","",IFERROR(INDEX('Tipos BdE'!$B$7:$M$336,MATCH(DATE(YEAR(K93),MONTH(K93),1),'Tipos BdE'!$A$7:$A$336,1),MATCH($D$9,'Tipos BdE'!$B$6:$M$6,0)),0))</f>
      </c>
      <c r="M93" s="13" t="str">
        <f t="shared" si="11"/>
      </c>
      <c r="N93" s="13" t="str">
        <f t="shared" si="12"/>
      </c>
      <c r="O93" s="14" t="str">
        <f t="shared" si="13"/>
      </c>
      <c r="P93" s="14" t="str">
        <f>IF(H93="","",$D$5+SUM($O$5:O93))</f>
      </c>
    </row>
    <row r="94" spans="7:16" x14ac:dyDescent="0.35">
      <c r="G94" s="11" t="str">
        <f t="shared" si="8"/>
      </c>
      <c r="H94" s="12" t="str">
        <f t="shared" si="14"/>
      </c>
      <c r="I94" s="12" t="str">
        <f t="shared" si="9"/>
      </c>
      <c r="J94" s="11" t="str">
        <f t="shared" si="10"/>
      </c>
      <c r="K94" s="12" t="str">
        <f t="shared" si="15"/>
      </c>
      <c r="L94" s="13" t="str">
        <f>IF(H94="","",IFERROR(INDEX('Tipos BdE'!$B$7:$M$336,MATCH(DATE(YEAR(K94),MONTH(K94),1),'Tipos BdE'!$A$7:$A$336,1),MATCH($D$9,'Tipos BdE'!$B$6:$M$6,0)),0))</f>
      </c>
      <c r="M94" s="13" t="str">
        <f t="shared" si="11"/>
      </c>
      <c r="N94" s="13" t="str">
        <f t="shared" si="12"/>
      </c>
      <c r="O94" s="14" t="str">
        <f t="shared" si="13"/>
      </c>
      <c r="P94" s="14" t="str">
        <f>IF(H94="","",$D$5+SUM($O$5:O94))</f>
      </c>
    </row>
    <row r="95" spans="7:16" x14ac:dyDescent="0.35">
      <c r="G95" s="11" t="str">
        <f t="shared" si="8"/>
      </c>
      <c r="H95" s="12" t="str">
        <f t="shared" si="14"/>
      </c>
      <c r="I95" s="12" t="str">
        <f t="shared" si="9"/>
      </c>
      <c r="J95" s="11" t="str">
        <f t="shared" si="10"/>
      </c>
      <c r="K95" s="12" t="str">
        <f t="shared" si="15"/>
      </c>
      <c r="L95" s="13" t="str">
        <f>IF(H95="","",IFERROR(INDEX('Tipos BdE'!$B$7:$M$336,MATCH(DATE(YEAR(K95),MONTH(K95),1),'Tipos BdE'!$A$7:$A$336,1),MATCH($D$9,'Tipos BdE'!$B$6:$M$6,0)),0))</f>
      </c>
      <c r="M95" s="13" t="str">
        <f t="shared" si="11"/>
      </c>
      <c r="N95" s="13" t="str">
        <f t="shared" si="12"/>
      </c>
      <c r="O95" s="14" t="str">
        <f t="shared" si="13"/>
      </c>
      <c r="P95" s="14" t="str">
        <f>IF(H95="","",$D$5+SUM($O$5:O95))</f>
      </c>
    </row>
    <row r="96" spans="7:16" x14ac:dyDescent="0.35">
      <c r="G96" s="11" t="str">
        <f t="shared" si="8"/>
      </c>
      <c r="H96" s="12" t="str">
        <f t="shared" si="14"/>
      </c>
      <c r="I96" s="12" t="str">
        <f t="shared" si="9"/>
      </c>
      <c r="J96" s="11" t="str">
        <f t="shared" si="10"/>
      </c>
      <c r="K96" s="12" t="str">
        <f t="shared" si="15"/>
      </c>
      <c r="L96" s="13" t="str">
        <f>IF(H96="","",IFERROR(INDEX('Tipos BdE'!$B$7:$M$336,MATCH(DATE(YEAR(K96),MONTH(K96),1),'Tipos BdE'!$A$7:$A$336,1),MATCH($D$9,'Tipos BdE'!$B$6:$M$6,0)),0))</f>
      </c>
      <c r="M96" s="13" t="str">
        <f t="shared" si="11"/>
      </c>
      <c r="N96" s="13" t="str">
        <f t="shared" si="12"/>
      </c>
      <c r="O96" s="14" t="str">
        <f t="shared" si="13"/>
      </c>
      <c r="P96" s="14" t="str">
        <f>IF(H96="","",$D$5+SUM($O$5:O96))</f>
      </c>
    </row>
    <row r="97" spans="7:16" x14ac:dyDescent="0.35">
      <c r="G97" s="11" t="str">
        <f t="shared" si="8"/>
      </c>
      <c r="H97" s="12" t="str">
        <f t="shared" si="14"/>
      </c>
      <c r="I97" s="12" t="str">
        <f t="shared" si="9"/>
      </c>
      <c r="J97" s="11" t="str">
        <f t="shared" si="10"/>
      </c>
      <c r="K97" s="12" t="str">
        <f t="shared" si="15"/>
      </c>
      <c r="L97" s="13" t="str">
        <f>IF(H97="","",IFERROR(INDEX('Tipos BdE'!$B$7:$M$336,MATCH(DATE(YEAR(K97),MONTH(K97),1),'Tipos BdE'!$A$7:$A$336,1),MATCH($D$9,'Tipos BdE'!$B$6:$M$6,0)),0))</f>
      </c>
      <c r="M97" s="13" t="str">
        <f t="shared" si="11"/>
      </c>
      <c r="N97" s="13" t="str">
        <f t="shared" si="12"/>
      </c>
      <c r="O97" s="14" t="str">
        <f t="shared" si="13"/>
      </c>
      <c r="P97" s="14" t="str">
        <f>IF(H97="","",$D$5+SUM($O$5:O97))</f>
      </c>
    </row>
    <row r="98" spans="7:16" x14ac:dyDescent="0.35">
      <c r="G98" s="11" t="str">
        <f t="shared" si="8"/>
      </c>
      <c r="H98" s="12" t="str">
        <f t="shared" si="14"/>
      </c>
      <c r="I98" s="12" t="str">
        <f t="shared" si="9"/>
      </c>
      <c r="J98" s="11" t="str">
        <f t="shared" si="10"/>
      </c>
      <c r="K98" s="12" t="str">
        <f t="shared" si="15"/>
      </c>
      <c r="L98" s="13" t="str">
        <f>IF(H98="","",IFERROR(INDEX('Tipos BdE'!$B$7:$M$336,MATCH(DATE(YEAR(K98),MONTH(K98),1),'Tipos BdE'!$A$7:$A$336,1),MATCH($D$9,'Tipos BdE'!$B$6:$M$6,0)),0))</f>
      </c>
      <c r="M98" s="13" t="str">
        <f t="shared" si="11"/>
      </c>
      <c r="N98" s="13" t="str">
        <f t="shared" si="12"/>
      </c>
      <c r="O98" s="14" t="str">
        <f t="shared" si="13"/>
      </c>
      <c r="P98" s="14" t="str">
        <f>IF(H98="","",$D$5+SUM($O$5:O98))</f>
      </c>
    </row>
    <row r="99" spans="7:16" x14ac:dyDescent="0.35">
      <c r="G99" s="11" t="str">
        <f t="shared" si="8"/>
      </c>
      <c r="H99" s="12" t="str">
        <f t="shared" si="14"/>
      </c>
      <c r="I99" s="12" t="str">
        <f t="shared" si="9"/>
      </c>
      <c r="J99" s="11" t="str">
        <f t="shared" si="10"/>
      </c>
      <c r="K99" s="12" t="str">
        <f t="shared" si="15"/>
      </c>
      <c r="L99" s="13" t="str">
        <f>IF(H99="","",IFERROR(INDEX('Tipos BdE'!$B$7:$M$336,MATCH(DATE(YEAR(K99),MONTH(K99),1),'Tipos BdE'!$A$7:$A$336,1),MATCH($D$9,'Tipos BdE'!$B$6:$M$6,0)),0))</f>
      </c>
      <c r="M99" s="13" t="str">
        <f t="shared" si="11"/>
      </c>
      <c r="N99" s="13" t="str">
        <f t="shared" si="12"/>
      </c>
      <c r="O99" s="14" t="str">
        <f t="shared" si="13"/>
      </c>
      <c r="P99" s="14" t="str">
        <f>IF(H99="","",$D$5+SUM($O$5:O99))</f>
      </c>
    </row>
    <row r="100" spans="7:16" x14ac:dyDescent="0.35">
      <c r="G100" s="11" t="str">
        <f t="shared" si="8"/>
      </c>
      <c r="H100" s="12" t="str">
        <f t="shared" si="14"/>
      </c>
      <c r="I100" s="12" t="str">
        <f t="shared" si="9"/>
      </c>
      <c r="J100" s="11" t="str">
        <f t="shared" si="10"/>
      </c>
      <c r="K100" s="12" t="str">
        <f t="shared" si="15"/>
      </c>
      <c r="L100" s="13" t="str">
        <f>IF(H100="","",IFERROR(INDEX('Tipos BdE'!$B$7:$M$336,MATCH(DATE(YEAR(K100),MONTH(K100),1),'Tipos BdE'!$A$7:$A$336,1),MATCH($D$9,'Tipos BdE'!$B$6:$M$6,0)),0))</f>
      </c>
      <c r="M100" s="13" t="str">
        <f t="shared" si="11"/>
      </c>
      <c r="N100" s="13" t="str">
        <f t="shared" si="12"/>
      </c>
      <c r="O100" s="14" t="str">
        <f t="shared" si="13"/>
      </c>
      <c r="P100" s="14" t="str">
        <f>IF(H100="","",$D$5+SUM($O$5:O100))</f>
      </c>
    </row>
    <row r="101" spans="7:16" x14ac:dyDescent="0.35">
      <c r="G101" s="11" t="str">
        <f t="shared" si="8"/>
      </c>
      <c r="H101" s="12" t="str">
        <f t="shared" si="14"/>
      </c>
      <c r="I101" s="12" t="str">
        <f t="shared" si="9"/>
      </c>
      <c r="J101" s="11" t="str">
        <f t="shared" si="10"/>
      </c>
      <c r="K101" s="12" t="str">
        <f t="shared" si="15"/>
      </c>
      <c r="L101" s="13" t="str">
        <f>IF(H101="","",IFERROR(INDEX('Tipos BdE'!$B$7:$M$336,MATCH(DATE(YEAR(K101),MONTH(K101),1),'Tipos BdE'!$A$7:$A$336,1),MATCH($D$9,'Tipos BdE'!$B$6:$M$6,0)),0))</f>
      </c>
      <c r="M101" s="13" t="str">
        <f t="shared" si="11"/>
      </c>
      <c r="N101" s="13" t="str">
        <f t="shared" si="12"/>
      </c>
      <c r="O101" s="14" t="str">
        <f t="shared" si="13"/>
      </c>
      <c r="P101" s="14" t="str">
        <f>IF(H101="","",$D$5+SUM($O$5:O101))</f>
      </c>
    </row>
    <row r="102" spans="7:16" x14ac:dyDescent="0.35">
      <c r="G102" s="11" t="str">
        <f t="shared" si="8"/>
      </c>
      <c r="H102" s="12" t="str">
        <f t="shared" si="14"/>
      </c>
      <c r="I102" s="12" t="str">
        <f t="shared" si="9"/>
      </c>
      <c r="J102" s="11" t="str">
        <f t="shared" si="10"/>
      </c>
      <c r="K102" s="12" t="str">
        <f t="shared" si="15"/>
      </c>
      <c r="L102" s="13" t="str">
        <f>IF(H102="","",IFERROR(INDEX('Tipos BdE'!$B$7:$M$336,MATCH(DATE(YEAR(K102),MONTH(K102),1),'Tipos BdE'!$A$7:$A$336,1),MATCH($D$9,'Tipos BdE'!$B$6:$M$6,0)),0))</f>
      </c>
      <c r="M102" s="13" t="str">
        <f t="shared" si="11"/>
      </c>
      <c r="N102" s="13" t="str">
        <f t="shared" si="12"/>
      </c>
      <c r="O102" s="14" t="str">
        <f t="shared" si="13"/>
      </c>
      <c r="P102" s="14" t="str">
        <f>IF(H102="","",$D$5+SUM($O$5:O102))</f>
      </c>
    </row>
    <row r="103" spans="7:16" x14ac:dyDescent="0.35">
      <c r="G103" s="11" t="str">
        <f t="shared" si="8"/>
      </c>
      <c r="H103" s="12" t="str">
        <f t="shared" si="14"/>
      </c>
      <c r="I103" s="12" t="str">
        <f t="shared" si="9"/>
      </c>
      <c r="J103" s="11" t="str">
        <f t="shared" si="10"/>
      </c>
      <c r="K103" s="12" t="str">
        <f t="shared" si="15"/>
      </c>
      <c r="L103" s="13" t="str">
        <f>IF(H103="","",IFERROR(INDEX('Tipos BdE'!$B$7:$M$336,MATCH(DATE(YEAR(K103),MONTH(K103),1),'Tipos BdE'!$A$7:$A$336,1),MATCH($D$9,'Tipos BdE'!$B$6:$M$6,0)),0))</f>
      </c>
      <c r="M103" s="13" t="str">
        <f t="shared" si="11"/>
      </c>
      <c r="N103" s="13" t="str">
        <f t="shared" si="12"/>
      </c>
      <c r="O103" s="14" t="str">
        <f t="shared" si="13"/>
      </c>
      <c r="P103" s="14" t="str">
        <f>IF(H103="","",$D$5+SUM($O$5:O103))</f>
      </c>
    </row>
    <row r="104" spans="7:16" x14ac:dyDescent="0.35">
      <c r="G104" s="11" t="str">
        <f t="shared" si="8"/>
      </c>
      <c r="H104" s="12" t="str">
        <f t="shared" si="14"/>
      </c>
      <c r="I104" s="12" t="str">
        <f t="shared" si="9"/>
      </c>
      <c r="J104" s="11" t="str">
        <f t="shared" si="10"/>
      </c>
      <c r="K104" s="12" t="str">
        <f t="shared" si="15"/>
      </c>
      <c r="L104" s="13" t="str">
        <f>IF(H104="","",IFERROR(INDEX('Tipos BdE'!$B$7:$M$336,MATCH(DATE(YEAR(K104),MONTH(K104),1),'Tipos BdE'!$A$7:$A$336,1),MATCH($D$9,'Tipos BdE'!$B$6:$M$6,0)),0))</f>
      </c>
      <c r="M104" s="13" t="str">
        <f t="shared" si="11"/>
      </c>
      <c r="N104" s="13" t="str">
        <f t="shared" si="12"/>
      </c>
      <c r="O104" s="14" t="str">
        <f t="shared" si="13"/>
      </c>
      <c r="P104" s="14" t="str">
        <f>IF(H104="","",$D$5+SUM($O$5:O104))</f>
      </c>
    </row>
    <row r="105" spans="7:16" x14ac:dyDescent="0.35">
      <c r="G105" s="11" t="str">
        <f t="shared" si="8"/>
      </c>
      <c r="H105" s="12" t="str">
        <f t="shared" si="14"/>
      </c>
      <c r="I105" s="12" t="str">
        <f t="shared" si="9"/>
      </c>
      <c r="J105" s="11" t="str">
        <f t="shared" si="10"/>
      </c>
      <c r="K105" s="12" t="str">
        <f t="shared" si="15"/>
      </c>
      <c r="L105" s="13" t="str">
        <f>IF(H105="","",IFERROR(INDEX('Tipos BdE'!$B$7:$M$336,MATCH(DATE(YEAR(K105),MONTH(K105),1),'Tipos BdE'!$A$7:$A$336,1),MATCH($D$9,'Tipos BdE'!$B$6:$M$6,0)),0))</f>
      </c>
      <c r="M105" s="13" t="str">
        <f t="shared" si="11"/>
      </c>
      <c r="N105" s="13" t="str">
        <f t="shared" si="12"/>
      </c>
      <c r="O105" s="14" t="str">
        <f t="shared" si="13"/>
      </c>
      <c r="P105" s="14" t="str">
        <f>IF(H105="","",$D$5+SUM($O$5:O105))</f>
      </c>
    </row>
    <row r="106" spans="7:16" x14ac:dyDescent="0.35">
      <c r="G106" s="11" t="str">
        <f t="shared" si="8"/>
      </c>
      <c r="H106" s="12" t="str">
        <f t="shared" si="14"/>
      </c>
      <c r="I106" s="12" t="str">
        <f t="shared" si="9"/>
      </c>
      <c r="J106" s="11" t="str">
        <f t="shared" si="10"/>
      </c>
      <c r="K106" s="12" t="str">
        <f t="shared" si="15"/>
      </c>
      <c r="L106" s="13" t="str">
        <f>IF(H106="","",IFERROR(INDEX('Tipos BdE'!$B$7:$M$336,MATCH(DATE(YEAR(K106),MONTH(K106),1),'Tipos BdE'!$A$7:$A$336,1),MATCH($D$9,'Tipos BdE'!$B$6:$M$6,0)),0))</f>
      </c>
      <c r="M106" s="13" t="str">
        <f t="shared" si="11"/>
      </c>
      <c r="N106" s="13" t="str">
        <f t="shared" si="12"/>
      </c>
      <c r="O106" s="14" t="str">
        <f t="shared" si="13"/>
      </c>
      <c r="P106" s="14" t="str">
        <f>IF(H106="","",$D$5+SUM($O$5:O106))</f>
      </c>
    </row>
    <row r="107" spans="7:16" x14ac:dyDescent="0.35">
      <c r="G107" s="11" t="str">
        <f t="shared" si="8"/>
      </c>
      <c r="H107" s="12" t="str">
        <f t="shared" si="14"/>
      </c>
      <c r="I107" s="12" t="str">
        <f t="shared" si="9"/>
      </c>
      <c r="J107" s="11" t="str">
        <f t="shared" si="10"/>
      </c>
      <c r="K107" s="12" t="str">
        <f t="shared" si="15"/>
      </c>
      <c r="L107" s="13" t="str">
        <f>IF(H107="","",IFERROR(INDEX('Tipos BdE'!$B$7:$M$336,MATCH(DATE(YEAR(K107),MONTH(K107),1),'Tipos BdE'!$A$7:$A$336,1),MATCH($D$9,'Tipos BdE'!$B$6:$M$6,0)),0))</f>
      </c>
      <c r="M107" s="13" t="str">
        <f t="shared" si="11"/>
      </c>
      <c r="N107" s="13" t="str">
        <f t="shared" si="12"/>
      </c>
      <c r="O107" s="14" t="str">
        <f t="shared" si="13"/>
      </c>
      <c r="P107" s="14" t="str">
        <f>IF(H107="","",$D$5+SUM($O$5:O107))</f>
      </c>
    </row>
    <row r="108" spans="7:16" x14ac:dyDescent="0.35">
      <c r="G108" s="11" t="str">
        <f t="shared" si="8"/>
      </c>
      <c r="H108" s="12" t="str">
        <f t="shared" si="14"/>
      </c>
      <c r="I108" s="12" t="str">
        <f t="shared" si="9"/>
      </c>
      <c r="J108" s="11" t="str">
        <f t="shared" si="10"/>
      </c>
      <c r="K108" s="12" t="str">
        <f t="shared" si="15"/>
      </c>
      <c r="L108" s="13" t="str">
        <f>IF(H108="","",IFERROR(INDEX('Tipos BdE'!$B$7:$M$336,MATCH(DATE(YEAR(K108),MONTH(K108),1),'Tipos BdE'!$A$7:$A$336,1),MATCH($D$9,'Tipos BdE'!$B$6:$M$6,0)),0))</f>
      </c>
      <c r="M108" s="13" t="str">
        <f t="shared" si="11"/>
      </c>
      <c r="N108" s="13" t="str">
        <f t="shared" si="12"/>
      </c>
      <c r="O108" s="14" t="str">
        <f t="shared" si="13"/>
      </c>
      <c r="P108" s="14" t="str">
        <f>IF(H108="","",$D$5+SUM($O$5:O108))</f>
      </c>
    </row>
    <row r="109" spans="7:16" x14ac:dyDescent="0.35">
      <c r="G109" s="11" t="str">
        <f t="shared" si="8"/>
      </c>
      <c r="H109" s="12" t="str">
        <f t="shared" si="14"/>
      </c>
      <c r="I109" s="12" t="str">
        <f t="shared" si="9"/>
      </c>
      <c r="J109" s="11" t="str">
        <f t="shared" si="10"/>
      </c>
      <c r="K109" s="12" t="str">
        <f t="shared" si="15"/>
      </c>
      <c r="L109" s="13" t="str">
        <f>IF(H109="","",IFERROR(INDEX('Tipos BdE'!$B$7:$M$336,MATCH(DATE(YEAR(K109),MONTH(K109),1),'Tipos BdE'!$A$7:$A$336,1),MATCH($D$9,'Tipos BdE'!$B$6:$M$6,0)),0))</f>
      </c>
      <c r="M109" s="13" t="str">
        <f t="shared" si="11"/>
      </c>
      <c r="N109" s="13" t="str">
        <f t="shared" si="12"/>
      </c>
      <c r="O109" s="14" t="str">
        <f t="shared" si="13"/>
      </c>
      <c r="P109" s="14" t="str">
        <f>IF(H109="","",$D$5+SUM($O$5:O109))</f>
      </c>
    </row>
    <row r="110" spans="7:16" x14ac:dyDescent="0.35">
      <c r="G110" s="11" t="str">
        <f t="shared" si="8"/>
      </c>
      <c r="H110" s="12" t="str">
        <f t="shared" si="14"/>
      </c>
      <c r="I110" s="12" t="str">
        <f t="shared" si="9"/>
      </c>
      <c r="J110" s="11" t="str">
        <f t="shared" si="10"/>
      </c>
      <c r="K110" s="12" t="str">
        <f t="shared" si="15"/>
      </c>
      <c r="L110" s="13" t="str">
        <f>IF(H110="","",IFERROR(INDEX('Tipos BdE'!$B$7:$M$336,MATCH(DATE(YEAR(K110),MONTH(K110),1),'Tipos BdE'!$A$7:$A$336,1),MATCH($D$9,'Tipos BdE'!$B$6:$M$6,0)),0))</f>
      </c>
      <c r="M110" s="13" t="str">
        <f t="shared" si="11"/>
      </c>
      <c r="N110" s="13" t="str">
        <f t="shared" si="12"/>
      </c>
      <c r="O110" s="14" t="str">
        <f t="shared" si="13"/>
      </c>
      <c r="P110" s="14" t="str">
        <f>IF(H110="","",$D$5+SUM($O$5:O110))</f>
      </c>
    </row>
    <row r="111" spans="7:16" x14ac:dyDescent="0.35">
      <c r="G111" s="11" t="str">
        <f t="shared" si="8"/>
      </c>
      <c r="H111" s="12" t="str">
        <f t="shared" si="14"/>
      </c>
      <c r="I111" s="12" t="str">
        <f t="shared" si="9"/>
      </c>
      <c r="J111" s="11" t="str">
        <f t="shared" si="10"/>
      </c>
      <c r="K111" s="12" t="str">
        <f t="shared" si="15"/>
      </c>
      <c r="L111" s="13" t="str">
        <f>IF(H111="","",IFERROR(INDEX('Tipos BdE'!$B$7:$M$336,MATCH(DATE(YEAR(K111),MONTH(K111),1),'Tipos BdE'!$A$7:$A$336,1),MATCH($D$9,'Tipos BdE'!$B$6:$M$6,0)),0))</f>
      </c>
      <c r="M111" s="13" t="str">
        <f t="shared" si="11"/>
      </c>
      <c r="N111" s="13" t="str">
        <f t="shared" si="12"/>
      </c>
      <c r="O111" s="14" t="str">
        <f t="shared" si="13"/>
      </c>
      <c r="P111" s="14" t="str">
        <f>IF(H111="","",$D$5+SUM($O$5:O111))</f>
      </c>
    </row>
    <row r="112" spans="7:16" x14ac:dyDescent="0.35">
      <c r="G112" s="11" t="str">
        <f t="shared" si="8"/>
      </c>
      <c r="H112" s="12" t="str">
        <f t="shared" si="14"/>
      </c>
      <c r="I112" s="12" t="str">
        <f t="shared" si="9"/>
      </c>
      <c r="J112" s="11" t="str">
        <f t="shared" si="10"/>
      </c>
      <c r="K112" s="12" t="str">
        <f t="shared" si="15"/>
      </c>
      <c r="L112" s="13" t="str">
        <f>IF(H112="","",IFERROR(INDEX('Tipos BdE'!$B$7:$M$336,MATCH(DATE(YEAR(K112),MONTH(K112),1),'Tipos BdE'!$A$7:$A$336,1),MATCH($D$9,'Tipos BdE'!$B$6:$M$6,0)),0))</f>
      </c>
      <c r="M112" s="13" t="str">
        <f t="shared" si="11"/>
      </c>
      <c r="N112" s="13" t="str">
        <f t="shared" si="12"/>
      </c>
      <c r="O112" s="14" t="str">
        <f t="shared" si="13"/>
      </c>
      <c r="P112" s="14" t="str">
        <f>IF(H112="","",$D$5+SUM($O$5:O112))</f>
      </c>
    </row>
    <row r="113" spans="7:16" x14ac:dyDescent="0.35">
      <c r="G113" s="11" t="str">
        <f t="shared" si="8"/>
      </c>
      <c r="H113" s="12" t="str">
        <f t="shared" si="14"/>
      </c>
      <c r="I113" s="12" t="str">
        <f t="shared" si="9"/>
      </c>
      <c r="J113" s="11" t="str">
        <f t="shared" si="10"/>
      </c>
      <c r="K113" s="12" t="str">
        <f t="shared" si="15"/>
      </c>
      <c r="L113" s="13" t="str">
        <f>IF(H113="","",IFERROR(INDEX('Tipos BdE'!$B$7:$M$336,MATCH(DATE(YEAR(K113),MONTH(K113),1),'Tipos BdE'!$A$7:$A$336,1),MATCH($D$9,'Tipos BdE'!$B$6:$M$6,0)),0))</f>
      </c>
      <c r="M113" s="13" t="str">
        <f t="shared" si="11"/>
      </c>
      <c r="N113" s="13" t="str">
        <f t="shared" si="12"/>
      </c>
      <c r="O113" s="14" t="str">
        <f t="shared" si="13"/>
      </c>
      <c r="P113" s="14" t="str">
        <f>IF(H113="","",$D$5+SUM($O$5:O113))</f>
      </c>
    </row>
    <row r="114" spans="7:16" x14ac:dyDescent="0.35">
      <c r="G114" s="11" t="str">
        <f t="shared" si="8"/>
      </c>
      <c r="H114" s="12" t="str">
        <f t="shared" si="14"/>
      </c>
      <c r="I114" s="12" t="str">
        <f t="shared" si="9"/>
      </c>
      <c r="J114" s="11" t="str">
        <f t="shared" si="10"/>
      </c>
      <c r="K114" s="12" t="str">
        <f t="shared" si="15"/>
      </c>
      <c r="L114" s="13" t="str">
        <f>IF(H114="","",IFERROR(INDEX('Tipos BdE'!$B$7:$M$336,MATCH(DATE(YEAR(K114),MONTH(K114),1),'Tipos BdE'!$A$7:$A$336,1),MATCH($D$9,'Tipos BdE'!$B$6:$M$6,0)),0))</f>
      </c>
      <c r="M114" s="13" t="str">
        <f t="shared" si="11"/>
      </c>
      <c r="N114" s="13" t="str">
        <f t="shared" si="12"/>
      </c>
      <c r="O114" s="14" t="str">
        <f t="shared" si="13"/>
      </c>
      <c r="P114" s="14" t="str">
        <f>IF(H114="","",$D$5+SUM($O$5:O114))</f>
      </c>
    </row>
    <row r="115" spans="7:16" x14ac:dyDescent="0.35">
      <c r="G115" s="11" t="str">
        <f t="shared" si="8"/>
      </c>
      <c r="H115" s="12" t="str">
        <f t="shared" si="14"/>
      </c>
      <c r="I115" s="12" t="str">
        <f t="shared" si="9"/>
      </c>
      <c r="J115" s="11" t="str">
        <f t="shared" si="10"/>
      </c>
      <c r="K115" s="12" t="str">
        <f t="shared" si="15"/>
      </c>
      <c r="L115" s="13" t="str">
        <f>IF(H115="","",IFERROR(INDEX('Tipos BdE'!$B$7:$M$336,MATCH(DATE(YEAR(K115),MONTH(K115),1),'Tipos BdE'!$A$7:$A$336,1),MATCH($D$9,'Tipos BdE'!$B$6:$M$6,0)),0))</f>
      </c>
      <c r="M115" s="13" t="str">
        <f t="shared" si="11"/>
      </c>
      <c r="N115" s="13" t="str">
        <f t="shared" si="12"/>
      </c>
      <c r="O115" s="14" t="str">
        <f t="shared" si="13"/>
      </c>
      <c r="P115" s="14" t="str">
        <f>IF(H115="","",$D$5+SUM($O$5:O115))</f>
      </c>
    </row>
    <row r="116" spans="7:16" x14ac:dyDescent="0.35">
      <c r="G116" s="11" t="str">
        <f t="shared" si="8"/>
      </c>
      <c r="H116" s="12" t="str">
        <f t="shared" si="14"/>
      </c>
      <c r="I116" s="12" t="str">
        <f t="shared" si="9"/>
      </c>
      <c r="J116" s="11" t="str">
        <f t="shared" si="10"/>
      </c>
      <c r="K116" s="12" t="str">
        <f t="shared" si="15"/>
      </c>
      <c r="L116" s="13" t="str">
        <f>IF(H116="","",IFERROR(INDEX('Tipos BdE'!$B$7:$M$336,MATCH(DATE(YEAR(K116),MONTH(K116),1),'Tipos BdE'!$A$7:$A$336,1),MATCH($D$9,'Tipos BdE'!$B$6:$M$6,0)),0))</f>
      </c>
      <c r="M116" s="13" t="str">
        <f t="shared" si="11"/>
      </c>
      <c r="N116" s="13" t="str">
        <f t="shared" si="12"/>
      </c>
      <c r="O116" s="14" t="str">
        <f t="shared" si="13"/>
      </c>
      <c r="P116" s="14" t="str">
        <f>IF(H116="","",$D$5+SUM($O$5:O116))</f>
      </c>
    </row>
    <row r="117" spans="7:16" x14ac:dyDescent="0.35">
      <c r="G117" s="11" t="str">
        <f t="shared" si="8"/>
      </c>
      <c r="H117" s="12" t="str">
        <f t="shared" si="14"/>
      </c>
      <c r="I117" s="12" t="str">
        <f t="shared" si="9"/>
      </c>
      <c r="J117" s="11" t="str">
        <f t="shared" si="10"/>
      </c>
      <c r="K117" s="12" t="str">
        <f t="shared" si="15"/>
      </c>
      <c r="L117" s="13" t="str">
        <f>IF(H117="","",IFERROR(INDEX('Tipos BdE'!$B$7:$M$336,MATCH(DATE(YEAR(K117),MONTH(K117),1),'Tipos BdE'!$A$7:$A$336,1),MATCH($D$9,'Tipos BdE'!$B$6:$M$6,0)),0))</f>
      </c>
      <c r="M117" s="13" t="str">
        <f t="shared" si="11"/>
      </c>
      <c r="N117" s="13" t="str">
        <f t="shared" si="12"/>
      </c>
      <c r="O117" s="14" t="str">
        <f t="shared" si="13"/>
      </c>
      <c r="P117" s="14" t="str">
        <f>IF(H117="","",$D$5+SUM($O$5:O117))</f>
      </c>
    </row>
    <row r="118" spans="7:16" x14ac:dyDescent="0.35">
      <c r="G118" s="11" t="str">
        <f t="shared" si="8"/>
      </c>
      <c r="H118" s="12" t="str">
        <f t="shared" si="14"/>
      </c>
      <c r="I118" s="12" t="str">
        <f t="shared" si="9"/>
      </c>
      <c r="J118" s="11" t="str">
        <f t="shared" si="10"/>
      </c>
      <c r="K118" s="12" t="str">
        <f t="shared" si="15"/>
      </c>
      <c r="L118" s="13" t="str">
        <f>IF(H118="","",IFERROR(INDEX('Tipos BdE'!$B$7:$M$336,MATCH(DATE(YEAR(K118),MONTH(K118),1),'Tipos BdE'!$A$7:$A$336,1),MATCH($D$9,'Tipos BdE'!$B$6:$M$6,0)),0))</f>
      </c>
      <c r="M118" s="13" t="str">
        <f t="shared" si="11"/>
      </c>
      <c r="N118" s="13" t="str">
        <f t="shared" si="12"/>
      </c>
      <c r="O118" s="14" t="str">
        <f t="shared" si="13"/>
      </c>
      <c r="P118" s="14" t="str">
        <f>IF(H118="","",$D$5+SUM($O$5:O118))</f>
      </c>
    </row>
    <row r="119" spans="7:16" x14ac:dyDescent="0.35">
      <c r="G119" s="11" t="str">
        <f t="shared" si="8"/>
      </c>
      <c r="H119" s="12" t="str">
        <f t="shared" si="14"/>
      </c>
      <c r="I119" s="12" t="str">
        <f t="shared" si="9"/>
      </c>
      <c r="J119" s="11" t="str">
        <f t="shared" si="10"/>
      </c>
      <c r="K119" s="12" t="str">
        <f t="shared" si="15"/>
      </c>
      <c r="L119" s="13" t="str">
        <f>IF(H119="","",IFERROR(INDEX('Tipos BdE'!$B$7:$M$336,MATCH(DATE(YEAR(K119),MONTH(K119),1),'Tipos BdE'!$A$7:$A$336,1),MATCH($D$9,'Tipos BdE'!$B$6:$M$6,0)),0))</f>
      </c>
      <c r="M119" s="13" t="str">
        <f t="shared" si="11"/>
      </c>
      <c r="N119" s="13" t="str">
        <f t="shared" si="12"/>
      </c>
      <c r="O119" s="14" t="str">
        <f t="shared" si="13"/>
      </c>
      <c r="P119" s="14" t="str">
        <f>IF(H119="","",$D$5+SUM($O$5:O119))</f>
      </c>
    </row>
    <row r="120" spans="7:16" x14ac:dyDescent="0.35">
      <c r="G120" s="11" t="str">
        <f t="shared" si="8"/>
      </c>
      <c r="H120" s="12" t="str">
        <f t="shared" si="14"/>
      </c>
      <c r="I120" s="12" t="str">
        <f t="shared" si="9"/>
      </c>
      <c r="J120" s="11" t="str">
        <f t="shared" si="10"/>
      </c>
      <c r="K120" s="12" t="str">
        <f t="shared" si="15"/>
      </c>
      <c r="L120" s="13" t="str">
        <f>IF(H120="","",IFERROR(INDEX('Tipos BdE'!$B$7:$M$336,MATCH(DATE(YEAR(K120),MONTH(K120),1),'Tipos BdE'!$A$7:$A$336,1),MATCH($D$9,'Tipos BdE'!$B$6:$M$6,0)),0))</f>
      </c>
      <c r="M120" s="13" t="str">
        <f t="shared" si="11"/>
      </c>
      <c r="N120" s="13" t="str">
        <f t="shared" si="12"/>
      </c>
      <c r="O120" s="14" t="str">
        <f t="shared" si="13"/>
      </c>
      <c r="P120" s="14" t="str">
        <f>IF(H120="","",$D$5+SUM($O$5:O120))</f>
      </c>
    </row>
    <row r="121" spans="7:16" x14ac:dyDescent="0.35">
      <c r="G121" s="11" t="str">
        <f t="shared" si="8"/>
      </c>
      <c r="H121" s="12" t="str">
        <f t="shared" si="14"/>
      </c>
      <c r="I121" s="12" t="str">
        <f t="shared" si="9"/>
      </c>
      <c r="J121" s="11" t="str">
        <f t="shared" si="10"/>
      </c>
      <c r="K121" s="12" t="str">
        <f t="shared" si="15"/>
      </c>
      <c r="L121" s="13" t="str">
        <f>IF(H121="","",IFERROR(INDEX('Tipos BdE'!$B$7:$M$336,MATCH(DATE(YEAR(K121),MONTH(K121),1),'Tipos BdE'!$A$7:$A$336,1),MATCH($D$9,'Tipos BdE'!$B$6:$M$6,0)),0))</f>
      </c>
      <c r="M121" s="13" t="str">
        <f t="shared" si="11"/>
      </c>
      <c r="N121" s="13" t="str">
        <f t="shared" si="12"/>
      </c>
      <c r="O121" s="14" t="str">
        <f t="shared" si="13"/>
      </c>
      <c r="P121" s="14" t="str">
        <f>IF(H121="","",$D$5+SUM($O$5:O121))</f>
      </c>
    </row>
    <row r="122" spans="7:16" x14ac:dyDescent="0.35">
      <c r="G122" s="11" t="str">
        <f t="shared" si="8"/>
      </c>
      <c r="H122" s="12" t="str">
        <f t="shared" si="14"/>
      </c>
      <c r="I122" s="12" t="str">
        <f t="shared" si="9"/>
      </c>
      <c r="J122" s="11" t="str">
        <f t="shared" si="10"/>
      </c>
      <c r="K122" s="12" t="str">
        <f t="shared" si="15"/>
      </c>
      <c r="L122" s="13" t="str">
        <f>IF(H122="","",IFERROR(INDEX('Tipos BdE'!$B$7:$M$336,MATCH(DATE(YEAR(K122),MONTH(K122),1),'Tipos BdE'!$A$7:$A$336,1),MATCH($D$9,'Tipos BdE'!$B$6:$M$6,0)),0))</f>
      </c>
      <c r="M122" s="13" t="str">
        <f t="shared" si="11"/>
      </c>
      <c r="N122" s="13" t="str">
        <f t="shared" si="12"/>
      </c>
      <c r="O122" s="14" t="str">
        <f t="shared" si="13"/>
      </c>
      <c r="P122" s="14" t="str">
        <f>IF(H122="","",$D$5+SUM($O$5:O122))</f>
      </c>
    </row>
    <row r="123" spans="7:16" x14ac:dyDescent="0.35">
      <c r="G123" s="11" t="str">
        <f t="shared" si="8"/>
      </c>
      <c r="H123" s="12" t="str">
        <f t="shared" si="14"/>
      </c>
      <c r="I123" s="12" t="str">
        <f t="shared" si="9"/>
      </c>
      <c r="J123" s="11" t="str">
        <f t="shared" si="10"/>
      </c>
      <c r="K123" s="12" t="str">
        <f t="shared" si="15"/>
      </c>
      <c r="L123" s="13" t="str">
        <f>IF(H123="","",IFERROR(INDEX('Tipos BdE'!$B$7:$M$336,MATCH(DATE(YEAR(K123),MONTH(K123),1),'Tipos BdE'!$A$7:$A$336,1),MATCH($D$9,'Tipos BdE'!$B$6:$M$6,0)),0))</f>
      </c>
      <c r="M123" s="13" t="str">
        <f t="shared" si="11"/>
      </c>
      <c r="N123" s="13" t="str">
        <f t="shared" si="12"/>
      </c>
      <c r="O123" s="14" t="str">
        <f t="shared" si="13"/>
      </c>
      <c r="P123" s="14" t="str">
        <f>IF(H123="","",$D$5+SUM($O$5:O123))</f>
      </c>
    </row>
    <row r="124" spans="7:16" x14ac:dyDescent="0.35">
      <c r="G124" s="11" t="str">
        <f t="shared" si="8"/>
      </c>
      <c r="H124" s="12" t="str">
        <f t="shared" si="14"/>
      </c>
      <c r="I124" s="12" t="str">
        <f t="shared" si="9"/>
      </c>
      <c r="J124" s="11" t="str">
        <f t="shared" si="10"/>
      </c>
      <c r="K124" s="12" t="str">
        <f t="shared" si="15"/>
      </c>
      <c r="L124" s="13" t="str">
        <f>IF(H124="","",IFERROR(INDEX('Tipos BdE'!$B$7:$M$336,MATCH(DATE(YEAR(K124),MONTH(K124),1),'Tipos BdE'!$A$7:$A$336,1),MATCH($D$9,'Tipos BdE'!$B$6:$M$6,0)),0))</f>
      </c>
      <c r="M124" s="13" t="str">
        <f t="shared" si="11"/>
      </c>
      <c r="N124" s="13" t="str">
        <f t="shared" si="12"/>
      </c>
      <c r="O124" s="14" t="str">
        <f t="shared" si="13"/>
      </c>
      <c r="P124" s="14" t="str">
        <f>IF(H124="","",$D$5+SUM($O$5:O124))</f>
      </c>
    </row>
    <row r="125" spans="7:16" x14ac:dyDescent="0.35">
      <c r="G125" s="11" t="str">
        <f t="shared" si="8"/>
      </c>
      <c r="H125" s="12" t="str">
        <f t="shared" si="14"/>
      </c>
      <c r="I125" s="12" t="str">
        <f t="shared" si="9"/>
      </c>
      <c r="J125" s="11" t="str">
        <f t="shared" si="10"/>
      </c>
      <c r="K125" s="12" t="str">
        <f t="shared" si="15"/>
      </c>
      <c r="L125" s="13" t="str">
        <f>IF(H125="","",IFERROR(INDEX('Tipos BdE'!$B$7:$M$336,MATCH(DATE(YEAR(K125),MONTH(K125),1),'Tipos BdE'!$A$7:$A$336,1),MATCH($D$9,'Tipos BdE'!$B$6:$M$6,0)),0))</f>
      </c>
      <c r="M125" s="13" t="str">
        <f t="shared" si="11"/>
      </c>
      <c r="N125" s="13" t="str">
        <f t="shared" si="12"/>
      </c>
      <c r="O125" s="14" t="str">
        <f t="shared" si="13"/>
      </c>
      <c r="P125" s="14" t="str">
        <f>IF(H125="","",$D$5+SUM($O$5:O125))</f>
      </c>
    </row>
    <row r="126" spans="7:16" x14ac:dyDescent="0.35">
      <c r="G126" s="11" t="str">
        <f t="shared" si="8"/>
      </c>
      <c r="H126" s="12" t="str">
        <f t="shared" si="14"/>
      </c>
      <c r="I126" s="12" t="str">
        <f t="shared" si="9"/>
      </c>
      <c r="J126" s="11" t="str">
        <f t="shared" si="10"/>
      </c>
      <c r="K126" s="12" t="str">
        <f t="shared" si="15"/>
      </c>
      <c r="L126" s="13" t="str">
        <f>IF(H126="","",IFERROR(INDEX('Tipos BdE'!$B$7:$M$336,MATCH(DATE(YEAR(K126),MONTH(K126),1),'Tipos BdE'!$A$7:$A$336,1),MATCH($D$9,'Tipos BdE'!$B$6:$M$6,0)),0))</f>
      </c>
      <c r="M126" s="13" t="str">
        <f t="shared" si="11"/>
      </c>
      <c r="N126" s="13" t="str">
        <f t="shared" si="12"/>
      </c>
      <c r="O126" s="14" t="str">
        <f t="shared" si="13"/>
      </c>
      <c r="P126" s="14" t="str">
        <f>IF(H126="","",$D$5+SUM($O$5:O126))</f>
      </c>
    </row>
    <row r="127" spans="7:16" x14ac:dyDescent="0.35">
      <c r="G127" s="11" t="str">
        <f t="shared" si="8"/>
      </c>
      <c r="H127" s="12" t="str">
        <f t="shared" si="14"/>
      </c>
      <c r="I127" s="12" t="str">
        <f t="shared" si="9"/>
      </c>
      <c r="J127" s="11" t="str">
        <f t="shared" si="10"/>
      </c>
      <c r="K127" s="12" t="str">
        <f t="shared" si="15"/>
      </c>
      <c r="L127" s="13" t="str">
        <f>IF(H127="","",IFERROR(INDEX('Tipos BdE'!$B$7:$M$336,MATCH(DATE(YEAR(K127),MONTH(K127),1),'Tipos BdE'!$A$7:$A$336,1),MATCH($D$9,'Tipos BdE'!$B$6:$M$6,0)),0))</f>
      </c>
      <c r="M127" s="13" t="str">
        <f t="shared" si="11"/>
      </c>
      <c r="N127" s="13" t="str">
        <f t="shared" si="12"/>
      </c>
      <c r="O127" s="14" t="str">
        <f t="shared" si="13"/>
      </c>
      <c r="P127" s="14" t="str">
        <f>IF(H127="","",$D$5+SUM($O$5:O127))</f>
      </c>
    </row>
    <row r="128" spans="7:16" x14ac:dyDescent="0.35">
      <c r="G128" s="11" t="str">
        <f t="shared" si="8"/>
      </c>
      <c r="H128" s="12" t="str">
        <f t="shared" si="14"/>
      </c>
      <c r="I128" s="12" t="str">
        <f t="shared" si="9"/>
      </c>
      <c r="J128" s="11" t="str">
        <f t="shared" si="10"/>
      </c>
      <c r="K128" s="12" t="str">
        <f t="shared" si="15"/>
      </c>
      <c r="L128" s="13" t="str">
        <f>IF(H128="","",IFERROR(INDEX('Tipos BdE'!$B$7:$M$336,MATCH(DATE(YEAR(K128),MONTH(K128),1),'Tipos BdE'!$A$7:$A$336,1),MATCH($D$9,'Tipos BdE'!$B$6:$M$6,0)),0))</f>
      </c>
      <c r="M128" s="13" t="str">
        <f t="shared" si="11"/>
      </c>
      <c r="N128" s="13" t="str">
        <f t="shared" si="12"/>
      </c>
      <c r="O128" s="14" t="str">
        <f t="shared" si="13"/>
      </c>
      <c r="P128" s="14" t="str">
        <f>IF(H128="","",$D$5+SUM($O$5:O128))</f>
      </c>
    </row>
    <row r="129" spans="7:16" x14ac:dyDescent="0.35">
      <c r="G129" s="11" t="str">
        <f t="shared" si="8"/>
      </c>
      <c r="H129" s="12" t="str">
        <f t="shared" si="14"/>
      </c>
      <c r="I129" s="12" t="str">
        <f t="shared" si="9"/>
      </c>
      <c r="J129" s="11" t="str">
        <f t="shared" si="10"/>
      </c>
      <c r="K129" s="12" t="str">
        <f t="shared" si="15"/>
      </c>
      <c r="L129" s="13" t="str">
        <f>IF(H129="","",IFERROR(INDEX('Tipos BdE'!$B$7:$M$336,MATCH(DATE(YEAR(K129),MONTH(K129),1),'Tipos BdE'!$A$7:$A$336,1),MATCH($D$9,'Tipos BdE'!$B$6:$M$6,0)),0))</f>
      </c>
      <c r="M129" s="13" t="str">
        <f t="shared" si="11"/>
      </c>
      <c r="N129" s="13" t="str">
        <f t="shared" si="12"/>
      </c>
      <c r="O129" s="14" t="str">
        <f t="shared" si="13"/>
      </c>
      <c r="P129" s="14" t="str">
        <f>IF(H129="","",$D$5+SUM($O$5:O129))</f>
      </c>
    </row>
    <row r="130" spans="7:16" x14ac:dyDescent="0.35">
      <c r="G130" s="11" t="str">
        <f t="shared" si="8"/>
      </c>
      <c r="H130" s="12" t="str">
        <f t="shared" si="14"/>
      </c>
      <c r="I130" s="12" t="str">
        <f t="shared" si="9"/>
      </c>
      <c r="J130" s="11" t="str">
        <f t="shared" si="10"/>
      </c>
      <c r="K130" s="12" t="str">
        <f t="shared" si="15"/>
      </c>
      <c r="L130" s="13" t="str">
        <f>IF(H130="","",IFERROR(INDEX('Tipos BdE'!$B$7:$M$336,MATCH(DATE(YEAR(K130),MONTH(K130),1),'Tipos BdE'!$A$7:$A$336,1),MATCH($D$9,'Tipos BdE'!$B$6:$M$6,0)),0))</f>
      </c>
      <c r="M130" s="13" t="str">
        <f t="shared" si="11"/>
      </c>
      <c r="N130" s="13" t="str">
        <f t="shared" si="12"/>
      </c>
      <c r="O130" s="14" t="str">
        <f t="shared" si="13"/>
      </c>
      <c r="P130" s="14" t="str">
        <f>IF(H130="","",$D$5+SUM($O$5:O130))</f>
      </c>
    </row>
    <row r="131" spans="7:16" x14ac:dyDescent="0.35">
      <c r="G131" s="11" t="str">
        <f t="shared" si="8"/>
      </c>
      <c r="H131" s="12" t="str">
        <f t="shared" si="14"/>
      </c>
      <c r="I131" s="12" t="str">
        <f t="shared" si="9"/>
      </c>
      <c r="J131" s="11" t="str">
        <f t="shared" si="10"/>
      </c>
      <c r="K131" s="12" t="str">
        <f t="shared" si="15"/>
      </c>
      <c r="L131" s="13" t="str">
        <f>IF(H131="","",IFERROR(INDEX('Tipos BdE'!$B$7:$M$336,MATCH(DATE(YEAR(K131),MONTH(K131),1),'Tipos BdE'!$A$7:$A$336,1),MATCH($D$9,'Tipos BdE'!$B$6:$M$6,0)),0))</f>
      </c>
      <c r="M131" s="13" t="str">
        <f t="shared" si="11"/>
      </c>
      <c r="N131" s="13" t="str">
        <f t="shared" si="12"/>
      </c>
      <c r="O131" s="14" t="str">
        <f t="shared" si="13"/>
      </c>
      <c r="P131" s="14" t="str">
        <f>IF(H131="","",$D$5+SUM($O$5:O131))</f>
      </c>
    </row>
    <row r="132" spans="7:16" x14ac:dyDescent="0.35">
      <c r="G132" s="11" t="str">
        <f t="shared" si="8"/>
      </c>
      <c r="H132" s="12" t="str">
        <f t="shared" si="14"/>
      </c>
      <c r="I132" s="12" t="str">
        <f t="shared" si="9"/>
      </c>
      <c r="J132" s="11" t="str">
        <f t="shared" si="10"/>
      </c>
      <c r="K132" s="12" t="str">
        <f t="shared" si="15"/>
      </c>
      <c r="L132" s="13" t="str">
        <f>IF(H132="","",IFERROR(INDEX('Tipos BdE'!$B$7:$M$336,MATCH(DATE(YEAR(K132),MONTH(K132),1),'Tipos BdE'!$A$7:$A$336,1),MATCH($D$9,'Tipos BdE'!$B$6:$M$6,0)),0))</f>
      </c>
      <c r="M132" s="13" t="str">
        <f t="shared" si="11"/>
      </c>
      <c r="N132" s="13" t="str">
        <f t="shared" si="12"/>
      </c>
      <c r="O132" s="14" t="str">
        <f t="shared" si="13"/>
      </c>
      <c r="P132" s="14" t="str">
        <f>IF(H132="","",$D$5+SUM($O$5:O132))</f>
      </c>
    </row>
    <row r="133" spans="7:16" x14ac:dyDescent="0.35">
      <c r="G133" s="11" t="str">
        <f t="shared" ref="G133:G196" si="16">IF(H133="","",ROW()-4)</f>
      </c>
      <c r="H133" s="12" t="str">
        <f t="shared" si="14"/>
      </c>
      <c r="I133" s="12" t="str">
        <f t="shared" ref="I133:I196" si="17">IF(H133="","",MIN(IF($D$18="LEGAL",DATE(YEAR(H133)+1,1,1),EDATE($D$12,$D$11*(INT((((YEAR(H133)-YEAR($D$12))*12+(MONTH(H133)-MONTH($D$12))-IF(DAY(H133)&lt;DAY($D$12),1,0))/$D$11))+1))),$D$7))</f>
      </c>
      <c r="J133" s="11" t="str">
        <f t="shared" ref="J133:J196" si="18">IF(H133="","",I133-H133)</f>
      </c>
      <c r="K133" s="12" t="str">
        <f t="shared" si="15"/>
      </c>
      <c r="L133" s="13" t="str">
        <f>IF(H133="","",IFERROR(INDEX('Tipos BdE'!$B$7:$M$336,MATCH(DATE(YEAR(K133),MONTH(K133),1),'Tipos BdE'!$A$7:$A$336,1),MATCH($D$9,'Tipos BdE'!$B$6:$M$6,0)),0))</f>
      </c>
      <c r="M133" s="13" t="str">
        <f t="shared" ref="M133:M196" si="19">IF(H133="","",IF($D$18="LEGAL",0,$D$10))</f>
      </c>
      <c r="N133" s="13" t="str">
        <f t="shared" ref="N133:N196" si="20">IF(H133="","",IF(AND($D$14="Sí",(L133+M133)&lt;0),0,L133+M133))</f>
      </c>
      <c r="O133" s="14" t="str">
        <f t="shared" ref="O133:O196" si="21">IF(H133="","",$D$5*N133*J133/36500)</f>
      </c>
      <c r="P133" s="14" t="str">
        <f>IF(H133="","",$D$5+SUM($O$5:O133))</f>
      </c>
    </row>
    <row r="134" spans="7:16" x14ac:dyDescent="0.35">
      <c r="G134" s="11" t="str">
        <f t="shared" si="16"/>
      </c>
      <c r="H134" s="12" t="str">
        <f t="shared" ref="H134:H197" si="22">IF(OR(I133="",I133&gt;=$D$7),"",I133)</f>
      </c>
      <c r="I134" s="12" t="str">
        <f t="shared" si="17"/>
      </c>
      <c r="J134" s="11" t="str">
        <f t="shared" si="18"/>
      </c>
      <c r="K134" s="12" t="str">
        <f t="shared" ref="K134:K197" si="23">IF(H134="","",IF($D$18="LEGAL",H134,EDATE(H134,-$D$13)))</f>
      </c>
      <c r="L134" s="13" t="str">
        <f>IF(H134="","",IFERROR(INDEX('Tipos BdE'!$B$7:$M$336,MATCH(DATE(YEAR(K134),MONTH(K134),1),'Tipos BdE'!$A$7:$A$336,1),MATCH($D$9,'Tipos BdE'!$B$6:$M$6,0)),0))</f>
      </c>
      <c r="M134" s="13" t="str">
        <f t="shared" si="19"/>
      </c>
      <c r="N134" s="13" t="str">
        <f t="shared" si="20"/>
      </c>
      <c r="O134" s="14" t="str">
        <f t="shared" si="21"/>
      </c>
      <c r="P134" s="14" t="str">
        <f>IF(H134="","",$D$5+SUM($O$5:O134))</f>
      </c>
    </row>
    <row r="135" spans="7:16" x14ac:dyDescent="0.35">
      <c r="G135" s="11" t="str">
        <f t="shared" si="16"/>
      </c>
      <c r="H135" s="12" t="str">
        <f t="shared" si="22"/>
      </c>
      <c r="I135" s="12" t="str">
        <f t="shared" si="17"/>
      </c>
      <c r="J135" s="11" t="str">
        <f t="shared" si="18"/>
      </c>
      <c r="K135" s="12" t="str">
        <f t="shared" si="23"/>
      </c>
      <c r="L135" s="13" t="str">
        <f>IF(H135="","",IFERROR(INDEX('Tipos BdE'!$B$7:$M$336,MATCH(DATE(YEAR(K135),MONTH(K135),1),'Tipos BdE'!$A$7:$A$336,1),MATCH($D$9,'Tipos BdE'!$B$6:$M$6,0)),0))</f>
      </c>
      <c r="M135" s="13" t="str">
        <f t="shared" si="19"/>
      </c>
      <c r="N135" s="13" t="str">
        <f t="shared" si="20"/>
      </c>
      <c r="O135" s="14" t="str">
        <f t="shared" si="21"/>
      </c>
      <c r="P135" s="14" t="str">
        <f>IF(H135="","",$D$5+SUM($O$5:O135))</f>
      </c>
    </row>
    <row r="136" spans="7:16" x14ac:dyDescent="0.35">
      <c r="G136" s="11" t="str">
        <f t="shared" si="16"/>
      </c>
      <c r="H136" s="12" t="str">
        <f t="shared" si="22"/>
      </c>
      <c r="I136" s="12" t="str">
        <f t="shared" si="17"/>
      </c>
      <c r="J136" s="11" t="str">
        <f t="shared" si="18"/>
      </c>
      <c r="K136" s="12" t="str">
        <f t="shared" si="23"/>
      </c>
      <c r="L136" s="13" t="str">
        <f>IF(H136="","",IFERROR(INDEX('Tipos BdE'!$B$7:$M$336,MATCH(DATE(YEAR(K136),MONTH(K136),1),'Tipos BdE'!$A$7:$A$336,1),MATCH($D$9,'Tipos BdE'!$B$6:$M$6,0)),0))</f>
      </c>
      <c r="M136" s="13" t="str">
        <f t="shared" si="19"/>
      </c>
      <c r="N136" s="13" t="str">
        <f t="shared" si="20"/>
      </c>
      <c r="O136" s="14" t="str">
        <f t="shared" si="21"/>
      </c>
      <c r="P136" s="14" t="str">
        <f>IF(H136="","",$D$5+SUM($O$5:O136))</f>
      </c>
    </row>
    <row r="137" spans="7:16" x14ac:dyDescent="0.35">
      <c r="G137" s="11" t="str">
        <f t="shared" si="16"/>
      </c>
      <c r="H137" s="12" t="str">
        <f t="shared" si="22"/>
      </c>
      <c r="I137" s="12" t="str">
        <f t="shared" si="17"/>
      </c>
      <c r="J137" s="11" t="str">
        <f t="shared" si="18"/>
      </c>
      <c r="K137" s="12" t="str">
        <f t="shared" si="23"/>
      </c>
      <c r="L137" s="13" t="str">
        <f>IF(H137="","",IFERROR(INDEX('Tipos BdE'!$B$7:$M$336,MATCH(DATE(YEAR(K137),MONTH(K137),1),'Tipos BdE'!$A$7:$A$336,1),MATCH($D$9,'Tipos BdE'!$B$6:$M$6,0)),0))</f>
      </c>
      <c r="M137" s="13" t="str">
        <f t="shared" si="19"/>
      </c>
      <c r="N137" s="13" t="str">
        <f t="shared" si="20"/>
      </c>
      <c r="O137" s="14" t="str">
        <f t="shared" si="21"/>
      </c>
      <c r="P137" s="14" t="str">
        <f>IF(H137="","",$D$5+SUM($O$5:O137))</f>
      </c>
    </row>
    <row r="138" spans="7:16" x14ac:dyDescent="0.35">
      <c r="G138" s="11" t="str">
        <f t="shared" si="16"/>
      </c>
      <c r="H138" s="12" t="str">
        <f t="shared" si="22"/>
      </c>
      <c r="I138" s="12" t="str">
        <f t="shared" si="17"/>
      </c>
      <c r="J138" s="11" t="str">
        <f t="shared" si="18"/>
      </c>
      <c r="K138" s="12" t="str">
        <f t="shared" si="23"/>
      </c>
      <c r="L138" s="13" t="str">
        <f>IF(H138="","",IFERROR(INDEX('Tipos BdE'!$B$7:$M$336,MATCH(DATE(YEAR(K138),MONTH(K138),1),'Tipos BdE'!$A$7:$A$336,1),MATCH($D$9,'Tipos BdE'!$B$6:$M$6,0)),0))</f>
      </c>
      <c r="M138" s="13" t="str">
        <f t="shared" si="19"/>
      </c>
      <c r="N138" s="13" t="str">
        <f t="shared" si="20"/>
      </c>
      <c r="O138" s="14" t="str">
        <f t="shared" si="21"/>
      </c>
      <c r="P138" s="14" t="str">
        <f>IF(H138="","",$D$5+SUM($O$5:O138))</f>
      </c>
    </row>
    <row r="139" spans="7:16" x14ac:dyDescent="0.35">
      <c r="G139" s="11" t="str">
        <f t="shared" si="16"/>
      </c>
      <c r="H139" s="12" t="str">
        <f t="shared" si="22"/>
      </c>
      <c r="I139" s="12" t="str">
        <f t="shared" si="17"/>
      </c>
      <c r="J139" s="11" t="str">
        <f t="shared" si="18"/>
      </c>
      <c r="K139" s="12" t="str">
        <f t="shared" si="23"/>
      </c>
      <c r="L139" s="13" t="str">
        <f>IF(H139="","",IFERROR(INDEX('Tipos BdE'!$B$7:$M$336,MATCH(DATE(YEAR(K139),MONTH(K139),1),'Tipos BdE'!$A$7:$A$336,1),MATCH($D$9,'Tipos BdE'!$B$6:$M$6,0)),0))</f>
      </c>
      <c r="M139" s="13" t="str">
        <f t="shared" si="19"/>
      </c>
      <c r="N139" s="13" t="str">
        <f t="shared" si="20"/>
      </c>
      <c r="O139" s="14" t="str">
        <f t="shared" si="21"/>
      </c>
      <c r="P139" s="14" t="str">
        <f>IF(H139="","",$D$5+SUM($O$5:O139))</f>
      </c>
    </row>
    <row r="140" spans="7:16" x14ac:dyDescent="0.35">
      <c r="G140" s="11" t="str">
        <f t="shared" si="16"/>
      </c>
      <c r="H140" s="12" t="str">
        <f t="shared" si="22"/>
      </c>
      <c r="I140" s="12" t="str">
        <f t="shared" si="17"/>
      </c>
      <c r="J140" s="11" t="str">
        <f t="shared" si="18"/>
      </c>
      <c r="K140" s="12" t="str">
        <f t="shared" si="23"/>
      </c>
      <c r="L140" s="13" t="str">
        <f>IF(H140="","",IFERROR(INDEX('Tipos BdE'!$B$7:$M$336,MATCH(DATE(YEAR(K140),MONTH(K140),1),'Tipos BdE'!$A$7:$A$336,1),MATCH($D$9,'Tipos BdE'!$B$6:$M$6,0)),0))</f>
      </c>
      <c r="M140" s="13" t="str">
        <f t="shared" si="19"/>
      </c>
      <c r="N140" s="13" t="str">
        <f t="shared" si="20"/>
      </c>
      <c r="O140" s="14" t="str">
        <f t="shared" si="21"/>
      </c>
      <c r="P140" s="14" t="str">
        <f>IF(H140="","",$D$5+SUM($O$5:O140))</f>
      </c>
    </row>
    <row r="141" spans="7:16" x14ac:dyDescent="0.35">
      <c r="G141" s="11" t="str">
        <f t="shared" si="16"/>
      </c>
      <c r="H141" s="12" t="str">
        <f t="shared" si="22"/>
      </c>
      <c r="I141" s="12" t="str">
        <f t="shared" si="17"/>
      </c>
      <c r="J141" s="11" t="str">
        <f t="shared" si="18"/>
      </c>
      <c r="K141" s="12" t="str">
        <f t="shared" si="23"/>
      </c>
      <c r="L141" s="13" t="str">
        <f>IF(H141="","",IFERROR(INDEX('Tipos BdE'!$B$7:$M$336,MATCH(DATE(YEAR(K141),MONTH(K141),1),'Tipos BdE'!$A$7:$A$336,1),MATCH($D$9,'Tipos BdE'!$B$6:$M$6,0)),0))</f>
      </c>
      <c r="M141" s="13" t="str">
        <f t="shared" si="19"/>
      </c>
      <c r="N141" s="13" t="str">
        <f t="shared" si="20"/>
      </c>
      <c r="O141" s="14" t="str">
        <f t="shared" si="21"/>
      </c>
      <c r="P141" s="14" t="str">
        <f>IF(H141="","",$D$5+SUM($O$5:O141))</f>
      </c>
    </row>
    <row r="142" spans="7:16" x14ac:dyDescent="0.35">
      <c r="G142" s="11" t="str">
        <f t="shared" si="16"/>
      </c>
      <c r="H142" s="12" t="str">
        <f t="shared" si="22"/>
      </c>
      <c r="I142" s="12" t="str">
        <f t="shared" si="17"/>
      </c>
      <c r="J142" s="11" t="str">
        <f t="shared" si="18"/>
      </c>
      <c r="K142" s="12" t="str">
        <f t="shared" si="23"/>
      </c>
      <c r="L142" s="13" t="str">
        <f>IF(H142="","",IFERROR(INDEX('Tipos BdE'!$B$7:$M$336,MATCH(DATE(YEAR(K142),MONTH(K142),1),'Tipos BdE'!$A$7:$A$336,1),MATCH($D$9,'Tipos BdE'!$B$6:$M$6,0)),0))</f>
      </c>
      <c r="M142" s="13" t="str">
        <f t="shared" si="19"/>
      </c>
      <c r="N142" s="13" t="str">
        <f t="shared" si="20"/>
      </c>
      <c r="O142" s="14" t="str">
        <f t="shared" si="21"/>
      </c>
      <c r="P142" s="14" t="str">
        <f>IF(H142="","",$D$5+SUM($O$5:O142))</f>
      </c>
    </row>
    <row r="143" spans="7:16" x14ac:dyDescent="0.35">
      <c r="G143" s="11" t="str">
        <f t="shared" si="16"/>
      </c>
      <c r="H143" s="12" t="str">
        <f t="shared" si="22"/>
      </c>
      <c r="I143" s="12" t="str">
        <f t="shared" si="17"/>
      </c>
      <c r="J143" s="11" t="str">
        <f t="shared" si="18"/>
      </c>
      <c r="K143" s="12" t="str">
        <f t="shared" si="23"/>
      </c>
      <c r="L143" s="13" t="str">
        <f>IF(H143="","",IFERROR(INDEX('Tipos BdE'!$B$7:$M$336,MATCH(DATE(YEAR(K143),MONTH(K143),1),'Tipos BdE'!$A$7:$A$336,1),MATCH($D$9,'Tipos BdE'!$B$6:$M$6,0)),0))</f>
      </c>
      <c r="M143" s="13" t="str">
        <f t="shared" si="19"/>
      </c>
      <c r="N143" s="13" t="str">
        <f t="shared" si="20"/>
      </c>
      <c r="O143" s="14" t="str">
        <f t="shared" si="21"/>
      </c>
      <c r="P143" s="14" t="str">
        <f>IF(H143="","",$D$5+SUM($O$5:O143))</f>
      </c>
    </row>
    <row r="144" spans="7:16" x14ac:dyDescent="0.35">
      <c r="G144" s="11" t="str">
        <f t="shared" si="16"/>
      </c>
      <c r="H144" s="12" t="str">
        <f t="shared" si="22"/>
      </c>
      <c r="I144" s="12" t="str">
        <f t="shared" si="17"/>
      </c>
      <c r="J144" s="11" t="str">
        <f t="shared" si="18"/>
      </c>
      <c r="K144" s="12" t="str">
        <f t="shared" si="23"/>
      </c>
      <c r="L144" s="13" t="str">
        <f>IF(H144="","",IFERROR(INDEX('Tipos BdE'!$B$7:$M$336,MATCH(DATE(YEAR(K144),MONTH(K144),1),'Tipos BdE'!$A$7:$A$336,1),MATCH($D$9,'Tipos BdE'!$B$6:$M$6,0)),0))</f>
      </c>
      <c r="M144" s="13" t="str">
        <f t="shared" si="19"/>
      </c>
      <c r="N144" s="13" t="str">
        <f t="shared" si="20"/>
      </c>
      <c r="O144" s="14" t="str">
        <f t="shared" si="21"/>
      </c>
      <c r="P144" s="14" t="str">
        <f>IF(H144="","",$D$5+SUM($O$5:O144))</f>
      </c>
    </row>
    <row r="145" spans="7:16" x14ac:dyDescent="0.35">
      <c r="G145" s="11" t="str">
        <f t="shared" si="16"/>
      </c>
      <c r="H145" s="12" t="str">
        <f t="shared" si="22"/>
      </c>
      <c r="I145" s="12" t="str">
        <f t="shared" si="17"/>
      </c>
      <c r="J145" s="11" t="str">
        <f t="shared" si="18"/>
      </c>
      <c r="K145" s="12" t="str">
        <f t="shared" si="23"/>
      </c>
      <c r="L145" s="13" t="str">
        <f>IF(H145="","",IFERROR(INDEX('Tipos BdE'!$B$7:$M$336,MATCH(DATE(YEAR(K145),MONTH(K145),1),'Tipos BdE'!$A$7:$A$336,1),MATCH($D$9,'Tipos BdE'!$B$6:$M$6,0)),0))</f>
      </c>
      <c r="M145" s="13" t="str">
        <f t="shared" si="19"/>
      </c>
      <c r="N145" s="13" t="str">
        <f t="shared" si="20"/>
      </c>
      <c r="O145" s="14" t="str">
        <f t="shared" si="21"/>
      </c>
      <c r="P145" s="14" t="str">
        <f>IF(H145="","",$D$5+SUM($O$5:O145))</f>
      </c>
    </row>
    <row r="146" spans="7:16" x14ac:dyDescent="0.35">
      <c r="G146" s="11" t="str">
        <f t="shared" si="16"/>
      </c>
      <c r="H146" s="12" t="str">
        <f t="shared" si="22"/>
      </c>
      <c r="I146" s="12" t="str">
        <f t="shared" si="17"/>
      </c>
      <c r="J146" s="11" t="str">
        <f t="shared" si="18"/>
      </c>
      <c r="K146" s="12" t="str">
        <f t="shared" si="23"/>
      </c>
      <c r="L146" s="13" t="str">
        <f>IF(H146="","",IFERROR(INDEX('Tipos BdE'!$B$7:$M$336,MATCH(DATE(YEAR(K146),MONTH(K146),1),'Tipos BdE'!$A$7:$A$336,1),MATCH($D$9,'Tipos BdE'!$B$6:$M$6,0)),0))</f>
      </c>
      <c r="M146" s="13" t="str">
        <f t="shared" si="19"/>
      </c>
      <c r="N146" s="13" t="str">
        <f t="shared" si="20"/>
      </c>
      <c r="O146" s="14" t="str">
        <f t="shared" si="21"/>
      </c>
      <c r="P146" s="14" t="str">
        <f>IF(H146="","",$D$5+SUM($O$5:O146))</f>
      </c>
    </row>
    <row r="147" spans="7:16" x14ac:dyDescent="0.35">
      <c r="G147" s="11" t="str">
        <f t="shared" si="16"/>
      </c>
      <c r="H147" s="12" t="str">
        <f t="shared" si="22"/>
      </c>
      <c r="I147" s="12" t="str">
        <f t="shared" si="17"/>
      </c>
      <c r="J147" s="11" t="str">
        <f t="shared" si="18"/>
      </c>
      <c r="K147" s="12" t="str">
        <f t="shared" si="23"/>
      </c>
      <c r="L147" s="13" t="str">
        <f>IF(H147="","",IFERROR(INDEX('Tipos BdE'!$B$7:$M$336,MATCH(DATE(YEAR(K147),MONTH(K147),1),'Tipos BdE'!$A$7:$A$336,1),MATCH($D$9,'Tipos BdE'!$B$6:$M$6,0)),0))</f>
      </c>
      <c r="M147" s="13" t="str">
        <f t="shared" si="19"/>
      </c>
      <c r="N147" s="13" t="str">
        <f t="shared" si="20"/>
      </c>
      <c r="O147" s="14" t="str">
        <f t="shared" si="21"/>
      </c>
      <c r="P147" s="14" t="str">
        <f>IF(H147="","",$D$5+SUM($O$5:O147))</f>
      </c>
    </row>
    <row r="148" spans="7:16" x14ac:dyDescent="0.35">
      <c r="G148" s="11" t="str">
        <f t="shared" si="16"/>
      </c>
      <c r="H148" s="12" t="str">
        <f t="shared" si="22"/>
      </c>
      <c r="I148" s="12" t="str">
        <f t="shared" si="17"/>
      </c>
      <c r="J148" s="11" t="str">
        <f t="shared" si="18"/>
      </c>
      <c r="K148" s="12" t="str">
        <f t="shared" si="23"/>
      </c>
      <c r="L148" s="13" t="str">
        <f>IF(H148="","",IFERROR(INDEX('Tipos BdE'!$B$7:$M$336,MATCH(DATE(YEAR(K148),MONTH(K148),1),'Tipos BdE'!$A$7:$A$336,1),MATCH($D$9,'Tipos BdE'!$B$6:$M$6,0)),0))</f>
      </c>
      <c r="M148" s="13" t="str">
        <f t="shared" si="19"/>
      </c>
      <c r="N148" s="13" t="str">
        <f t="shared" si="20"/>
      </c>
      <c r="O148" s="14" t="str">
        <f t="shared" si="21"/>
      </c>
      <c r="P148" s="14" t="str">
        <f>IF(H148="","",$D$5+SUM($O$5:O148))</f>
      </c>
    </row>
    <row r="149" spans="7:16" x14ac:dyDescent="0.35">
      <c r="G149" s="11" t="str">
        <f t="shared" si="16"/>
      </c>
      <c r="H149" s="12" t="str">
        <f t="shared" si="22"/>
      </c>
      <c r="I149" s="12" t="str">
        <f t="shared" si="17"/>
      </c>
      <c r="J149" s="11" t="str">
        <f t="shared" si="18"/>
      </c>
      <c r="K149" s="12" t="str">
        <f t="shared" si="23"/>
      </c>
      <c r="L149" s="13" t="str">
        <f>IF(H149="","",IFERROR(INDEX('Tipos BdE'!$B$7:$M$336,MATCH(DATE(YEAR(K149),MONTH(K149),1),'Tipos BdE'!$A$7:$A$336,1),MATCH($D$9,'Tipos BdE'!$B$6:$M$6,0)),0))</f>
      </c>
      <c r="M149" s="13" t="str">
        <f t="shared" si="19"/>
      </c>
      <c r="N149" s="13" t="str">
        <f t="shared" si="20"/>
      </c>
      <c r="O149" s="14" t="str">
        <f t="shared" si="21"/>
      </c>
      <c r="P149" s="14" t="str">
        <f>IF(H149="","",$D$5+SUM($O$5:O149))</f>
      </c>
    </row>
    <row r="150" spans="7:16" x14ac:dyDescent="0.35">
      <c r="G150" s="11" t="str">
        <f t="shared" si="16"/>
      </c>
      <c r="H150" s="12" t="str">
        <f t="shared" si="22"/>
      </c>
      <c r="I150" s="12" t="str">
        <f t="shared" si="17"/>
      </c>
      <c r="J150" s="11" t="str">
        <f t="shared" si="18"/>
      </c>
      <c r="K150" s="12" t="str">
        <f t="shared" si="23"/>
      </c>
      <c r="L150" s="13" t="str">
        <f>IF(H150="","",IFERROR(INDEX('Tipos BdE'!$B$7:$M$336,MATCH(DATE(YEAR(K150),MONTH(K150),1),'Tipos BdE'!$A$7:$A$336,1),MATCH($D$9,'Tipos BdE'!$B$6:$M$6,0)),0))</f>
      </c>
      <c r="M150" s="13" t="str">
        <f t="shared" si="19"/>
      </c>
      <c r="N150" s="13" t="str">
        <f t="shared" si="20"/>
      </c>
      <c r="O150" s="14" t="str">
        <f t="shared" si="21"/>
      </c>
      <c r="P150" s="14" t="str">
        <f>IF(H150="","",$D$5+SUM($O$5:O150))</f>
      </c>
    </row>
    <row r="151" spans="7:16" x14ac:dyDescent="0.35">
      <c r="G151" s="11" t="str">
        <f t="shared" si="16"/>
      </c>
      <c r="H151" s="12" t="str">
        <f t="shared" si="22"/>
      </c>
      <c r="I151" s="12" t="str">
        <f t="shared" si="17"/>
      </c>
      <c r="J151" s="11" t="str">
        <f t="shared" si="18"/>
      </c>
      <c r="K151" s="12" t="str">
        <f t="shared" si="23"/>
      </c>
      <c r="L151" s="13" t="str">
        <f>IF(H151="","",IFERROR(INDEX('Tipos BdE'!$B$7:$M$336,MATCH(DATE(YEAR(K151),MONTH(K151),1),'Tipos BdE'!$A$7:$A$336,1),MATCH($D$9,'Tipos BdE'!$B$6:$M$6,0)),0))</f>
      </c>
      <c r="M151" s="13" t="str">
        <f t="shared" si="19"/>
      </c>
      <c r="N151" s="13" t="str">
        <f t="shared" si="20"/>
      </c>
      <c r="O151" s="14" t="str">
        <f t="shared" si="21"/>
      </c>
      <c r="P151" s="14" t="str">
        <f>IF(H151="","",$D$5+SUM($O$5:O151))</f>
      </c>
    </row>
    <row r="152" spans="7:16" x14ac:dyDescent="0.35">
      <c r="G152" s="11" t="str">
        <f t="shared" si="16"/>
      </c>
      <c r="H152" s="12" t="str">
        <f t="shared" si="22"/>
      </c>
      <c r="I152" s="12" t="str">
        <f t="shared" si="17"/>
      </c>
      <c r="J152" s="11" t="str">
        <f t="shared" si="18"/>
      </c>
      <c r="K152" s="12" t="str">
        <f t="shared" si="23"/>
      </c>
      <c r="L152" s="13" t="str">
        <f>IF(H152="","",IFERROR(INDEX('Tipos BdE'!$B$7:$M$336,MATCH(DATE(YEAR(K152),MONTH(K152),1),'Tipos BdE'!$A$7:$A$336,1),MATCH($D$9,'Tipos BdE'!$B$6:$M$6,0)),0))</f>
      </c>
      <c r="M152" s="13" t="str">
        <f t="shared" si="19"/>
      </c>
      <c r="N152" s="13" t="str">
        <f t="shared" si="20"/>
      </c>
      <c r="O152" s="14" t="str">
        <f t="shared" si="21"/>
      </c>
      <c r="P152" s="14" t="str">
        <f>IF(H152="","",$D$5+SUM($O$5:O152))</f>
      </c>
    </row>
    <row r="153" spans="7:16" x14ac:dyDescent="0.35">
      <c r="G153" s="11" t="str">
        <f t="shared" si="16"/>
      </c>
      <c r="H153" s="12" t="str">
        <f t="shared" si="22"/>
      </c>
      <c r="I153" s="12" t="str">
        <f t="shared" si="17"/>
      </c>
      <c r="J153" s="11" t="str">
        <f t="shared" si="18"/>
      </c>
      <c r="K153" s="12" t="str">
        <f t="shared" si="23"/>
      </c>
      <c r="L153" s="13" t="str">
        <f>IF(H153="","",IFERROR(INDEX('Tipos BdE'!$B$7:$M$336,MATCH(DATE(YEAR(K153),MONTH(K153),1),'Tipos BdE'!$A$7:$A$336,1),MATCH($D$9,'Tipos BdE'!$B$6:$M$6,0)),0))</f>
      </c>
      <c r="M153" s="13" t="str">
        <f t="shared" si="19"/>
      </c>
      <c r="N153" s="13" t="str">
        <f t="shared" si="20"/>
      </c>
      <c r="O153" s="14" t="str">
        <f t="shared" si="21"/>
      </c>
      <c r="P153" s="14" t="str">
        <f>IF(H153="","",$D$5+SUM($O$5:O153))</f>
      </c>
    </row>
    <row r="154" spans="7:16" x14ac:dyDescent="0.35">
      <c r="G154" s="11" t="str">
        <f t="shared" si="16"/>
      </c>
      <c r="H154" s="12" t="str">
        <f t="shared" si="22"/>
      </c>
      <c r="I154" s="12" t="str">
        <f t="shared" si="17"/>
      </c>
      <c r="J154" s="11" t="str">
        <f t="shared" si="18"/>
      </c>
      <c r="K154" s="12" t="str">
        <f t="shared" si="23"/>
      </c>
      <c r="L154" s="13" t="str">
        <f>IF(H154="","",IFERROR(INDEX('Tipos BdE'!$B$7:$M$336,MATCH(DATE(YEAR(K154),MONTH(K154),1),'Tipos BdE'!$A$7:$A$336,1),MATCH($D$9,'Tipos BdE'!$B$6:$M$6,0)),0))</f>
      </c>
      <c r="M154" s="13" t="str">
        <f t="shared" si="19"/>
      </c>
      <c r="N154" s="13" t="str">
        <f t="shared" si="20"/>
      </c>
      <c r="O154" s="14" t="str">
        <f t="shared" si="21"/>
      </c>
      <c r="P154" s="14" t="str">
        <f>IF(H154="","",$D$5+SUM($O$5:O154))</f>
      </c>
    </row>
    <row r="155" spans="7:16" x14ac:dyDescent="0.35">
      <c r="G155" s="11" t="str">
        <f t="shared" si="16"/>
      </c>
      <c r="H155" s="12" t="str">
        <f t="shared" si="22"/>
      </c>
      <c r="I155" s="12" t="str">
        <f t="shared" si="17"/>
      </c>
      <c r="J155" s="11" t="str">
        <f t="shared" si="18"/>
      </c>
      <c r="K155" s="12" t="str">
        <f t="shared" si="23"/>
      </c>
      <c r="L155" s="13" t="str">
        <f>IF(H155="","",IFERROR(INDEX('Tipos BdE'!$B$7:$M$336,MATCH(DATE(YEAR(K155),MONTH(K155),1),'Tipos BdE'!$A$7:$A$336,1),MATCH($D$9,'Tipos BdE'!$B$6:$M$6,0)),0))</f>
      </c>
      <c r="M155" s="13" t="str">
        <f t="shared" si="19"/>
      </c>
      <c r="N155" s="13" t="str">
        <f t="shared" si="20"/>
      </c>
      <c r="O155" s="14" t="str">
        <f t="shared" si="21"/>
      </c>
      <c r="P155" s="14" t="str">
        <f>IF(H155="","",$D$5+SUM($O$5:O155))</f>
      </c>
    </row>
    <row r="156" spans="7:16" x14ac:dyDescent="0.35">
      <c r="G156" s="11" t="str">
        <f t="shared" si="16"/>
      </c>
      <c r="H156" s="12" t="str">
        <f t="shared" si="22"/>
      </c>
      <c r="I156" s="12" t="str">
        <f t="shared" si="17"/>
      </c>
      <c r="J156" s="11" t="str">
        <f t="shared" si="18"/>
      </c>
      <c r="K156" s="12" t="str">
        <f t="shared" si="23"/>
      </c>
      <c r="L156" s="13" t="str">
        <f>IF(H156="","",IFERROR(INDEX('Tipos BdE'!$B$7:$M$336,MATCH(DATE(YEAR(K156),MONTH(K156),1),'Tipos BdE'!$A$7:$A$336,1),MATCH($D$9,'Tipos BdE'!$B$6:$M$6,0)),0))</f>
      </c>
      <c r="M156" s="13" t="str">
        <f t="shared" si="19"/>
      </c>
      <c r="N156" s="13" t="str">
        <f t="shared" si="20"/>
      </c>
      <c r="O156" s="14" t="str">
        <f t="shared" si="21"/>
      </c>
      <c r="P156" s="14" t="str">
        <f>IF(H156="","",$D$5+SUM($O$5:O156))</f>
      </c>
    </row>
    <row r="157" spans="7:16" x14ac:dyDescent="0.35">
      <c r="G157" s="11" t="str">
        <f t="shared" si="16"/>
      </c>
      <c r="H157" s="12" t="str">
        <f t="shared" si="22"/>
      </c>
      <c r="I157" s="12" t="str">
        <f t="shared" si="17"/>
      </c>
      <c r="J157" s="11" t="str">
        <f t="shared" si="18"/>
      </c>
      <c r="K157" s="12" t="str">
        <f t="shared" si="23"/>
      </c>
      <c r="L157" s="13" t="str">
        <f>IF(H157="","",IFERROR(INDEX('Tipos BdE'!$B$7:$M$336,MATCH(DATE(YEAR(K157),MONTH(K157),1),'Tipos BdE'!$A$7:$A$336,1),MATCH($D$9,'Tipos BdE'!$B$6:$M$6,0)),0))</f>
      </c>
      <c r="M157" s="13" t="str">
        <f t="shared" si="19"/>
      </c>
      <c r="N157" s="13" t="str">
        <f t="shared" si="20"/>
      </c>
      <c r="O157" s="14" t="str">
        <f t="shared" si="21"/>
      </c>
      <c r="P157" s="14" t="str">
        <f>IF(H157="","",$D$5+SUM($O$5:O157))</f>
      </c>
    </row>
    <row r="158" spans="7:16" x14ac:dyDescent="0.35">
      <c r="G158" s="11" t="str">
        <f t="shared" si="16"/>
      </c>
      <c r="H158" s="12" t="str">
        <f t="shared" si="22"/>
      </c>
      <c r="I158" s="12" t="str">
        <f t="shared" si="17"/>
      </c>
      <c r="J158" s="11" t="str">
        <f t="shared" si="18"/>
      </c>
      <c r="K158" s="12" t="str">
        <f t="shared" si="23"/>
      </c>
      <c r="L158" s="13" t="str">
        <f>IF(H158="","",IFERROR(INDEX('Tipos BdE'!$B$7:$M$336,MATCH(DATE(YEAR(K158),MONTH(K158),1),'Tipos BdE'!$A$7:$A$336,1),MATCH($D$9,'Tipos BdE'!$B$6:$M$6,0)),0))</f>
      </c>
      <c r="M158" s="13" t="str">
        <f t="shared" si="19"/>
      </c>
      <c r="N158" s="13" t="str">
        <f t="shared" si="20"/>
      </c>
      <c r="O158" s="14" t="str">
        <f t="shared" si="21"/>
      </c>
      <c r="P158" s="14" t="str">
        <f>IF(H158="","",$D$5+SUM($O$5:O158))</f>
      </c>
    </row>
    <row r="159" spans="7:16" x14ac:dyDescent="0.35">
      <c r="G159" s="11" t="str">
        <f t="shared" si="16"/>
      </c>
      <c r="H159" s="12" t="str">
        <f t="shared" si="22"/>
      </c>
      <c r="I159" s="12" t="str">
        <f t="shared" si="17"/>
      </c>
      <c r="J159" s="11" t="str">
        <f t="shared" si="18"/>
      </c>
      <c r="K159" s="12" t="str">
        <f t="shared" si="23"/>
      </c>
      <c r="L159" s="13" t="str">
        <f>IF(H159="","",IFERROR(INDEX('Tipos BdE'!$B$7:$M$336,MATCH(DATE(YEAR(K159),MONTH(K159),1),'Tipos BdE'!$A$7:$A$336,1),MATCH($D$9,'Tipos BdE'!$B$6:$M$6,0)),0))</f>
      </c>
      <c r="M159" s="13" t="str">
        <f t="shared" si="19"/>
      </c>
      <c r="N159" s="13" t="str">
        <f t="shared" si="20"/>
      </c>
      <c r="O159" s="14" t="str">
        <f t="shared" si="21"/>
      </c>
      <c r="P159" s="14" t="str">
        <f>IF(H159="","",$D$5+SUM($O$5:O159))</f>
      </c>
    </row>
    <row r="160" spans="7:16" x14ac:dyDescent="0.35">
      <c r="G160" s="11" t="str">
        <f t="shared" si="16"/>
      </c>
      <c r="H160" s="12" t="str">
        <f t="shared" si="22"/>
      </c>
      <c r="I160" s="12" t="str">
        <f t="shared" si="17"/>
      </c>
      <c r="J160" s="11" t="str">
        <f t="shared" si="18"/>
      </c>
      <c r="K160" s="12" t="str">
        <f t="shared" si="23"/>
      </c>
      <c r="L160" s="13" t="str">
        <f>IF(H160="","",IFERROR(INDEX('Tipos BdE'!$B$7:$M$336,MATCH(DATE(YEAR(K160),MONTH(K160),1),'Tipos BdE'!$A$7:$A$336,1),MATCH($D$9,'Tipos BdE'!$B$6:$M$6,0)),0))</f>
      </c>
      <c r="M160" s="13" t="str">
        <f t="shared" si="19"/>
      </c>
      <c r="N160" s="13" t="str">
        <f t="shared" si="20"/>
      </c>
      <c r="O160" s="14" t="str">
        <f t="shared" si="21"/>
      </c>
      <c r="P160" s="14" t="str">
        <f>IF(H160="","",$D$5+SUM($O$5:O160))</f>
      </c>
    </row>
    <row r="161" spans="7:16" x14ac:dyDescent="0.35">
      <c r="G161" s="11" t="str">
        <f t="shared" si="16"/>
      </c>
      <c r="H161" s="12" t="str">
        <f t="shared" si="22"/>
      </c>
      <c r="I161" s="12" t="str">
        <f t="shared" si="17"/>
      </c>
      <c r="J161" s="11" t="str">
        <f t="shared" si="18"/>
      </c>
      <c r="K161" s="12" t="str">
        <f t="shared" si="23"/>
      </c>
      <c r="L161" s="13" t="str">
        <f>IF(H161="","",IFERROR(INDEX('Tipos BdE'!$B$7:$M$336,MATCH(DATE(YEAR(K161),MONTH(K161),1),'Tipos BdE'!$A$7:$A$336,1),MATCH($D$9,'Tipos BdE'!$B$6:$M$6,0)),0))</f>
      </c>
      <c r="M161" s="13" t="str">
        <f t="shared" si="19"/>
      </c>
      <c r="N161" s="13" t="str">
        <f t="shared" si="20"/>
      </c>
      <c r="O161" s="14" t="str">
        <f t="shared" si="21"/>
      </c>
      <c r="P161" s="14" t="str">
        <f>IF(H161="","",$D$5+SUM($O$5:O161))</f>
      </c>
    </row>
    <row r="162" spans="7:16" x14ac:dyDescent="0.35">
      <c r="G162" s="11" t="str">
        <f t="shared" si="16"/>
      </c>
      <c r="H162" s="12" t="str">
        <f t="shared" si="22"/>
      </c>
      <c r="I162" s="12" t="str">
        <f t="shared" si="17"/>
      </c>
      <c r="J162" s="11" t="str">
        <f t="shared" si="18"/>
      </c>
      <c r="K162" s="12" t="str">
        <f t="shared" si="23"/>
      </c>
      <c r="L162" s="13" t="str">
        <f>IF(H162="","",IFERROR(INDEX('Tipos BdE'!$B$7:$M$336,MATCH(DATE(YEAR(K162),MONTH(K162),1),'Tipos BdE'!$A$7:$A$336,1),MATCH($D$9,'Tipos BdE'!$B$6:$M$6,0)),0))</f>
      </c>
      <c r="M162" s="13" t="str">
        <f t="shared" si="19"/>
      </c>
      <c r="N162" s="13" t="str">
        <f t="shared" si="20"/>
      </c>
      <c r="O162" s="14" t="str">
        <f t="shared" si="21"/>
      </c>
      <c r="P162" s="14" t="str">
        <f>IF(H162="","",$D$5+SUM($O$5:O162))</f>
      </c>
    </row>
    <row r="163" spans="7:16" x14ac:dyDescent="0.35">
      <c r="G163" s="11" t="str">
        <f t="shared" si="16"/>
      </c>
      <c r="H163" s="12" t="str">
        <f t="shared" si="22"/>
      </c>
      <c r="I163" s="12" t="str">
        <f t="shared" si="17"/>
      </c>
      <c r="J163" s="11" t="str">
        <f t="shared" si="18"/>
      </c>
      <c r="K163" s="12" t="str">
        <f t="shared" si="23"/>
      </c>
      <c r="L163" s="13" t="str">
        <f>IF(H163="","",IFERROR(INDEX('Tipos BdE'!$B$7:$M$336,MATCH(DATE(YEAR(K163),MONTH(K163),1),'Tipos BdE'!$A$7:$A$336,1),MATCH($D$9,'Tipos BdE'!$B$6:$M$6,0)),0))</f>
      </c>
      <c r="M163" s="13" t="str">
        <f t="shared" si="19"/>
      </c>
      <c r="N163" s="13" t="str">
        <f t="shared" si="20"/>
      </c>
      <c r="O163" s="14" t="str">
        <f t="shared" si="21"/>
      </c>
      <c r="P163" s="14" t="str">
        <f>IF(H163="","",$D$5+SUM($O$5:O163))</f>
      </c>
    </row>
    <row r="164" spans="7:16" x14ac:dyDescent="0.35">
      <c r="G164" s="11" t="str">
        <f t="shared" si="16"/>
      </c>
      <c r="H164" s="12" t="str">
        <f t="shared" si="22"/>
      </c>
      <c r="I164" s="12" t="str">
        <f t="shared" si="17"/>
      </c>
      <c r="J164" s="11" t="str">
        <f t="shared" si="18"/>
      </c>
      <c r="K164" s="12" t="str">
        <f t="shared" si="23"/>
      </c>
      <c r="L164" s="13" t="str">
        <f>IF(H164="","",IFERROR(INDEX('Tipos BdE'!$B$7:$M$336,MATCH(DATE(YEAR(K164),MONTH(K164),1),'Tipos BdE'!$A$7:$A$336,1),MATCH($D$9,'Tipos BdE'!$B$6:$M$6,0)),0))</f>
      </c>
      <c r="M164" s="13" t="str">
        <f t="shared" si="19"/>
      </c>
      <c r="N164" s="13" t="str">
        <f t="shared" si="20"/>
      </c>
      <c r="O164" s="14" t="str">
        <f t="shared" si="21"/>
      </c>
      <c r="P164" s="14" t="str">
        <f>IF(H164="","",$D$5+SUM($O$5:O164))</f>
      </c>
    </row>
    <row r="165" spans="7:16" x14ac:dyDescent="0.35">
      <c r="G165" s="11" t="str">
        <f t="shared" si="16"/>
      </c>
      <c r="H165" s="12" t="str">
        <f t="shared" si="22"/>
      </c>
      <c r="I165" s="12" t="str">
        <f t="shared" si="17"/>
      </c>
      <c r="J165" s="11" t="str">
        <f t="shared" si="18"/>
      </c>
      <c r="K165" s="12" t="str">
        <f t="shared" si="23"/>
      </c>
      <c r="L165" s="13" t="str">
        <f>IF(H165="","",IFERROR(INDEX('Tipos BdE'!$B$7:$M$336,MATCH(DATE(YEAR(K165),MONTH(K165),1),'Tipos BdE'!$A$7:$A$336,1),MATCH($D$9,'Tipos BdE'!$B$6:$M$6,0)),0))</f>
      </c>
      <c r="M165" s="13" t="str">
        <f t="shared" si="19"/>
      </c>
      <c r="N165" s="13" t="str">
        <f t="shared" si="20"/>
      </c>
      <c r="O165" s="14" t="str">
        <f t="shared" si="21"/>
      </c>
      <c r="P165" s="14" t="str">
        <f>IF(H165="","",$D$5+SUM($O$5:O165))</f>
      </c>
    </row>
    <row r="166" spans="7:16" x14ac:dyDescent="0.35">
      <c r="G166" s="11" t="str">
        <f t="shared" si="16"/>
      </c>
      <c r="H166" s="12" t="str">
        <f t="shared" si="22"/>
      </c>
      <c r="I166" s="12" t="str">
        <f t="shared" si="17"/>
      </c>
      <c r="J166" s="11" t="str">
        <f t="shared" si="18"/>
      </c>
      <c r="K166" s="12" t="str">
        <f t="shared" si="23"/>
      </c>
      <c r="L166" s="13" t="str">
        <f>IF(H166="","",IFERROR(INDEX('Tipos BdE'!$B$7:$M$336,MATCH(DATE(YEAR(K166),MONTH(K166),1),'Tipos BdE'!$A$7:$A$336,1),MATCH($D$9,'Tipos BdE'!$B$6:$M$6,0)),0))</f>
      </c>
      <c r="M166" s="13" t="str">
        <f t="shared" si="19"/>
      </c>
      <c r="N166" s="13" t="str">
        <f t="shared" si="20"/>
      </c>
      <c r="O166" s="14" t="str">
        <f t="shared" si="21"/>
      </c>
      <c r="P166" s="14" t="str">
        <f>IF(H166="","",$D$5+SUM($O$5:O166))</f>
      </c>
    </row>
    <row r="167" spans="7:16" x14ac:dyDescent="0.35">
      <c r="G167" s="11" t="str">
        <f t="shared" si="16"/>
      </c>
      <c r="H167" s="12" t="str">
        <f t="shared" si="22"/>
      </c>
      <c r="I167" s="12" t="str">
        <f t="shared" si="17"/>
      </c>
      <c r="J167" s="11" t="str">
        <f t="shared" si="18"/>
      </c>
      <c r="K167" s="12" t="str">
        <f t="shared" si="23"/>
      </c>
      <c r="L167" s="13" t="str">
        <f>IF(H167="","",IFERROR(INDEX('Tipos BdE'!$B$7:$M$336,MATCH(DATE(YEAR(K167),MONTH(K167),1),'Tipos BdE'!$A$7:$A$336,1),MATCH($D$9,'Tipos BdE'!$B$6:$M$6,0)),0))</f>
      </c>
      <c r="M167" s="13" t="str">
        <f t="shared" si="19"/>
      </c>
      <c r="N167" s="13" t="str">
        <f t="shared" si="20"/>
      </c>
      <c r="O167" s="14" t="str">
        <f t="shared" si="21"/>
      </c>
      <c r="P167" s="14" t="str">
        <f>IF(H167="","",$D$5+SUM($O$5:O167))</f>
      </c>
    </row>
    <row r="168" spans="7:16" x14ac:dyDescent="0.35">
      <c r="G168" s="11" t="str">
        <f t="shared" si="16"/>
      </c>
      <c r="H168" s="12" t="str">
        <f t="shared" si="22"/>
      </c>
      <c r="I168" s="12" t="str">
        <f t="shared" si="17"/>
      </c>
      <c r="J168" s="11" t="str">
        <f t="shared" si="18"/>
      </c>
      <c r="K168" s="12" t="str">
        <f t="shared" si="23"/>
      </c>
      <c r="L168" s="13" t="str">
        <f>IF(H168="","",IFERROR(INDEX('Tipos BdE'!$B$7:$M$336,MATCH(DATE(YEAR(K168),MONTH(K168),1),'Tipos BdE'!$A$7:$A$336,1),MATCH($D$9,'Tipos BdE'!$B$6:$M$6,0)),0))</f>
      </c>
      <c r="M168" s="13" t="str">
        <f t="shared" si="19"/>
      </c>
      <c r="N168" s="13" t="str">
        <f t="shared" si="20"/>
      </c>
      <c r="O168" s="14" t="str">
        <f t="shared" si="21"/>
      </c>
      <c r="P168" s="14" t="str">
        <f>IF(H168="","",$D$5+SUM($O$5:O168))</f>
      </c>
    </row>
    <row r="169" spans="7:16" x14ac:dyDescent="0.35">
      <c r="G169" s="11" t="str">
        <f t="shared" si="16"/>
      </c>
      <c r="H169" s="12" t="str">
        <f t="shared" si="22"/>
      </c>
      <c r="I169" s="12" t="str">
        <f t="shared" si="17"/>
      </c>
      <c r="J169" s="11" t="str">
        <f t="shared" si="18"/>
      </c>
      <c r="K169" s="12" t="str">
        <f t="shared" si="23"/>
      </c>
      <c r="L169" s="13" t="str">
        <f>IF(H169="","",IFERROR(INDEX('Tipos BdE'!$B$7:$M$336,MATCH(DATE(YEAR(K169),MONTH(K169),1),'Tipos BdE'!$A$7:$A$336,1),MATCH($D$9,'Tipos BdE'!$B$6:$M$6,0)),0))</f>
      </c>
      <c r="M169" s="13" t="str">
        <f t="shared" si="19"/>
      </c>
      <c r="N169" s="13" t="str">
        <f t="shared" si="20"/>
      </c>
      <c r="O169" s="14" t="str">
        <f t="shared" si="21"/>
      </c>
      <c r="P169" s="14" t="str">
        <f>IF(H169="","",$D$5+SUM($O$5:O169))</f>
      </c>
    </row>
    <row r="170" spans="7:16" x14ac:dyDescent="0.35">
      <c r="G170" s="11" t="str">
        <f t="shared" si="16"/>
      </c>
      <c r="H170" s="12" t="str">
        <f t="shared" si="22"/>
      </c>
      <c r="I170" s="12" t="str">
        <f t="shared" si="17"/>
      </c>
      <c r="J170" s="11" t="str">
        <f t="shared" si="18"/>
      </c>
      <c r="K170" s="12" t="str">
        <f t="shared" si="23"/>
      </c>
      <c r="L170" s="13" t="str">
        <f>IF(H170="","",IFERROR(INDEX('Tipos BdE'!$B$7:$M$336,MATCH(DATE(YEAR(K170),MONTH(K170),1),'Tipos BdE'!$A$7:$A$336,1),MATCH($D$9,'Tipos BdE'!$B$6:$M$6,0)),0))</f>
      </c>
      <c r="M170" s="13" t="str">
        <f t="shared" si="19"/>
      </c>
      <c r="N170" s="13" t="str">
        <f t="shared" si="20"/>
      </c>
      <c r="O170" s="14" t="str">
        <f t="shared" si="21"/>
      </c>
      <c r="P170" s="14" t="str">
        <f>IF(H170="","",$D$5+SUM($O$5:O170))</f>
      </c>
    </row>
    <row r="171" spans="7:16" x14ac:dyDescent="0.35">
      <c r="G171" s="11" t="str">
        <f t="shared" si="16"/>
      </c>
      <c r="H171" s="12" t="str">
        <f t="shared" si="22"/>
      </c>
      <c r="I171" s="12" t="str">
        <f t="shared" si="17"/>
      </c>
      <c r="J171" s="11" t="str">
        <f t="shared" si="18"/>
      </c>
      <c r="K171" s="12" t="str">
        <f t="shared" si="23"/>
      </c>
      <c r="L171" s="13" t="str">
        <f>IF(H171="","",IFERROR(INDEX('Tipos BdE'!$B$7:$M$336,MATCH(DATE(YEAR(K171),MONTH(K171),1),'Tipos BdE'!$A$7:$A$336,1),MATCH($D$9,'Tipos BdE'!$B$6:$M$6,0)),0))</f>
      </c>
      <c r="M171" s="13" t="str">
        <f t="shared" si="19"/>
      </c>
      <c r="N171" s="13" t="str">
        <f t="shared" si="20"/>
      </c>
      <c r="O171" s="14" t="str">
        <f t="shared" si="21"/>
      </c>
      <c r="P171" s="14" t="str">
        <f>IF(H171="","",$D$5+SUM($O$5:O171))</f>
      </c>
    </row>
    <row r="172" spans="7:16" x14ac:dyDescent="0.35">
      <c r="G172" s="11" t="str">
        <f t="shared" si="16"/>
      </c>
      <c r="H172" s="12" t="str">
        <f t="shared" si="22"/>
      </c>
      <c r="I172" s="12" t="str">
        <f t="shared" si="17"/>
      </c>
      <c r="J172" s="11" t="str">
        <f t="shared" si="18"/>
      </c>
      <c r="K172" s="12" t="str">
        <f t="shared" si="23"/>
      </c>
      <c r="L172" s="13" t="str">
        <f>IF(H172="","",IFERROR(INDEX('Tipos BdE'!$B$7:$M$336,MATCH(DATE(YEAR(K172),MONTH(K172),1),'Tipos BdE'!$A$7:$A$336,1),MATCH($D$9,'Tipos BdE'!$B$6:$M$6,0)),0))</f>
      </c>
      <c r="M172" s="13" t="str">
        <f t="shared" si="19"/>
      </c>
      <c r="N172" s="13" t="str">
        <f t="shared" si="20"/>
      </c>
      <c r="O172" s="14" t="str">
        <f t="shared" si="21"/>
      </c>
      <c r="P172" s="14" t="str">
        <f>IF(H172="","",$D$5+SUM($O$5:O172))</f>
      </c>
    </row>
    <row r="173" spans="7:16" x14ac:dyDescent="0.35">
      <c r="G173" s="11" t="str">
        <f t="shared" si="16"/>
      </c>
      <c r="H173" s="12" t="str">
        <f t="shared" si="22"/>
      </c>
      <c r="I173" s="12" t="str">
        <f t="shared" si="17"/>
      </c>
      <c r="J173" s="11" t="str">
        <f t="shared" si="18"/>
      </c>
      <c r="K173" s="12" t="str">
        <f t="shared" si="23"/>
      </c>
      <c r="L173" s="13" t="str">
        <f>IF(H173="","",IFERROR(INDEX('Tipos BdE'!$B$7:$M$336,MATCH(DATE(YEAR(K173),MONTH(K173),1),'Tipos BdE'!$A$7:$A$336,1),MATCH($D$9,'Tipos BdE'!$B$6:$M$6,0)),0))</f>
      </c>
      <c r="M173" s="13" t="str">
        <f t="shared" si="19"/>
      </c>
      <c r="N173" s="13" t="str">
        <f t="shared" si="20"/>
      </c>
      <c r="O173" s="14" t="str">
        <f t="shared" si="21"/>
      </c>
      <c r="P173" s="14" t="str">
        <f>IF(H173="","",$D$5+SUM($O$5:O173))</f>
      </c>
    </row>
    <row r="174" spans="7:16" x14ac:dyDescent="0.35">
      <c r="G174" s="11" t="str">
        <f t="shared" si="16"/>
      </c>
      <c r="H174" s="12" t="str">
        <f t="shared" si="22"/>
      </c>
      <c r="I174" s="12" t="str">
        <f t="shared" si="17"/>
      </c>
      <c r="J174" s="11" t="str">
        <f t="shared" si="18"/>
      </c>
      <c r="K174" s="12" t="str">
        <f t="shared" si="23"/>
      </c>
      <c r="L174" s="13" t="str">
        <f>IF(H174="","",IFERROR(INDEX('Tipos BdE'!$B$7:$M$336,MATCH(DATE(YEAR(K174),MONTH(K174),1),'Tipos BdE'!$A$7:$A$336,1),MATCH($D$9,'Tipos BdE'!$B$6:$M$6,0)),0))</f>
      </c>
      <c r="M174" s="13" t="str">
        <f t="shared" si="19"/>
      </c>
      <c r="N174" s="13" t="str">
        <f t="shared" si="20"/>
      </c>
      <c r="O174" s="14" t="str">
        <f t="shared" si="21"/>
      </c>
      <c r="P174" s="14" t="str">
        <f>IF(H174="","",$D$5+SUM($O$5:O174))</f>
      </c>
    </row>
    <row r="175" spans="7:16" x14ac:dyDescent="0.35">
      <c r="G175" s="11" t="str">
        <f t="shared" si="16"/>
      </c>
      <c r="H175" s="12" t="str">
        <f t="shared" si="22"/>
      </c>
      <c r="I175" s="12" t="str">
        <f t="shared" si="17"/>
      </c>
      <c r="J175" s="11" t="str">
        <f t="shared" si="18"/>
      </c>
      <c r="K175" s="12" t="str">
        <f t="shared" si="23"/>
      </c>
      <c r="L175" s="13" t="str">
        <f>IF(H175="","",IFERROR(INDEX('Tipos BdE'!$B$7:$M$336,MATCH(DATE(YEAR(K175),MONTH(K175),1),'Tipos BdE'!$A$7:$A$336,1),MATCH($D$9,'Tipos BdE'!$B$6:$M$6,0)),0))</f>
      </c>
      <c r="M175" s="13" t="str">
        <f t="shared" si="19"/>
      </c>
      <c r="N175" s="13" t="str">
        <f t="shared" si="20"/>
      </c>
      <c r="O175" s="14" t="str">
        <f t="shared" si="21"/>
      </c>
      <c r="P175" s="14" t="str">
        <f>IF(H175="","",$D$5+SUM($O$5:O175))</f>
      </c>
    </row>
    <row r="176" spans="7:16" x14ac:dyDescent="0.35">
      <c r="G176" s="11" t="str">
        <f t="shared" si="16"/>
      </c>
      <c r="H176" s="12" t="str">
        <f t="shared" si="22"/>
      </c>
      <c r="I176" s="12" t="str">
        <f t="shared" si="17"/>
      </c>
      <c r="J176" s="11" t="str">
        <f t="shared" si="18"/>
      </c>
      <c r="K176" s="12" t="str">
        <f t="shared" si="23"/>
      </c>
      <c r="L176" s="13" t="str">
        <f>IF(H176="","",IFERROR(INDEX('Tipos BdE'!$B$7:$M$336,MATCH(DATE(YEAR(K176),MONTH(K176),1),'Tipos BdE'!$A$7:$A$336,1),MATCH($D$9,'Tipos BdE'!$B$6:$M$6,0)),0))</f>
      </c>
      <c r="M176" s="13" t="str">
        <f t="shared" si="19"/>
      </c>
      <c r="N176" s="13" t="str">
        <f t="shared" si="20"/>
      </c>
      <c r="O176" s="14" t="str">
        <f t="shared" si="21"/>
      </c>
      <c r="P176" s="14" t="str">
        <f>IF(H176="","",$D$5+SUM($O$5:O176))</f>
      </c>
    </row>
    <row r="177" spans="7:16" x14ac:dyDescent="0.35">
      <c r="G177" s="11" t="str">
        <f t="shared" si="16"/>
      </c>
      <c r="H177" s="12" t="str">
        <f t="shared" si="22"/>
      </c>
      <c r="I177" s="12" t="str">
        <f t="shared" si="17"/>
      </c>
      <c r="J177" s="11" t="str">
        <f t="shared" si="18"/>
      </c>
      <c r="K177" s="12" t="str">
        <f t="shared" si="23"/>
      </c>
      <c r="L177" s="13" t="str">
        <f>IF(H177="","",IFERROR(INDEX('Tipos BdE'!$B$7:$M$336,MATCH(DATE(YEAR(K177),MONTH(K177),1),'Tipos BdE'!$A$7:$A$336,1),MATCH($D$9,'Tipos BdE'!$B$6:$M$6,0)),0))</f>
      </c>
      <c r="M177" s="13" t="str">
        <f t="shared" si="19"/>
      </c>
      <c r="N177" s="13" t="str">
        <f t="shared" si="20"/>
      </c>
      <c r="O177" s="14" t="str">
        <f t="shared" si="21"/>
      </c>
      <c r="P177" s="14" t="str">
        <f>IF(H177="","",$D$5+SUM($O$5:O177))</f>
      </c>
    </row>
    <row r="178" spans="7:16" x14ac:dyDescent="0.35">
      <c r="G178" s="11" t="str">
        <f t="shared" si="16"/>
      </c>
      <c r="H178" s="12" t="str">
        <f t="shared" si="22"/>
      </c>
      <c r="I178" s="12" t="str">
        <f t="shared" si="17"/>
      </c>
      <c r="J178" s="11" t="str">
        <f t="shared" si="18"/>
      </c>
      <c r="K178" s="12" t="str">
        <f t="shared" si="23"/>
      </c>
      <c r="L178" s="13" t="str">
        <f>IF(H178="","",IFERROR(INDEX('Tipos BdE'!$B$7:$M$336,MATCH(DATE(YEAR(K178),MONTH(K178),1),'Tipos BdE'!$A$7:$A$336,1),MATCH($D$9,'Tipos BdE'!$B$6:$M$6,0)),0))</f>
      </c>
      <c r="M178" s="13" t="str">
        <f t="shared" si="19"/>
      </c>
      <c r="N178" s="13" t="str">
        <f t="shared" si="20"/>
      </c>
      <c r="O178" s="14" t="str">
        <f t="shared" si="21"/>
      </c>
      <c r="P178" s="14" t="str">
        <f>IF(H178="","",$D$5+SUM($O$5:O178))</f>
      </c>
    </row>
    <row r="179" spans="7:16" x14ac:dyDescent="0.35">
      <c r="G179" s="11" t="str">
        <f t="shared" si="16"/>
      </c>
      <c r="H179" s="12" t="str">
        <f t="shared" si="22"/>
      </c>
      <c r="I179" s="12" t="str">
        <f t="shared" si="17"/>
      </c>
      <c r="J179" s="11" t="str">
        <f t="shared" si="18"/>
      </c>
      <c r="K179" s="12" t="str">
        <f t="shared" si="23"/>
      </c>
      <c r="L179" s="13" t="str">
        <f>IF(H179="","",IFERROR(INDEX('Tipos BdE'!$B$7:$M$336,MATCH(DATE(YEAR(K179),MONTH(K179),1),'Tipos BdE'!$A$7:$A$336,1),MATCH($D$9,'Tipos BdE'!$B$6:$M$6,0)),0))</f>
      </c>
      <c r="M179" s="13" t="str">
        <f t="shared" si="19"/>
      </c>
      <c r="N179" s="13" t="str">
        <f t="shared" si="20"/>
      </c>
      <c r="O179" s="14" t="str">
        <f t="shared" si="21"/>
      </c>
      <c r="P179" s="14" t="str">
        <f>IF(H179="","",$D$5+SUM($O$5:O179))</f>
      </c>
    </row>
    <row r="180" spans="7:16" x14ac:dyDescent="0.35">
      <c r="G180" s="11" t="str">
        <f t="shared" si="16"/>
      </c>
      <c r="H180" s="12" t="str">
        <f t="shared" si="22"/>
      </c>
      <c r="I180" s="12" t="str">
        <f t="shared" si="17"/>
      </c>
      <c r="J180" s="11" t="str">
        <f t="shared" si="18"/>
      </c>
      <c r="K180" s="12" t="str">
        <f t="shared" si="23"/>
      </c>
      <c r="L180" s="13" t="str">
        <f>IF(H180="","",IFERROR(INDEX('Tipos BdE'!$B$7:$M$336,MATCH(DATE(YEAR(K180),MONTH(K180),1),'Tipos BdE'!$A$7:$A$336,1),MATCH($D$9,'Tipos BdE'!$B$6:$M$6,0)),0))</f>
      </c>
      <c r="M180" s="13" t="str">
        <f t="shared" si="19"/>
      </c>
      <c r="N180" s="13" t="str">
        <f t="shared" si="20"/>
      </c>
      <c r="O180" s="14" t="str">
        <f t="shared" si="21"/>
      </c>
      <c r="P180" s="14" t="str">
        <f>IF(H180="","",$D$5+SUM($O$5:O180))</f>
      </c>
    </row>
    <row r="181" spans="7:16" x14ac:dyDescent="0.35">
      <c r="G181" s="11" t="str">
        <f t="shared" si="16"/>
      </c>
      <c r="H181" s="12" t="str">
        <f t="shared" si="22"/>
      </c>
      <c r="I181" s="12" t="str">
        <f t="shared" si="17"/>
      </c>
      <c r="J181" s="11" t="str">
        <f t="shared" si="18"/>
      </c>
      <c r="K181" s="12" t="str">
        <f t="shared" si="23"/>
      </c>
      <c r="L181" s="13" t="str">
        <f>IF(H181="","",IFERROR(INDEX('Tipos BdE'!$B$7:$M$336,MATCH(DATE(YEAR(K181),MONTH(K181),1),'Tipos BdE'!$A$7:$A$336,1),MATCH($D$9,'Tipos BdE'!$B$6:$M$6,0)),0))</f>
      </c>
      <c r="M181" s="13" t="str">
        <f t="shared" si="19"/>
      </c>
      <c r="N181" s="13" t="str">
        <f t="shared" si="20"/>
      </c>
      <c r="O181" s="14" t="str">
        <f t="shared" si="21"/>
      </c>
      <c r="P181" s="14" t="str">
        <f>IF(H181="","",$D$5+SUM($O$5:O181))</f>
      </c>
    </row>
    <row r="182" spans="7:16" x14ac:dyDescent="0.35">
      <c r="G182" s="11" t="str">
        <f t="shared" si="16"/>
      </c>
      <c r="H182" s="12" t="str">
        <f t="shared" si="22"/>
      </c>
      <c r="I182" s="12" t="str">
        <f t="shared" si="17"/>
      </c>
      <c r="J182" s="11" t="str">
        <f t="shared" si="18"/>
      </c>
      <c r="K182" s="12" t="str">
        <f t="shared" si="23"/>
      </c>
      <c r="L182" s="13" t="str">
        <f>IF(H182="","",IFERROR(INDEX('Tipos BdE'!$B$7:$M$336,MATCH(DATE(YEAR(K182),MONTH(K182),1),'Tipos BdE'!$A$7:$A$336,1),MATCH($D$9,'Tipos BdE'!$B$6:$M$6,0)),0))</f>
      </c>
      <c r="M182" s="13" t="str">
        <f t="shared" si="19"/>
      </c>
      <c r="N182" s="13" t="str">
        <f t="shared" si="20"/>
      </c>
      <c r="O182" s="14" t="str">
        <f t="shared" si="21"/>
      </c>
      <c r="P182" s="14" t="str">
        <f>IF(H182="","",$D$5+SUM($O$5:O182))</f>
      </c>
    </row>
    <row r="183" spans="7:16" x14ac:dyDescent="0.35">
      <c r="G183" s="11" t="str">
        <f t="shared" si="16"/>
      </c>
      <c r="H183" s="12" t="str">
        <f t="shared" si="22"/>
      </c>
      <c r="I183" s="12" t="str">
        <f t="shared" si="17"/>
      </c>
      <c r="J183" s="11" t="str">
        <f t="shared" si="18"/>
      </c>
      <c r="K183" s="12" t="str">
        <f t="shared" si="23"/>
      </c>
      <c r="L183" s="13" t="str">
        <f>IF(H183="","",IFERROR(INDEX('Tipos BdE'!$B$7:$M$336,MATCH(DATE(YEAR(K183),MONTH(K183),1),'Tipos BdE'!$A$7:$A$336,1),MATCH($D$9,'Tipos BdE'!$B$6:$M$6,0)),0))</f>
      </c>
      <c r="M183" s="13" t="str">
        <f t="shared" si="19"/>
      </c>
      <c r="N183" s="13" t="str">
        <f t="shared" si="20"/>
      </c>
      <c r="O183" s="14" t="str">
        <f t="shared" si="21"/>
      </c>
      <c r="P183" s="14" t="str">
        <f>IF(H183="","",$D$5+SUM($O$5:O183))</f>
      </c>
    </row>
    <row r="184" spans="7:16" x14ac:dyDescent="0.35">
      <c r="G184" s="11" t="str">
        <f t="shared" si="16"/>
      </c>
      <c r="H184" s="12" t="str">
        <f t="shared" si="22"/>
      </c>
      <c r="I184" s="12" t="str">
        <f t="shared" si="17"/>
      </c>
      <c r="J184" s="11" t="str">
        <f t="shared" si="18"/>
      </c>
      <c r="K184" s="12" t="str">
        <f t="shared" si="23"/>
      </c>
      <c r="L184" s="13" t="str">
        <f>IF(H184="","",IFERROR(INDEX('Tipos BdE'!$B$7:$M$336,MATCH(DATE(YEAR(K184),MONTH(K184),1),'Tipos BdE'!$A$7:$A$336,1),MATCH($D$9,'Tipos BdE'!$B$6:$M$6,0)),0))</f>
      </c>
      <c r="M184" s="13" t="str">
        <f t="shared" si="19"/>
      </c>
      <c r="N184" s="13" t="str">
        <f t="shared" si="20"/>
      </c>
      <c r="O184" s="14" t="str">
        <f t="shared" si="21"/>
      </c>
      <c r="P184" s="14" t="str">
        <f>IF(H184="","",$D$5+SUM($O$5:O184))</f>
      </c>
    </row>
    <row r="185" spans="7:16" x14ac:dyDescent="0.35">
      <c r="G185" s="11" t="str">
        <f t="shared" si="16"/>
      </c>
      <c r="H185" s="12" t="str">
        <f t="shared" si="22"/>
      </c>
      <c r="I185" s="12" t="str">
        <f t="shared" si="17"/>
      </c>
      <c r="J185" s="11" t="str">
        <f t="shared" si="18"/>
      </c>
      <c r="K185" s="12" t="str">
        <f t="shared" si="23"/>
      </c>
      <c r="L185" s="13" t="str">
        <f>IF(H185="","",IFERROR(INDEX('Tipos BdE'!$B$7:$M$336,MATCH(DATE(YEAR(K185),MONTH(K185),1),'Tipos BdE'!$A$7:$A$336,1),MATCH($D$9,'Tipos BdE'!$B$6:$M$6,0)),0))</f>
      </c>
      <c r="M185" s="13" t="str">
        <f t="shared" si="19"/>
      </c>
      <c r="N185" s="13" t="str">
        <f t="shared" si="20"/>
      </c>
      <c r="O185" s="14" t="str">
        <f t="shared" si="21"/>
      </c>
      <c r="P185" s="14" t="str">
        <f>IF(H185="","",$D$5+SUM($O$5:O185))</f>
      </c>
    </row>
    <row r="186" spans="7:16" x14ac:dyDescent="0.35">
      <c r="G186" s="11" t="str">
        <f t="shared" si="16"/>
      </c>
      <c r="H186" s="12" t="str">
        <f t="shared" si="22"/>
      </c>
      <c r="I186" s="12" t="str">
        <f t="shared" si="17"/>
      </c>
      <c r="J186" s="11" t="str">
        <f t="shared" si="18"/>
      </c>
      <c r="K186" s="12" t="str">
        <f t="shared" si="23"/>
      </c>
      <c r="L186" s="13" t="str">
        <f>IF(H186="","",IFERROR(INDEX('Tipos BdE'!$B$7:$M$336,MATCH(DATE(YEAR(K186),MONTH(K186),1),'Tipos BdE'!$A$7:$A$336,1),MATCH($D$9,'Tipos BdE'!$B$6:$M$6,0)),0))</f>
      </c>
      <c r="M186" s="13" t="str">
        <f t="shared" si="19"/>
      </c>
      <c r="N186" s="13" t="str">
        <f t="shared" si="20"/>
      </c>
      <c r="O186" s="14" t="str">
        <f t="shared" si="21"/>
      </c>
      <c r="P186" s="14" t="str">
        <f>IF(H186="","",$D$5+SUM($O$5:O186))</f>
      </c>
    </row>
    <row r="187" spans="7:16" x14ac:dyDescent="0.35">
      <c r="G187" s="11" t="str">
        <f t="shared" si="16"/>
      </c>
      <c r="H187" s="12" t="str">
        <f t="shared" si="22"/>
      </c>
      <c r="I187" s="12" t="str">
        <f t="shared" si="17"/>
      </c>
      <c r="J187" s="11" t="str">
        <f t="shared" si="18"/>
      </c>
      <c r="K187" s="12" t="str">
        <f t="shared" si="23"/>
      </c>
      <c r="L187" s="13" t="str">
        <f>IF(H187="","",IFERROR(INDEX('Tipos BdE'!$B$7:$M$336,MATCH(DATE(YEAR(K187),MONTH(K187),1),'Tipos BdE'!$A$7:$A$336,1),MATCH($D$9,'Tipos BdE'!$B$6:$M$6,0)),0))</f>
      </c>
      <c r="M187" s="13" t="str">
        <f t="shared" si="19"/>
      </c>
      <c r="N187" s="13" t="str">
        <f t="shared" si="20"/>
      </c>
      <c r="O187" s="14" t="str">
        <f t="shared" si="21"/>
      </c>
      <c r="P187" s="14" t="str">
        <f>IF(H187="","",$D$5+SUM($O$5:O187))</f>
      </c>
    </row>
    <row r="188" spans="7:16" x14ac:dyDescent="0.35">
      <c r="G188" s="11" t="str">
        <f t="shared" si="16"/>
      </c>
      <c r="H188" s="12" t="str">
        <f t="shared" si="22"/>
      </c>
      <c r="I188" s="12" t="str">
        <f t="shared" si="17"/>
      </c>
      <c r="J188" s="11" t="str">
        <f t="shared" si="18"/>
      </c>
      <c r="K188" s="12" t="str">
        <f t="shared" si="23"/>
      </c>
      <c r="L188" s="13" t="str">
        <f>IF(H188="","",IFERROR(INDEX('Tipos BdE'!$B$7:$M$336,MATCH(DATE(YEAR(K188),MONTH(K188),1),'Tipos BdE'!$A$7:$A$336,1),MATCH($D$9,'Tipos BdE'!$B$6:$M$6,0)),0))</f>
      </c>
      <c r="M188" s="13" t="str">
        <f t="shared" si="19"/>
      </c>
      <c r="N188" s="13" t="str">
        <f t="shared" si="20"/>
      </c>
      <c r="O188" s="14" t="str">
        <f t="shared" si="21"/>
      </c>
      <c r="P188" s="14" t="str">
        <f>IF(H188="","",$D$5+SUM($O$5:O188))</f>
      </c>
    </row>
    <row r="189" spans="7:16" x14ac:dyDescent="0.35">
      <c r="G189" s="11" t="str">
        <f t="shared" si="16"/>
      </c>
      <c r="H189" s="12" t="str">
        <f t="shared" si="22"/>
      </c>
      <c r="I189" s="12" t="str">
        <f t="shared" si="17"/>
      </c>
      <c r="J189" s="11" t="str">
        <f t="shared" si="18"/>
      </c>
      <c r="K189" s="12" t="str">
        <f t="shared" si="23"/>
      </c>
      <c r="L189" s="13" t="str">
        <f>IF(H189="","",IFERROR(INDEX('Tipos BdE'!$B$7:$M$336,MATCH(DATE(YEAR(K189),MONTH(K189),1),'Tipos BdE'!$A$7:$A$336,1),MATCH($D$9,'Tipos BdE'!$B$6:$M$6,0)),0))</f>
      </c>
      <c r="M189" s="13" t="str">
        <f t="shared" si="19"/>
      </c>
      <c r="N189" s="13" t="str">
        <f t="shared" si="20"/>
      </c>
      <c r="O189" s="14" t="str">
        <f t="shared" si="21"/>
      </c>
      <c r="P189" s="14" t="str">
        <f>IF(H189="","",$D$5+SUM($O$5:O189))</f>
      </c>
    </row>
    <row r="190" spans="7:16" x14ac:dyDescent="0.35">
      <c r="G190" s="11" t="str">
        <f t="shared" si="16"/>
      </c>
      <c r="H190" s="12" t="str">
        <f t="shared" si="22"/>
      </c>
      <c r="I190" s="12" t="str">
        <f t="shared" si="17"/>
      </c>
      <c r="J190" s="11" t="str">
        <f t="shared" si="18"/>
      </c>
      <c r="K190" s="12" t="str">
        <f t="shared" si="23"/>
      </c>
      <c r="L190" s="13" t="str">
        <f>IF(H190="","",IFERROR(INDEX('Tipos BdE'!$B$7:$M$336,MATCH(DATE(YEAR(K190),MONTH(K190),1),'Tipos BdE'!$A$7:$A$336,1),MATCH($D$9,'Tipos BdE'!$B$6:$M$6,0)),0))</f>
      </c>
      <c r="M190" s="13" t="str">
        <f t="shared" si="19"/>
      </c>
      <c r="N190" s="13" t="str">
        <f t="shared" si="20"/>
      </c>
      <c r="O190" s="14" t="str">
        <f t="shared" si="21"/>
      </c>
      <c r="P190" s="14" t="str">
        <f>IF(H190="","",$D$5+SUM($O$5:O190))</f>
      </c>
    </row>
    <row r="191" spans="7:16" x14ac:dyDescent="0.35">
      <c r="G191" s="11" t="str">
        <f t="shared" si="16"/>
      </c>
      <c r="H191" s="12" t="str">
        <f t="shared" si="22"/>
      </c>
      <c r="I191" s="12" t="str">
        <f t="shared" si="17"/>
      </c>
      <c r="J191" s="11" t="str">
        <f t="shared" si="18"/>
      </c>
      <c r="K191" s="12" t="str">
        <f t="shared" si="23"/>
      </c>
      <c r="L191" s="13" t="str">
        <f>IF(H191="","",IFERROR(INDEX('Tipos BdE'!$B$7:$M$336,MATCH(DATE(YEAR(K191),MONTH(K191),1),'Tipos BdE'!$A$7:$A$336,1),MATCH($D$9,'Tipos BdE'!$B$6:$M$6,0)),0))</f>
      </c>
      <c r="M191" s="13" t="str">
        <f t="shared" si="19"/>
      </c>
      <c r="N191" s="13" t="str">
        <f t="shared" si="20"/>
      </c>
      <c r="O191" s="14" t="str">
        <f t="shared" si="21"/>
      </c>
      <c r="P191" s="14" t="str">
        <f>IF(H191="","",$D$5+SUM($O$5:O191))</f>
      </c>
    </row>
    <row r="192" spans="7:16" x14ac:dyDescent="0.35">
      <c r="G192" s="11" t="str">
        <f t="shared" si="16"/>
      </c>
      <c r="H192" s="12" t="str">
        <f t="shared" si="22"/>
      </c>
      <c r="I192" s="12" t="str">
        <f t="shared" si="17"/>
      </c>
      <c r="J192" s="11" t="str">
        <f t="shared" si="18"/>
      </c>
      <c r="K192" s="12" t="str">
        <f t="shared" si="23"/>
      </c>
      <c r="L192" s="13" t="str">
        <f>IF(H192="","",IFERROR(INDEX('Tipos BdE'!$B$7:$M$336,MATCH(DATE(YEAR(K192),MONTH(K192),1),'Tipos BdE'!$A$7:$A$336,1),MATCH($D$9,'Tipos BdE'!$B$6:$M$6,0)),0))</f>
      </c>
      <c r="M192" s="13" t="str">
        <f t="shared" si="19"/>
      </c>
      <c r="N192" s="13" t="str">
        <f t="shared" si="20"/>
      </c>
      <c r="O192" s="14" t="str">
        <f t="shared" si="21"/>
      </c>
      <c r="P192" s="14" t="str">
        <f>IF(H192="","",$D$5+SUM($O$5:O192))</f>
      </c>
    </row>
    <row r="193" spans="7:16" x14ac:dyDescent="0.35">
      <c r="G193" s="11" t="str">
        <f t="shared" si="16"/>
      </c>
      <c r="H193" s="12" t="str">
        <f t="shared" si="22"/>
      </c>
      <c r="I193" s="12" t="str">
        <f t="shared" si="17"/>
      </c>
      <c r="J193" s="11" t="str">
        <f t="shared" si="18"/>
      </c>
      <c r="K193" s="12" t="str">
        <f t="shared" si="23"/>
      </c>
      <c r="L193" s="13" t="str">
        <f>IF(H193="","",IFERROR(INDEX('Tipos BdE'!$B$7:$M$336,MATCH(DATE(YEAR(K193),MONTH(K193),1),'Tipos BdE'!$A$7:$A$336,1),MATCH($D$9,'Tipos BdE'!$B$6:$M$6,0)),0))</f>
      </c>
      <c r="M193" s="13" t="str">
        <f t="shared" si="19"/>
      </c>
      <c r="N193" s="13" t="str">
        <f t="shared" si="20"/>
      </c>
      <c r="O193" s="14" t="str">
        <f t="shared" si="21"/>
      </c>
      <c r="P193" s="14" t="str">
        <f>IF(H193="","",$D$5+SUM($O$5:O193))</f>
      </c>
    </row>
    <row r="194" spans="7:16" x14ac:dyDescent="0.35">
      <c r="G194" s="11" t="str">
        <f t="shared" si="16"/>
      </c>
      <c r="H194" s="12" t="str">
        <f t="shared" si="22"/>
      </c>
      <c r="I194" s="12" t="str">
        <f t="shared" si="17"/>
      </c>
      <c r="J194" s="11" t="str">
        <f t="shared" si="18"/>
      </c>
      <c r="K194" s="12" t="str">
        <f t="shared" si="23"/>
      </c>
      <c r="L194" s="13" t="str">
        <f>IF(H194="","",IFERROR(INDEX('Tipos BdE'!$B$7:$M$336,MATCH(DATE(YEAR(K194),MONTH(K194),1),'Tipos BdE'!$A$7:$A$336,1),MATCH($D$9,'Tipos BdE'!$B$6:$M$6,0)),0))</f>
      </c>
      <c r="M194" s="13" t="str">
        <f t="shared" si="19"/>
      </c>
      <c r="N194" s="13" t="str">
        <f t="shared" si="20"/>
      </c>
      <c r="O194" s="14" t="str">
        <f t="shared" si="21"/>
      </c>
      <c r="P194" s="14" t="str">
        <f>IF(H194="","",$D$5+SUM($O$5:O194))</f>
      </c>
    </row>
    <row r="195" spans="7:16" x14ac:dyDescent="0.35">
      <c r="G195" s="11" t="str">
        <f t="shared" si="16"/>
      </c>
      <c r="H195" s="12" t="str">
        <f t="shared" si="22"/>
      </c>
      <c r="I195" s="12" t="str">
        <f t="shared" si="17"/>
      </c>
      <c r="J195" s="11" t="str">
        <f t="shared" si="18"/>
      </c>
      <c r="K195" s="12" t="str">
        <f t="shared" si="23"/>
      </c>
      <c r="L195" s="13" t="str">
        <f>IF(H195="","",IFERROR(INDEX('Tipos BdE'!$B$7:$M$336,MATCH(DATE(YEAR(K195),MONTH(K195),1),'Tipos BdE'!$A$7:$A$336,1),MATCH($D$9,'Tipos BdE'!$B$6:$M$6,0)),0))</f>
      </c>
      <c r="M195" s="13" t="str">
        <f t="shared" si="19"/>
      </c>
      <c r="N195" s="13" t="str">
        <f t="shared" si="20"/>
      </c>
      <c r="O195" s="14" t="str">
        <f t="shared" si="21"/>
      </c>
      <c r="P195" s="14" t="str">
        <f>IF(H195="","",$D$5+SUM($O$5:O195))</f>
      </c>
    </row>
    <row r="196" spans="7:16" x14ac:dyDescent="0.35">
      <c r="G196" s="11" t="str">
        <f t="shared" si="16"/>
      </c>
      <c r="H196" s="12" t="str">
        <f t="shared" si="22"/>
      </c>
      <c r="I196" s="12" t="str">
        <f t="shared" si="17"/>
      </c>
      <c r="J196" s="11" t="str">
        <f t="shared" si="18"/>
      </c>
      <c r="K196" s="12" t="str">
        <f t="shared" si="23"/>
      </c>
      <c r="L196" s="13" t="str">
        <f>IF(H196="","",IFERROR(INDEX('Tipos BdE'!$B$7:$M$336,MATCH(DATE(YEAR(K196),MONTH(K196),1),'Tipos BdE'!$A$7:$A$336,1),MATCH($D$9,'Tipos BdE'!$B$6:$M$6,0)),0))</f>
      </c>
      <c r="M196" s="13" t="str">
        <f t="shared" si="19"/>
      </c>
      <c r="N196" s="13" t="str">
        <f t="shared" si="20"/>
      </c>
      <c r="O196" s="14" t="str">
        <f t="shared" si="21"/>
      </c>
      <c r="P196" s="14" t="str">
        <f>IF(H196="","",$D$5+SUM($O$5:O196))</f>
      </c>
    </row>
    <row r="197" spans="7:16" x14ac:dyDescent="0.35">
      <c r="G197" s="11" t="str">
        <f t="shared" ref="G197:G260" si="24">IF(H197="","",ROW()-4)</f>
      </c>
      <c r="H197" s="12" t="str">
        <f t="shared" si="22"/>
      </c>
      <c r="I197" s="12" t="str">
        <f t="shared" ref="I197:I260" si="25">IF(H197="","",MIN(IF($D$18="LEGAL",DATE(YEAR(H197)+1,1,1),EDATE($D$12,$D$11*(INT((((YEAR(H197)-YEAR($D$12))*12+(MONTH(H197)-MONTH($D$12))-IF(DAY(H197)&lt;DAY($D$12),1,0))/$D$11))+1))),$D$7))</f>
      </c>
      <c r="J197" s="11" t="str">
        <f t="shared" ref="J197:J260" si="26">IF(H197="","",I197-H197)</f>
      </c>
      <c r="K197" s="12" t="str">
        <f t="shared" si="23"/>
      </c>
      <c r="L197" s="13" t="str">
        <f>IF(H197="","",IFERROR(INDEX('Tipos BdE'!$B$7:$M$336,MATCH(DATE(YEAR(K197),MONTH(K197),1),'Tipos BdE'!$A$7:$A$336,1),MATCH($D$9,'Tipos BdE'!$B$6:$M$6,0)),0))</f>
      </c>
      <c r="M197" s="13" t="str">
        <f t="shared" ref="M197:M260" si="27">IF(H197="","",IF($D$18="LEGAL",0,$D$10))</f>
      </c>
      <c r="N197" s="13" t="str">
        <f t="shared" ref="N197:N260" si="28">IF(H197="","",IF(AND($D$14="Sí",(L197+M197)&lt;0),0,L197+M197))</f>
      </c>
      <c r="O197" s="14" t="str">
        <f t="shared" ref="O197:O260" si="29">IF(H197="","",$D$5*N197*J197/36500)</f>
      </c>
      <c r="P197" s="14" t="str">
        <f>IF(H197="","",$D$5+SUM($O$5:O197))</f>
      </c>
    </row>
    <row r="198" spans="7:16" x14ac:dyDescent="0.35">
      <c r="G198" s="11" t="str">
        <f t="shared" si="24"/>
      </c>
      <c r="H198" s="12" t="str">
        <f t="shared" ref="H198:H261" si="30">IF(OR(I197="",I197&gt;=$D$7),"",I197)</f>
      </c>
      <c r="I198" s="12" t="str">
        <f t="shared" si="25"/>
      </c>
      <c r="J198" s="11" t="str">
        <f t="shared" si="26"/>
      </c>
      <c r="K198" s="12" t="str">
        <f t="shared" ref="K198:K261" si="31">IF(H198="","",IF($D$18="LEGAL",H198,EDATE(H198,-$D$13)))</f>
      </c>
      <c r="L198" s="13" t="str">
        <f>IF(H198="","",IFERROR(INDEX('Tipos BdE'!$B$7:$M$336,MATCH(DATE(YEAR(K198),MONTH(K198),1),'Tipos BdE'!$A$7:$A$336,1),MATCH($D$9,'Tipos BdE'!$B$6:$M$6,0)),0))</f>
      </c>
      <c r="M198" s="13" t="str">
        <f t="shared" si="27"/>
      </c>
      <c r="N198" s="13" t="str">
        <f t="shared" si="28"/>
      </c>
      <c r="O198" s="14" t="str">
        <f t="shared" si="29"/>
      </c>
      <c r="P198" s="14" t="str">
        <f>IF(H198="","",$D$5+SUM($O$5:O198))</f>
      </c>
    </row>
    <row r="199" spans="7:16" x14ac:dyDescent="0.35">
      <c r="G199" s="11" t="str">
        <f t="shared" si="24"/>
      </c>
      <c r="H199" s="12" t="str">
        <f t="shared" si="30"/>
      </c>
      <c r="I199" s="12" t="str">
        <f t="shared" si="25"/>
      </c>
      <c r="J199" s="11" t="str">
        <f t="shared" si="26"/>
      </c>
      <c r="K199" s="12" t="str">
        <f t="shared" si="31"/>
      </c>
      <c r="L199" s="13" t="str">
        <f>IF(H199="","",IFERROR(INDEX('Tipos BdE'!$B$7:$M$336,MATCH(DATE(YEAR(K199),MONTH(K199),1),'Tipos BdE'!$A$7:$A$336,1),MATCH($D$9,'Tipos BdE'!$B$6:$M$6,0)),0))</f>
      </c>
      <c r="M199" s="13" t="str">
        <f t="shared" si="27"/>
      </c>
      <c r="N199" s="13" t="str">
        <f t="shared" si="28"/>
      </c>
      <c r="O199" s="14" t="str">
        <f t="shared" si="29"/>
      </c>
      <c r="P199" s="14" t="str">
        <f>IF(H199="","",$D$5+SUM($O$5:O199))</f>
      </c>
    </row>
    <row r="200" spans="7:16" x14ac:dyDescent="0.35">
      <c r="G200" s="11" t="str">
        <f t="shared" si="24"/>
      </c>
      <c r="H200" s="12" t="str">
        <f t="shared" si="30"/>
      </c>
      <c r="I200" s="12" t="str">
        <f t="shared" si="25"/>
      </c>
      <c r="J200" s="11" t="str">
        <f t="shared" si="26"/>
      </c>
      <c r="K200" s="12" t="str">
        <f t="shared" si="31"/>
      </c>
      <c r="L200" s="13" t="str">
        <f>IF(H200="","",IFERROR(INDEX('Tipos BdE'!$B$7:$M$336,MATCH(DATE(YEAR(K200),MONTH(K200),1),'Tipos BdE'!$A$7:$A$336,1),MATCH($D$9,'Tipos BdE'!$B$6:$M$6,0)),0))</f>
      </c>
      <c r="M200" s="13" t="str">
        <f t="shared" si="27"/>
      </c>
      <c r="N200" s="13" t="str">
        <f t="shared" si="28"/>
      </c>
      <c r="O200" s="14" t="str">
        <f t="shared" si="29"/>
      </c>
      <c r="P200" s="14" t="str">
        <f>IF(H200="","",$D$5+SUM($O$5:O200))</f>
      </c>
    </row>
    <row r="201" spans="7:16" x14ac:dyDescent="0.35">
      <c r="G201" s="11" t="str">
        <f t="shared" si="24"/>
      </c>
      <c r="H201" s="12" t="str">
        <f t="shared" si="30"/>
      </c>
      <c r="I201" s="12" t="str">
        <f t="shared" si="25"/>
      </c>
      <c r="J201" s="11" t="str">
        <f t="shared" si="26"/>
      </c>
      <c r="K201" s="12" t="str">
        <f t="shared" si="31"/>
      </c>
      <c r="L201" s="13" t="str">
        <f>IF(H201="","",IFERROR(INDEX('Tipos BdE'!$B$7:$M$336,MATCH(DATE(YEAR(K201),MONTH(K201),1),'Tipos BdE'!$A$7:$A$336,1),MATCH($D$9,'Tipos BdE'!$B$6:$M$6,0)),0))</f>
      </c>
      <c r="M201" s="13" t="str">
        <f t="shared" si="27"/>
      </c>
      <c r="N201" s="13" t="str">
        <f t="shared" si="28"/>
      </c>
      <c r="O201" s="14" t="str">
        <f t="shared" si="29"/>
      </c>
      <c r="P201" s="14" t="str">
        <f>IF(H201="","",$D$5+SUM($O$5:O201))</f>
      </c>
    </row>
    <row r="202" spans="7:16" x14ac:dyDescent="0.35">
      <c r="G202" s="11" t="str">
        <f t="shared" si="24"/>
      </c>
      <c r="H202" s="12" t="str">
        <f t="shared" si="30"/>
      </c>
      <c r="I202" s="12" t="str">
        <f t="shared" si="25"/>
      </c>
      <c r="J202" s="11" t="str">
        <f t="shared" si="26"/>
      </c>
      <c r="K202" s="12" t="str">
        <f t="shared" si="31"/>
      </c>
      <c r="L202" s="13" t="str">
        <f>IF(H202="","",IFERROR(INDEX('Tipos BdE'!$B$7:$M$336,MATCH(DATE(YEAR(K202),MONTH(K202),1),'Tipos BdE'!$A$7:$A$336,1),MATCH($D$9,'Tipos BdE'!$B$6:$M$6,0)),0))</f>
      </c>
      <c r="M202" s="13" t="str">
        <f t="shared" si="27"/>
      </c>
      <c r="N202" s="13" t="str">
        <f t="shared" si="28"/>
      </c>
      <c r="O202" s="14" t="str">
        <f t="shared" si="29"/>
      </c>
      <c r="P202" s="14" t="str">
        <f>IF(H202="","",$D$5+SUM($O$5:O202))</f>
      </c>
    </row>
    <row r="203" spans="7:16" x14ac:dyDescent="0.35">
      <c r="G203" s="11" t="str">
        <f t="shared" si="24"/>
      </c>
      <c r="H203" s="12" t="str">
        <f t="shared" si="30"/>
      </c>
      <c r="I203" s="12" t="str">
        <f t="shared" si="25"/>
      </c>
      <c r="J203" s="11" t="str">
        <f t="shared" si="26"/>
      </c>
      <c r="K203" s="12" t="str">
        <f t="shared" si="31"/>
      </c>
      <c r="L203" s="13" t="str">
        <f>IF(H203="","",IFERROR(INDEX('Tipos BdE'!$B$7:$M$336,MATCH(DATE(YEAR(K203),MONTH(K203),1),'Tipos BdE'!$A$7:$A$336,1),MATCH($D$9,'Tipos BdE'!$B$6:$M$6,0)),0))</f>
      </c>
      <c r="M203" s="13" t="str">
        <f t="shared" si="27"/>
      </c>
      <c r="N203" s="13" t="str">
        <f t="shared" si="28"/>
      </c>
      <c r="O203" s="14" t="str">
        <f t="shared" si="29"/>
      </c>
      <c r="P203" s="14" t="str">
        <f>IF(H203="","",$D$5+SUM($O$5:O203))</f>
      </c>
    </row>
    <row r="204" spans="7:16" x14ac:dyDescent="0.35">
      <c r="G204" s="11" t="str">
        <f t="shared" si="24"/>
      </c>
      <c r="H204" s="12" t="str">
        <f t="shared" si="30"/>
      </c>
      <c r="I204" s="12" t="str">
        <f t="shared" si="25"/>
      </c>
      <c r="J204" s="11" t="str">
        <f t="shared" si="26"/>
      </c>
      <c r="K204" s="12" t="str">
        <f t="shared" si="31"/>
      </c>
      <c r="L204" s="13" t="str">
        <f>IF(H204="","",IFERROR(INDEX('Tipos BdE'!$B$7:$M$336,MATCH(DATE(YEAR(K204),MONTH(K204),1),'Tipos BdE'!$A$7:$A$336,1),MATCH($D$9,'Tipos BdE'!$B$6:$M$6,0)),0))</f>
      </c>
      <c r="M204" s="13" t="str">
        <f t="shared" si="27"/>
      </c>
      <c r="N204" s="13" t="str">
        <f t="shared" si="28"/>
      </c>
      <c r="O204" s="14" t="str">
        <f t="shared" si="29"/>
      </c>
      <c r="P204" s="14" t="str">
        <f>IF(H204="","",$D$5+SUM($O$5:O204))</f>
      </c>
    </row>
    <row r="205" spans="7:16" x14ac:dyDescent="0.35">
      <c r="G205" s="11" t="str">
        <f t="shared" si="24"/>
      </c>
      <c r="H205" s="12" t="str">
        <f t="shared" si="30"/>
      </c>
      <c r="I205" s="12" t="str">
        <f t="shared" si="25"/>
      </c>
      <c r="J205" s="11" t="str">
        <f t="shared" si="26"/>
      </c>
      <c r="K205" s="12" t="str">
        <f t="shared" si="31"/>
      </c>
      <c r="L205" s="13" t="str">
        <f>IF(H205="","",IFERROR(INDEX('Tipos BdE'!$B$7:$M$336,MATCH(DATE(YEAR(K205),MONTH(K205),1),'Tipos BdE'!$A$7:$A$336,1),MATCH($D$9,'Tipos BdE'!$B$6:$M$6,0)),0))</f>
      </c>
      <c r="M205" s="13" t="str">
        <f t="shared" si="27"/>
      </c>
      <c r="N205" s="13" t="str">
        <f t="shared" si="28"/>
      </c>
      <c r="O205" s="14" t="str">
        <f t="shared" si="29"/>
      </c>
      <c r="P205" s="14" t="str">
        <f>IF(H205="","",$D$5+SUM($O$5:O205))</f>
      </c>
    </row>
    <row r="206" spans="7:16" x14ac:dyDescent="0.35">
      <c r="G206" s="11" t="str">
        <f t="shared" si="24"/>
      </c>
      <c r="H206" s="12" t="str">
        <f t="shared" si="30"/>
      </c>
      <c r="I206" s="12" t="str">
        <f t="shared" si="25"/>
      </c>
      <c r="J206" s="11" t="str">
        <f t="shared" si="26"/>
      </c>
      <c r="K206" s="12" t="str">
        <f t="shared" si="31"/>
      </c>
      <c r="L206" s="13" t="str">
        <f>IF(H206="","",IFERROR(INDEX('Tipos BdE'!$B$7:$M$336,MATCH(DATE(YEAR(K206),MONTH(K206),1),'Tipos BdE'!$A$7:$A$336,1),MATCH($D$9,'Tipos BdE'!$B$6:$M$6,0)),0))</f>
      </c>
      <c r="M206" s="13" t="str">
        <f t="shared" si="27"/>
      </c>
      <c r="N206" s="13" t="str">
        <f t="shared" si="28"/>
      </c>
      <c r="O206" s="14" t="str">
        <f t="shared" si="29"/>
      </c>
      <c r="P206" s="14" t="str">
        <f>IF(H206="","",$D$5+SUM($O$5:O206))</f>
      </c>
    </row>
    <row r="207" spans="7:16" x14ac:dyDescent="0.35">
      <c r="G207" s="11" t="str">
        <f t="shared" si="24"/>
      </c>
      <c r="H207" s="12" t="str">
        <f t="shared" si="30"/>
      </c>
      <c r="I207" s="12" t="str">
        <f t="shared" si="25"/>
      </c>
      <c r="J207" s="11" t="str">
        <f t="shared" si="26"/>
      </c>
      <c r="K207" s="12" t="str">
        <f t="shared" si="31"/>
      </c>
      <c r="L207" s="13" t="str">
        <f>IF(H207="","",IFERROR(INDEX('Tipos BdE'!$B$7:$M$336,MATCH(DATE(YEAR(K207),MONTH(K207),1),'Tipos BdE'!$A$7:$A$336,1),MATCH($D$9,'Tipos BdE'!$B$6:$M$6,0)),0))</f>
      </c>
      <c r="M207" s="13" t="str">
        <f t="shared" si="27"/>
      </c>
      <c r="N207" s="13" t="str">
        <f t="shared" si="28"/>
      </c>
      <c r="O207" s="14" t="str">
        <f t="shared" si="29"/>
      </c>
      <c r="P207" s="14" t="str">
        <f>IF(H207="","",$D$5+SUM($O$5:O207))</f>
      </c>
    </row>
    <row r="208" spans="7:16" x14ac:dyDescent="0.35">
      <c r="G208" s="11" t="str">
        <f t="shared" si="24"/>
      </c>
      <c r="H208" s="12" t="str">
        <f t="shared" si="30"/>
      </c>
      <c r="I208" s="12" t="str">
        <f t="shared" si="25"/>
      </c>
      <c r="J208" s="11" t="str">
        <f t="shared" si="26"/>
      </c>
      <c r="K208" s="12" t="str">
        <f t="shared" si="31"/>
      </c>
      <c r="L208" s="13" t="str">
        <f>IF(H208="","",IFERROR(INDEX('Tipos BdE'!$B$7:$M$336,MATCH(DATE(YEAR(K208),MONTH(K208),1),'Tipos BdE'!$A$7:$A$336,1),MATCH($D$9,'Tipos BdE'!$B$6:$M$6,0)),0))</f>
      </c>
      <c r="M208" s="13" t="str">
        <f t="shared" si="27"/>
      </c>
      <c r="N208" s="13" t="str">
        <f t="shared" si="28"/>
      </c>
      <c r="O208" s="14" t="str">
        <f t="shared" si="29"/>
      </c>
      <c r="P208" s="14" t="str">
        <f>IF(H208="","",$D$5+SUM($O$5:O208))</f>
      </c>
    </row>
    <row r="209" spans="7:16" x14ac:dyDescent="0.35">
      <c r="G209" s="11" t="str">
        <f t="shared" si="24"/>
      </c>
      <c r="H209" s="12" t="str">
        <f t="shared" si="30"/>
      </c>
      <c r="I209" s="12" t="str">
        <f t="shared" si="25"/>
      </c>
      <c r="J209" s="11" t="str">
        <f t="shared" si="26"/>
      </c>
      <c r="K209" s="12" t="str">
        <f t="shared" si="31"/>
      </c>
      <c r="L209" s="13" t="str">
        <f>IF(H209="","",IFERROR(INDEX('Tipos BdE'!$B$7:$M$336,MATCH(DATE(YEAR(K209),MONTH(K209),1),'Tipos BdE'!$A$7:$A$336,1),MATCH($D$9,'Tipos BdE'!$B$6:$M$6,0)),0))</f>
      </c>
      <c r="M209" s="13" t="str">
        <f t="shared" si="27"/>
      </c>
      <c r="N209" s="13" t="str">
        <f t="shared" si="28"/>
      </c>
      <c r="O209" s="14" t="str">
        <f t="shared" si="29"/>
      </c>
      <c r="P209" s="14" t="str">
        <f>IF(H209="","",$D$5+SUM($O$5:O209))</f>
      </c>
    </row>
    <row r="210" spans="7:16" x14ac:dyDescent="0.35">
      <c r="G210" s="11" t="str">
        <f t="shared" si="24"/>
      </c>
      <c r="H210" s="12" t="str">
        <f t="shared" si="30"/>
      </c>
      <c r="I210" s="12" t="str">
        <f t="shared" si="25"/>
      </c>
      <c r="J210" s="11" t="str">
        <f t="shared" si="26"/>
      </c>
      <c r="K210" s="12" t="str">
        <f t="shared" si="31"/>
      </c>
      <c r="L210" s="13" t="str">
        <f>IF(H210="","",IFERROR(INDEX('Tipos BdE'!$B$7:$M$336,MATCH(DATE(YEAR(K210),MONTH(K210),1),'Tipos BdE'!$A$7:$A$336,1),MATCH($D$9,'Tipos BdE'!$B$6:$M$6,0)),0))</f>
      </c>
      <c r="M210" s="13" t="str">
        <f t="shared" si="27"/>
      </c>
      <c r="N210" s="13" t="str">
        <f t="shared" si="28"/>
      </c>
      <c r="O210" s="14" t="str">
        <f t="shared" si="29"/>
      </c>
      <c r="P210" s="14" t="str">
        <f>IF(H210="","",$D$5+SUM($O$5:O210))</f>
      </c>
    </row>
    <row r="211" spans="7:16" x14ac:dyDescent="0.35">
      <c r="G211" s="11" t="str">
        <f t="shared" si="24"/>
      </c>
      <c r="H211" s="12" t="str">
        <f t="shared" si="30"/>
      </c>
      <c r="I211" s="12" t="str">
        <f t="shared" si="25"/>
      </c>
      <c r="J211" s="11" t="str">
        <f t="shared" si="26"/>
      </c>
      <c r="K211" s="12" t="str">
        <f t="shared" si="31"/>
      </c>
      <c r="L211" s="13" t="str">
        <f>IF(H211="","",IFERROR(INDEX('Tipos BdE'!$B$7:$M$336,MATCH(DATE(YEAR(K211),MONTH(K211),1),'Tipos BdE'!$A$7:$A$336,1),MATCH($D$9,'Tipos BdE'!$B$6:$M$6,0)),0))</f>
      </c>
      <c r="M211" s="13" t="str">
        <f t="shared" si="27"/>
      </c>
      <c r="N211" s="13" t="str">
        <f t="shared" si="28"/>
      </c>
      <c r="O211" s="14" t="str">
        <f t="shared" si="29"/>
      </c>
      <c r="P211" s="14" t="str">
        <f>IF(H211="","",$D$5+SUM($O$5:O211))</f>
      </c>
    </row>
    <row r="212" spans="7:16" x14ac:dyDescent="0.35">
      <c r="G212" s="11" t="str">
        <f t="shared" si="24"/>
      </c>
      <c r="H212" s="12" t="str">
        <f t="shared" si="30"/>
      </c>
      <c r="I212" s="12" t="str">
        <f t="shared" si="25"/>
      </c>
      <c r="J212" s="11" t="str">
        <f t="shared" si="26"/>
      </c>
      <c r="K212" s="12" t="str">
        <f t="shared" si="31"/>
      </c>
      <c r="L212" s="13" t="str">
        <f>IF(H212="","",IFERROR(INDEX('Tipos BdE'!$B$7:$M$336,MATCH(DATE(YEAR(K212),MONTH(K212),1),'Tipos BdE'!$A$7:$A$336,1),MATCH($D$9,'Tipos BdE'!$B$6:$M$6,0)),0))</f>
      </c>
      <c r="M212" s="13" t="str">
        <f t="shared" si="27"/>
      </c>
      <c r="N212" s="13" t="str">
        <f t="shared" si="28"/>
      </c>
      <c r="O212" s="14" t="str">
        <f t="shared" si="29"/>
      </c>
      <c r="P212" s="14" t="str">
        <f>IF(H212="","",$D$5+SUM($O$5:O212))</f>
      </c>
    </row>
    <row r="213" spans="7:16" x14ac:dyDescent="0.35">
      <c r="G213" s="11" t="str">
        <f t="shared" si="24"/>
      </c>
      <c r="H213" s="12" t="str">
        <f t="shared" si="30"/>
      </c>
      <c r="I213" s="12" t="str">
        <f t="shared" si="25"/>
      </c>
      <c r="J213" s="11" t="str">
        <f t="shared" si="26"/>
      </c>
      <c r="K213" s="12" t="str">
        <f t="shared" si="31"/>
      </c>
      <c r="L213" s="13" t="str">
        <f>IF(H213="","",IFERROR(INDEX('Tipos BdE'!$B$7:$M$336,MATCH(DATE(YEAR(K213),MONTH(K213),1),'Tipos BdE'!$A$7:$A$336,1),MATCH($D$9,'Tipos BdE'!$B$6:$M$6,0)),0))</f>
      </c>
      <c r="M213" s="13" t="str">
        <f t="shared" si="27"/>
      </c>
      <c r="N213" s="13" t="str">
        <f t="shared" si="28"/>
      </c>
      <c r="O213" s="14" t="str">
        <f t="shared" si="29"/>
      </c>
      <c r="P213" s="14" t="str">
        <f>IF(H213="","",$D$5+SUM($O$5:O213))</f>
      </c>
    </row>
    <row r="214" spans="7:16" x14ac:dyDescent="0.35">
      <c r="G214" s="11" t="str">
        <f t="shared" si="24"/>
      </c>
      <c r="H214" s="12" t="str">
        <f t="shared" si="30"/>
      </c>
      <c r="I214" s="12" t="str">
        <f t="shared" si="25"/>
      </c>
      <c r="J214" s="11" t="str">
        <f t="shared" si="26"/>
      </c>
      <c r="K214" s="12" t="str">
        <f t="shared" si="31"/>
      </c>
      <c r="L214" s="13" t="str">
        <f>IF(H214="","",IFERROR(INDEX('Tipos BdE'!$B$7:$M$336,MATCH(DATE(YEAR(K214),MONTH(K214),1),'Tipos BdE'!$A$7:$A$336,1),MATCH($D$9,'Tipos BdE'!$B$6:$M$6,0)),0))</f>
      </c>
      <c r="M214" s="13" t="str">
        <f t="shared" si="27"/>
      </c>
      <c r="N214" s="13" t="str">
        <f t="shared" si="28"/>
      </c>
      <c r="O214" s="14" t="str">
        <f t="shared" si="29"/>
      </c>
      <c r="P214" s="14" t="str">
        <f>IF(H214="","",$D$5+SUM($O$5:O214))</f>
      </c>
    </row>
    <row r="215" spans="7:16" x14ac:dyDescent="0.35">
      <c r="G215" s="11" t="str">
        <f t="shared" si="24"/>
      </c>
      <c r="H215" s="12" t="str">
        <f t="shared" si="30"/>
      </c>
      <c r="I215" s="12" t="str">
        <f t="shared" si="25"/>
      </c>
      <c r="J215" s="11" t="str">
        <f t="shared" si="26"/>
      </c>
      <c r="K215" s="12" t="str">
        <f t="shared" si="31"/>
      </c>
      <c r="L215" s="13" t="str">
        <f>IF(H215="","",IFERROR(INDEX('Tipos BdE'!$B$7:$M$336,MATCH(DATE(YEAR(K215),MONTH(K215),1),'Tipos BdE'!$A$7:$A$336,1),MATCH($D$9,'Tipos BdE'!$B$6:$M$6,0)),0))</f>
      </c>
      <c r="M215" s="13" t="str">
        <f t="shared" si="27"/>
      </c>
      <c r="N215" s="13" t="str">
        <f t="shared" si="28"/>
      </c>
      <c r="O215" s="14" t="str">
        <f t="shared" si="29"/>
      </c>
      <c r="P215" s="14" t="str">
        <f>IF(H215="","",$D$5+SUM($O$5:O215))</f>
      </c>
    </row>
    <row r="216" spans="7:16" x14ac:dyDescent="0.35">
      <c r="G216" s="11" t="str">
        <f t="shared" si="24"/>
      </c>
      <c r="H216" s="12" t="str">
        <f t="shared" si="30"/>
      </c>
      <c r="I216" s="12" t="str">
        <f t="shared" si="25"/>
      </c>
      <c r="J216" s="11" t="str">
        <f t="shared" si="26"/>
      </c>
      <c r="K216" s="12" t="str">
        <f t="shared" si="31"/>
      </c>
      <c r="L216" s="13" t="str">
        <f>IF(H216="","",IFERROR(INDEX('Tipos BdE'!$B$7:$M$336,MATCH(DATE(YEAR(K216),MONTH(K216),1),'Tipos BdE'!$A$7:$A$336,1),MATCH($D$9,'Tipos BdE'!$B$6:$M$6,0)),0))</f>
      </c>
      <c r="M216" s="13" t="str">
        <f t="shared" si="27"/>
      </c>
      <c r="N216" s="13" t="str">
        <f t="shared" si="28"/>
      </c>
      <c r="O216" s="14" t="str">
        <f t="shared" si="29"/>
      </c>
      <c r="P216" s="14" t="str">
        <f>IF(H216="","",$D$5+SUM($O$5:O216))</f>
      </c>
    </row>
    <row r="217" spans="7:16" x14ac:dyDescent="0.35">
      <c r="G217" s="11" t="str">
        <f t="shared" si="24"/>
      </c>
      <c r="H217" s="12" t="str">
        <f t="shared" si="30"/>
      </c>
      <c r="I217" s="12" t="str">
        <f t="shared" si="25"/>
      </c>
      <c r="J217" s="11" t="str">
        <f t="shared" si="26"/>
      </c>
      <c r="K217" s="12" t="str">
        <f t="shared" si="31"/>
      </c>
      <c r="L217" s="13" t="str">
        <f>IF(H217="","",IFERROR(INDEX('Tipos BdE'!$B$7:$M$336,MATCH(DATE(YEAR(K217),MONTH(K217),1),'Tipos BdE'!$A$7:$A$336,1),MATCH($D$9,'Tipos BdE'!$B$6:$M$6,0)),0))</f>
      </c>
      <c r="M217" s="13" t="str">
        <f t="shared" si="27"/>
      </c>
      <c r="N217" s="13" t="str">
        <f t="shared" si="28"/>
      </c>
      <c r="O217" s="14" t="str">
        <f t="shared" si="29"/>
      </c>
      <c r="P217" s="14" t="str">
        <f>IF(H217="","",$D$5+SUM($O$5:O217))</f>
      </c>
    </row>
    <row r="218" spans="7:16" x14ac:dyDescent="0.35">
      <c r="G218" s="11" t="str">
        <f t="shared" si="24"/>
      </c>
      <c r="H218" s="12" t="str">
        <f t="shared" si="30"/>
      </c>
      <c r="I218" s="12" t="str">
        <f t="shared" si="25"/>
      </c>
      <c r="J218" s="11" t="str">
        <f t="shared" si="26"/>
      </c>
      <c r="K218" s="12" t="str">
        <f t="shared" si="31"/>
      </c>
      <c r="L218" s="13" t="str">
        <f>IF(H218="","",IFERROR(INDEX('Tipos BdE'!$B$7:$M$336,MATCH(DATE(YEAR(K218),MONTH(K218),1),'Tipos BdE'!$A$7:$A$336,1),MATCH($D$9,'Tipos BdE'!$B$6:$M$6,0)),0))</f>
      </c>
      <c r="M218" s="13" t="str">
        <f t="shared" si="27"/>
      </c>
      <c r="N218" s="13" t="str">
        <f t="shared" si="28"/>
      </c>
      <c r="O218" s="14" t="str">
        <f t="shared" si="29"/>
      </c>
      <c r="P218" s="14" t="str">
        <f>IF(H218="","",$D$5+SUM($O$5:O218))</f>
      </c>
    </row>
    <row r="219" spans="7:16" x14ac:dyDescent="0.35">
      <c r="G219" s="11" t="str">
        <f t="shared" si="24"/>
      </c>
      <c r="H219" s="12" t="str">
        <f t="shared" si="30"/>
      </c>
      <c r="I219" s="12" t="str">
        <f t="shared" si="25"/>
      </c>
      <c r="J219" s="11" t="str">
        <f t="shared" si="26"/>
      </c>
      <c r="K219" s="12" t="str">
        <f t="shared" si="31"/>
      </c>
      <c r="L219" s="13" t="str">
        <f>IF(H219="","",IFERROR(INDEX('Tipos BdE'!$B$7:$M$336,MATCH(DATE(YEAR(K219),MONTH(K219),1),'Tipos BdE'!$A$7:$A$336,1),MATCH($D$9,'Tipos BdE'!$B$6:$M$6,0)),0))</f>
      </c>
      <c r="M219" s="13" t="str">
        <f t="shared" si="27"/>
      </c>
      <c r="N219" s="13" t="str">
        <f t="shared" si="28"/>
      </c>
      <c r="O219" s="14" t="str">
        <f t="shared" si="29"/>
      </c>
      <c r="P219" s="14" t="str">
        <f>IF(H219="","",$D$5+SUM($O$5:O219))</f>
      </c>
    </row>
    <row r="220" spans="7:16" x14ac:dyDescent="0.35">
      <c r="G220" s="11" t="str">
        <f t="shared" si="24"/>
      </c>
      <c r="H220" s="12" t="str">
        <f t="shared" si="30"/>
      </c>
      <c r="I220" s="12" t="str">
        <f t="shared" si="25"/>
      </c>
      <c r="J220" s="11" t="str">
        <f t="shared" si="26"/>
      </c>
      <c r="K220" s="12" t="str">
        <f t="shared" si="31"/>
      </c>
      <c r="L220" s="13" t="str">
        <f>IF(H220="","",IFERROR(INDEX('Tipos BdE'!$B$7:$M$336,MATCH(DATE(YEAR(K220),MONTH(K220),1),'Tipos BdE'!$A$7:$A$336,1),MATCH($D$9,'Tipos BdE'!$B$6:$M$6,0)),0))</f>
      </c>
      <c r="M220" s="13" t="str">
        <f t="shared" si="27"/>
      </c>
      <c r="N220" s="13" t="str">
        <f t="shared" si="28"/>
      </c>
      <c r="O220" s="14" t="str">
        <f t="shared" si="29"/>
      </c>
      <c r="P220" s="14" t="str">
        <f>IF(H220="","",$D$5+SUM($O$5:O220))</f>
      </c>
    </row>
    <row r="221" spans="7:16" x14ac:dyDescent="0.35">
      <c r="G221" s="11" t="str">
        <f t="shared" si="24"/>
      </c>
      <c r="H221" s="12" t="str">
        <f t="shared" si="30"/>
      </c>
      <c r="I221" s="12" t="str">
        <f t="shared" si="25"/>
      </c>
      <c r="J221" s="11" t="str">
        <f t="shared" si="26"/>
      </c>
      <c r="K221" s="12" t="str">
        <f t="shared" si="31"/>
      </c>
      <c r="L221" s="13" t="str">
        <f>IF(H221="","",IFERROR(INDEX('Tipos BdE'!$B$7:$M$336,MATCH(DATE(YEAR(K221),MONTH(K221),1),'Tipos BdE'!$A$7:$A$336,1),MATCH($D$9,'Tipos BdE'!$B$6:$M$6,0)),0))</f>
      </c>
      <c r="M221" s="13" t="str">
        <f t="shared" si="27"/>
      </c>
      <c r="N221" s="13" t="str">
        <f t="shared" si="28"/>
      </c>
      <c r="O221" s="14" t="str">
        <f t="shared" si="29"/>
      </c>
      <c r="P221" s="14" t="str">
        <f>IF(H221="","",$D$5+SUM($O$5:O221))</f>
      </c>
    </row>
    <row r="222" spans="7:16" x14ac:dyDescent="0.35">
      <c r="G222" s="11" t="str">
        <f t="shared" si="24"/>
      </c>
      <c r="H222" s="12" t="str">
        <f t="shared" si="30"/>
      </c>
      <c r="I222" s="12" t="str">
        <f t="shared" si="25"/>
      </c>
      <c r="J222" s="11" t="str">
        <f t="shared" si="26"/>
      </c>
      <c r="K222" s="12" t="str">
        <f t="shared" si="31"/>
      </c>
      <c r="L222" s="13" t="str">
        <f>IF(H222="","",IFERROR(INDEX('Tipos BdE'!$B$7:$M$336,MATCH(DATE(YEAR(K222),MONTH(K222),1),'Tipos BdE'!$A$7:$A$336,1),MATCH($D$9,'Tipos BdE'!$B$6:$M$6,0)),0))</f>
      </c>
      <c r="M222" s="13" t="str">
        <f t="shared" si="27"/>
      </c>
      <c r="N222" s="13" t="str">
        <f t="shared" si="28"/>
      </c>
      <c r="O222" s="14" t="str">
        <f t="shared" si="29"/>
      </c>
      <c r="P222" s="14" t="str">
        <f>IF(H222="","",$D$5+SUM($O$5:O222))</f>
      </c>
    </row>
    <row r="223" spans="7:16" x14ac:dyDescent="0.35">
      <c r="G223" s="11" t="str">
        <f t="shared" si="24"/>
      </c>
      <c r="H223" s="12" t="str">
        <f t="shared" si="30"/>
      </c>
      <c r="I223" s="12" t="str">
        <f t="shared" si="25"/>
      </c>
      <c r="J223" s="11" t="str">
        <f t="shared" si="26"/>
      </c>
      <c r="K223" s="12" t="str">
        <f t="shared" si="31"/>
      </c>
      <c r="L223" s="13" t="str">
        <f>IF(H223="","",IFERROR(INDEX('Tipos BdE'!$B$7:$M$336,MATCH(DATE(YEAR(K223),MONTH(K223),1),'Tipos BdE'!$A$7:$A$336,1),MATCH($D$9,'Tipos BdE'!$B$6:$M$6,0)),0))</f>
      </c>
      <c r="M223" s="13" t="str">
        <f t="shared" si="27"/>
      </c>
      <c r="N223" s="13" t="str">
        <f t="shared" si="28"/>
      </c>
      <c r="O223" s="14" t="str">
        <f t="shared" si="29"/>
      </c>
      <c r="P223" s="14" t="str">
        <f>IF(H223="","",$D$5+SUM($O$5:O223))</f>
      </c>
    </row>
    <row r="224" spans="7:16" x14ac:dyDescent="0.35">
      <c r="G224" s="11" t="str">
        <f t="shared" si="24"/>
      </c>
      <c r="H224" s="12" t="str">
        <f t="shared" si="30"/>
      </c>
      <c r="I224" s="12" t="str">
        <f t="shared" si="25"/>
      </c>
      <c r="J224" s="11" t="str">
        <f t="shared" si="26"/>
      </c>
      <c r="K224" s="12" t="str">
        <f t="shared" si="31"/>
      </c>
      <c r="L224" s="13" t="str">
        <f>IF(H224="","",IFERROR(INDEX('Tipos BdE'!$B$7:$M$336,MATCH(DATE(YEAR(K224),MONTH(K224),1),'Tipos BdE'!$A$7:$A$336,1),MATCH($D$9,'Tipos BdE'!$B$6:$M$6,0)),0))</f>
      </c>
      <c r="M224" s="13" t="str">
        <f t="shared" si="27"/>
      </c>
      <c r="N224" s="13" t="str">
        <f t="shared" si="28"/>
      </c>
      <c r="O224" s="14" t="str">
        <f t="shared" si="29"/>
      </c>
      <c r="P224" s="14" t="str">
        <f>IF(H224="","",$D$5+SUM($O$5:O224))</f>
      </c>
    </row>
    <row r="225" spans="7:16" x14ac:dyDescent="0.35">
      <c r="G225" s="11" t="str">
        <f t="shared" si="24"/>
      </c>
      <c r="H225" s="12" t="str">
        <f t="shared" si="30"/>
      </c>
      <c r="I225" s="12" t="str">
        <f t="shared" si="25"/>
      </c>
      <c r="J225" s="11" t="str">
        <f t="shared" si="26"/>
      </c>
      <c r="K225" s="12" t="str">
        <f t="shared" si="31"/>
      </c>
      <c r="L225" s="13" t="str">
        <f>IF(H225="","",IFERROR(INDEX('Tipos BdE'!$B$7:$M$336,MATCH(DATE(YEAR(K225),MONTH(K225),1),'Tipos BdE'!$A$7:$A$336,1),MATCH($D$9,'Tipos BdE'!$B$6:$M$6,0)),0))</f>
      </c>
      <c r="M225" s="13" t="str">
        <f t="shared" si="27"/>
      </c>
      <c r="N225" s="13" t="str">
        <f t="shared" si="28"/>
      </c>
      <c r="O225" s="14" t="str">
        <f t="shared" si="29"/>
      </c>
      <c r="P225" s="14" t="str">
        <f>IF(H225="","",$D$5+SUM($O$5:O225))</f>
      </c>
    </row>
    <row r="226" spans="7:16" x14ac:dyDescent="0.35">
      <c r="G226" s="11" t="str">
        <f t="shared" si="24"/>
      </c>
      <c r="H226" s="12" t="str">
        <f t="shared" si="30"/>
      </c>
      <c r="I226" s="12" t="str">
        <f t="shared" si="25"/>
      </c>
      <c r="J226" s="11" t="str">
        <f t="shared" si="26"/>
      </c>
      <c r="K226" s="12" t="str">
        <f t="shared" si="31"/>
      </c>
      <c r="L226" s="13" t="str">
        <f>IF(H226="","",IFERROR(INDEX('Tipos BdE'!$B$7:$M$336,MATCH(DATE(YEAR(K226),MONTH(K226),1),'Tipos BdE'!$A$7:$A$336,1),MATCH($D$9,'Tipos BdE'!$B$6:$M$6,0)),0))</f>
      </c>
      <c r="M226" s="13" t="str">
        <f t="shared" si="27"/>
      </c>
      <c r="N226" s="13" t="str">
        <f t="shared" si="28"/>
      </c>
      <c r="O226" s="14" t="str">
        <f t="shared" si="29"/>
      </c>
      <c r="P226" s="14" t="str">
        <f>IF(H226="","",$D$5+SUM($O$5:O226))</f>
      </c>
    </row>
    <row r="227" spans="7:16" x14ac:dyDescent="0.35">
      <c r="G227" s="11" t="str">
        <f t="shared" si="24"/>
      </c>
      <c r="H227" s="12" t="str">
        <f t="shared" si="30"/>
      </c>
      <c r="I227" s="12" t="str">
        <f t="shared" si="25"/>
      </c>
      <c r="J227" s="11" t="str">
        <f t="shared" si="26"/>
      </c>
      <c r="K227" s="12" t="str">
        <f t="shared" si="31"/>
      </c>
      <c r="L227" s="13" t="str">
        <f>IF(H227="","",IFERROR(INDEX('Tipos BdE'!$B$7:$M$336,MATCH(DATE(YEAR(K227),MONTH(K227),1),'Tipos BdE'!$A$7:$A$336,1),MATCH($D$9,'Tipos BdE'!$B$6:$M$6,0)),0))</f>
      </c>
      <c r="M227" s="13" t="str">
        <f t="shared" si="27"/>
      </c>
      <c r="N227" s="13" t="str">
        <f t="shared" si="28"/>
      </c>
      <c r="O227" s="14" t="str">
        <f t="shared" si="29"/>
      </c>
      <c r="P227" s="14" t="str">
        <f>IF(H227="","",$D$5+SUM($O$5:O227))</f>
      </c>
    </row>
    <row r="228" spans="7:16" x14ac:dyDescent="0.35">
      <c r="G228" s="11" t="str">
        <f t="shared" si="24"/>
      </c>
      <c r="H228" s="12" t="str">
        <f t="shared" si="30"/>
      </c>
      <c r="I228" s="12" t="str">
        <f t="shared" si="25"/>
      </c>
      <c r="J228" s="11" t="str">
        <f t="shared" si="26"/>
      </c>
      <c r="K228" s="12" t="str">
        <f t="shared" si="31"/>
      </c>
      <c r="L228" s="13" t="str">
        <f>IF(H228="","",IFERROR(INDEX('Tipos BdE'!$B$7:$M$336,MATCH(DATE(YEAR(K228),MONTH(K228),1),'Tipos BdE'!$A$7:$A$336,1),MATCH($D$9,'Tipos BdE'!$B$6:$M$6,0)),0))</f>
      </c>
      <c r="M228" s="13" t="str">
        <f t="shared" si="27"/>
      </c>
      <c r="N228" s="13" t="str">
        <f t="shared" si="28"/>
      </c>
      <c r="O228" s="14" t="str">
        <f t="shared" si="29"/>
      </c>
      <c r="P228" s="14" t="str">
        <f>IF(H228="","",$D$5+SUM($O$5:O228))</f>
      </c>
    </row>
    <row r="229" spans="7:16" x14ac:dyDescent="0.35">
      <c r="G229" s="11" t="str">
        <f t="shared" si="24"/>
      </c>
      <c r="H229" s="12" t="str">
        <f t="shared" si="30"/>
      </c>
      <c r="I229" s="12" t="str">
        <f t="shared" si="25"/>
      </c>
      <c r="J229" s="11" t="str">
        <f t="shared" si="26"/>
      </c>
      <c r="K229" s="12" t="str">
        <f t="shared" si="31"/>
      </c>
      <c r="L229" s="13" t="str">
        <f>IF(H229="","",IFERROR(INDEX('Tipos BdE'!$B$7:$M$336,MATCH(DATE(YEAR(K229),MONTH(K229),1),'Tipos BdE'!$A$7:$A$336,1),MATCH($D$9,'Tipos BdE'!$B$6:$M$6,0)),0))</f>
      </c>
      <c r="M229" s="13" t="str">
        <f t="shared" si="27"/>
      </c>
      <c r="N229" s="13" t="str">
        <f t="shared" si="28"/>
      </c>
      <c r="O229" s="14" t="str">
        <f t="shared" si="29"/>
      </c>
      <c r="P229" s="14" t="str">
        <f>IF(H229="","",$D$5+SUM($O$5:O229))</f>
      </c>
    </row>
    <row r="230" spans="7:16" x14ac:dyDescent="0.35">
      <c r="G230" s="11" t="str">
        <f t="shared" si="24"/>
      </c>
      <c r="H230" s="12" t="str">
        <f t="shared" si="30"/>
      </c>
      <c r="I230" s="12" t="str">
        <f t="shared" si="25"/>
      </c>
      <c r="J230" s="11" t="str">
        <f t="shared" si="26"/>
      </c>
      <c r="K230" s="12" t="str">
        <f t="shared" si="31"/>
      </c>
      <c r="L230" s="13" t="str">
        <f>IF(H230="","",IFERROR(INDEX('Tipos BdE'!$B$7:$M$336,MATCH(DATE(YEAR(K230),MONTH(K230),1),'Tipos BdE'!$A$7:$A$336,1),MATCH($D$9,'Tipos BdE'!$B$6:$M$6,0)),0))</f>
      </c>
      <c r="M230" s="13" t="str">
        <f t="shared" si="27"/>
      </c>
      <c r="N230" s="13" t="str">
        <f t="shared" si="28"/>
      </c>
      <c r="O230" s="14" t="str">
        <f t="shared" si="29"/>
      </c>
      <c r="P230" s="14" t="str">
        <f>IF(H230="","",$D$5+SUM($O$5:O230))</f>
      </c>
    </row>
    <row r="231" spans="7:16" x14ac:dyDescent="0.35">
      <c r="G231" s="11" t="str">
        <f t="shared" si="24"/>
      </c>
      <c r="H231" s="12" t="str">
        <f t="shared" si="30"/>
      </c>
      <c r="I231" s="12" t="str">
        <f t="shared" si="25"/>
      </c>
      <c r="J231" s="11" t="str">
        <f t="shared" si="26"/>
      </c>
      <c r="K231" s="12" t="str">
        <f t="shared" si="31"/>
      </c>
      <c r="L231" s="13" t="str">
        <f>IF(H231="","",IFERROR(INDEX('Tipos BdE'!$B$7:$M$336,MATCH(DATE(YEAR(K231),MONTH(K231),1),'Tipos BdE'!$A$7:$A$336,1),MATCH($D$9,'Tipos BdE'!$B$6:$M$6,0)),0))</f>
      </c>
      <c r="M231" s="13" t="str">
        <f t="shared" si="27"/>
      </c>
      <c r="N231" s="13" t="str">
        <f t="shared" si="28"/>
      </c>
      <c r="O231" s="14" t="str">
        <f t="shared" si="29"/>
      </c>
      <c r="P231" s="14" t="str">
        <f>IF(H231="","",$D$5+SUM($O$5:O231))</f>
      </c>
    </row>
    <row r="232" spans="7:16" x14ac:dyDescent="0.35">
      <c r="G232" s="11" t="str">
        <f t="shared" si="24"/>
      </c>
      <c r="H232" s="12" t="str">
        <f t="shared" si="30"/>
      </c>
      <c r="I232" s="12" t="str">
        <f t="shared" si="25"/>
      </c>
      <c r="J232" s="11" t="str">
        <f t="shared" si="26"/>
      </c>
      <c r="K232" s="12" t="str">
        <f t="shared" si="31"/>
      </c>
      <c r="L232" s="13" t="str">
        <f>IF(H232="","",IFERROR(INDEX('Tipos BdE'!$B$7:$M$336,MATCH(DATE(YEAR(K232),MONTH(K232),1),'Tipos BdE'!$A$7:$A$336,1),MATCH($D$9,'Tipos BdE'!$B$6:$M$6,0)),0))</f>
      </c>
      <c r="M232" s="13" t="str">
        <f t="shared" si="27"/>
      </c>
      <c r="N232" s="13" t="str">
        <f t="shared" si="28"/>
      </c>
      <c r="O232" s="14" t="str">
        <f t="shared" si="29"/>
      </c>
      <c r="P232" s="14" t="str">
        <f>IF(H232="","",$D$5+SUM($O$5:O232))</f>
      </c>
    </row>
    <row r="233" spans="7:16" x14ac:dyDescent="0.35">
      <c r="G233" s="11" t="str">
        <f t="shared" si="24"/>
      </c>
      <c r="H233" s="12" t="str">
        <f t="shared" si="30"/>
      </c>
      <c r="I233" s="12" t="str">
        <f t="shared" si="25"/>
      </c>
      <c r="J233" s="11" t="str">
        <f t="shared" si="26"/>
      </c>
      <c r="K233" s="12" t="str">
        <f t="shared" si="31"/>
      </c>
      <c r="L233" s="13" t="str">
        <f>IF(H233="","",IFERROR(INDEX('Tipos BdE'!$B$7:$M$336,MATCH(DATE(YEAR(K233),MONTH(K233),1),'Tipos BdE'!$A$7:$A$336,1),MATCH($D$9,'Tipos BdE'!$B$6:$M$6,0)),0))</f>
      </c>
      <c r="M233" s="13" t="str">
        <f t="shared" si="27"/>
      </c>
      <c r="N233" s="13" t="str">
        <f t="shared" si="28"/>
      </c>
      <c r="O233" s="14" t="str">
        <f t="shared" si="29"/>
      </c>
      <c r="P233" s="14" t="str">
        <f>IF(H233="","",$D$5+SUM($O$5:O233))</f>
      </c>
    </row>
    <row r="234" spans="7:16" x14ac:dyDescent="0.35">
      <c r="G234" s="11" t="str">
        <f t="shared" si="24"/>
      </c>
      <c r="H234" s="12" t="str">
        <f t="shared" si="30"/>
      </c>
      <c r="I234" s="12" t="str">
        <f t="shared" si="25"/>
      </c>
      <c r="J234" s="11" t="str">
        <f t="shared" si="26"/>
      </c>
      <c r="K234" s="12" t="str">
        <f t="shared" si="31"/>
      </c>
      <c r="L234" s="13" t="str">
        <f>IF(H234="","",IFERROR(INDEX('Tipos BdE'!$B$7:$M$336,MATCH(DATE(YEAR(K234),MONTH(K234),1),'Tipos BdE'!$A$7:$A$336,1),MATCH($D$9,'Tipos BdE'!$B$6:$M$6,0)),0))</f>
      </c>
      <c r="M234" s="13" t="str">
        <f t="shared" si="27"/>
      </c>
      <c r="N234" s="13" t="str">
        <f t="shared" si="28"/>
      </c>
      <c r="O234" s="14" t="str">
        <f t="shared" si="29"/>
      </c>
      <c r="P234" s="14" t="str">
        <f>IF(H234="","",$D$5+SUM($O$5:O234))</f>
      </c>
    </row>
    <row r="235" spans="7:16" x14ac:dyDescent="0.35">
      <c r="G235" s="11" t="str">
        <f t="shared" si="24"/>
      </c>
      <c r="H235" s="12" t="str">
        <f t="shared" si="30"/>
      </c>
      <c r="I235" s="12" t="str">
        <f t="shared" si="25"/>
      </c>
      <c r="J235" s="11" t="str">
        <f t="shared" si="26"/>
      </c>
      <c r="K235" s="12" t="str">
        <f t="shared" si="31"/>
      </c>
      <c r="L235" s="13" t="str">
        <f>IF(H235="","",IFERROR(INDEX('Tipos BdE'!$B$7:$M$336,MATCH(DATE(YEAR(K235),MONTH(K235),1),'Tipos BdE'!$A$7:$A$336,1),MATCH($D$9,'Tipos BdE'!$B$6:$M$6,0)),0))</f>
      </c>
      <c r="M235" s="13" t="str">
        <f t="shared" si="27"/>
      </c>
      <c r="N235" s="13" t="str">
        <f t="shared" si="28"/>
      </c>
      <c r="O235" s="14" t="str">
        <f t="shared" si="29"/>
      </c>
      <c r="P235" s="14" t="str">
        <f>IF(H235="","",$D$5+SUM($O$5:O235))</f>
      </c>
    </row>
    <row r="236" spans="7:16" x14ac:dyDescent="0.35">
      <c r="G236" s="11" t="str">
        <f t="shared" si="24"/>
      </c>
      <c r="H236" s="12" t="str">
        <f t="shared" si="30"/>
      </c>
      <c r="I236" s="12" t="str">
        <f t="shared" si="25"/>
      </c>
      <c r="J236" s="11" t="str">
        <f t="shared" si="26"/>
      </c>
      <c r="K236" s="12" t="str">
        <f t="shared" si="31"/>
      </c>
      <c r="L236" s="13" t="str">
        <f>IF(H236="","",IFERROR(INDEX('Tipos BdE'!$B$7:$M$336,MATCH(DATE(YEAR(K236),MONTH(K236),1),'Tipos BdE'!$A$7:$A$336,1),MATCH($D$9,'Tipos BdE'!$B$6:$M$6,0)),0))</f>
      </c>
      <c r="M236" s="13" t="str">
        <f t="shared" si="27"/>
      </c>
      <c r="N236" s="13" t="str">
        <f t="shared" si="28"/>
      </c>
      <c r="O236" s="14" t="str">
        <f t="shared" si="29"/>
      </c>
      <c r="P236" s="14" t="str">
        <f>IF(H236="","",$D$5+SUM($O$5:O236))</f>
      </c>
    </row>
    <row r="237" spans="7:16" x14ac:dyDescent="0.35">
      <c r="G237" s="11" t="str">
        <f t="shared" si="24"/>
      </c>
      <c r="H237" s="12" t="str">
        <f t="shared" si="30"/>
      </c>
      <c r="I237" s="12" t="str">
        <f t="shared" si="25"/>
      </c>
      <c r="J237" s="11" t="str">
        <f t="shared" si="26"/>
      </c>
      <c r="K237" s="12" t="str">
        <f t="shared" si="31"/>
      </c>
      <c r="L237" s="13" t="str">
        <f>IF(H237="","",IFERROR(INDEX('Tipos BdE'!$B$7:$M$336,MATCH(DATE(YEAR(K237),MONTH(K237),1),'Tipos BdE'!$A$7:$A$336,1),MATCH($D$9,'Tipos BdE'!$B$6:$M$6,0)),0))</f>
      </c>
      <c r="M237" s="13" t="str">
        <f t="shared" si="27"/>
      </c>
      <c r="N237" s="13" t="str">
        <f t="shared" si="28"/>
      </c>
      <c r="O237" s="14" t="str">
        <f t="shared" si="29"/>
      </c>
      <c r="P237" s="14" t="str">
        <f>IF(H237="","",$D$5+SUM($O$5:O237))</f>
      </c>
    </row>
    <row r="238" spans="7:16" x14ac:dyDescent="0.35">
      <c r="G238" s="11" t="str">
        <f t="shared" si="24"/>
      </c>
      <c r="H238" s="12" t="str">
        <f t="shared" si="30"/>
      </c>
      <c r="I238" s="12" t="str">
        <f t="shared" si="25"/>
      </c>
      <c r="J238" s="11" t="str">
        <f t="shared" si="26"/>
      </c>
      <c r="K238" s="12" t="str">
        <f t="shared" si="31"/>
      </c>
      <c r="L238" s="13" t="str">
        <f>IF(H238="","",IFERROR(INDEX('Tipos BdE'!$B$7:$M$336,MATCH(DATE(YEAR(K238),MONTH(K238),1),'Tipos BdE'!$A$7:$A$336,1),MATCH($D$9,'Tipos BdE'!$B$6:$M$6,0)),0))</f>
      </c>
      <c r="M238" s="13" t="str">
        <f t="shared" si="27"/>
      </c>
      <c r="N238" s="13" t="str">
        <f t="shared" si="28"/>
      </c>
      <c r="O238" s="14" t="str">
        <f t="shared" si="29"/>
      </c>
      <c r="P238" s="14" t="str">
        <f>IF(H238="","",$D$5+SUM($O$5:O238))</f>
      </c>
    </row>
    <row r="239" spans="7:16" x14ac:dyDescent="0.35">
      <c r="G239" s="11" t="str">
        <f t="shared" si="24"/>
      </c>
      <c r="H239" s="12" t="str">
        <f t="shared" si="30"/>
      </c>
      <c r="I239" s="12" t="str">
        <f t="shared" si="25"/>
      </c>
      <c r="J239" s="11" t="str">
        <f t="shared" si="26"/>
      </c>
      <c r="K239" s="12" t="str">
        <f t="shared" si="31"/>
      </c>
      <c r="L239" s="13" t="str">
        <f>IF(H239="","",IFERROR(INDEX('Tipos BdE'!$B$7:$M$336,MATCH(DATE(YEAR(K239),MONTH(K239),1),'Tipos BdE'!$A$7:$A$336,1),MATCH($D$9,'Tipos BdE'!$B$6:$M$6,0)),0))</f>
      </c>
      <c r="M239" s="13" t="str">
        <f t="shared" si="27"/>
      </c>
      <c r="N239" s="13" t="str">
        <f t="shared" si="28"/>
      </c>
      <c r="O239" s="14" t="str">
        <f t="shared" si="29"/>
      </c>
      <c r="P239" s="14" t="str">
        <f>IF(H239="","",$D$5+SUM($O$5:O239))</f>
      </c>
    </row>
    <row r="240" spans="7:16" x14ac:dyDescent="0.35">
      <c r="G240" s="11" t="str">
        <f t="shared" si="24"/>
      </c>
      <c r="H240" s="12" t="str">
        <f t="shared" si="30"/>
      </c>
      <c r="I240" s="12" t="str">
        <f t="shared" si="25"/>
      </c>
      <c r="J240" s="11" t="str">
        <f t="shared" si="26"/>
      </c>
      <c r="K240" s="12" t="str">
        <f t="shared" si="31"/>
      </c>
      <c r="L240" s="13" t="str">
        <f>IF(H240="","",IFERROR(INDEX('Tipos BdE'!$B$7:$M$336,MATCH(DATE(YEAR(K240),MONTH(K240),1),'Tipos BdE'!$A$7:$A$336,1),MATCH($D$9,'Tipos BdE'!$B$6:$M$6,0)),0))</f>
      </c>
      <c r="M240" s="13" t="str">
        <f t="shared" si="27"/>
      </c>
      <c r="N240" s="13" t="str">
        <f t="shared" si="28"/>
      </c>
      <c r="O240" s="14" t="str">
        <f t="shared" si="29"/>
      </c>
      <c r="P240" s="14" t="str">
        <f>IF(H240="","",$D$5+SUM($O$5:O240))</f>
      </c>
    </row>
    <row r="241" spans="7:16" x14ac:dyDescent="0.35">
      <c r="G241" s="11" t="str">
        <f t="shared" si="24"/>
      </c>
      <c r="H241" s="12" t="str">
        <f t="shared" si="30"/>
      </c>
      <c r="I241" s="12" t="str">
        <f t="shared" si="25"/>
      </c>
      <c r="J241" s="11" t="str">
        <f t="shared" si="26"/>
      </c>
      <c r="K241" s="12" t="str">
        <f t="shared" si="31"/>
      </c>
      <c r="L241" s="13" t="str">
        <f>IF(H241="","",IFERROR(INDEX('Tipos BdE'!$B$7:$M$336,MATCH(DATE(YEAR(K241),MONTH(K241),1),'Tipos BdE'!$A$7:$A$336,1),MATCH($D$9,'Tipos BdE'!$B$6:$M$6,0)),0))</f>
      </c>
      <c r="M241" s="13" t="str">
        <f t="shared" si="27"/>
      </c>
      <c r="N241" s="13" t="str">
        <f t="shared" si="28"/>
      </c>
      <c r="O241" s="14" t="str">
        <f t="shared" si="29"/>
      </c>
      <c r="P241" s="14" t="str">
        <f>IF(H241="","",$D$5+SUM($O$5:O241))</f>
      </c>
    </row>
    <row r="242" spans="7:16" x14ac:dyDescent="0.35">
      <c r="G242" s="11" t="str">
        <f t="shared" si="24"/>
      </c>
      <c r="H242" s="12" t="str">
        <f t="shared" si="30"/>
      </c>
      <c r="I242" s="12" t="str">
        <f t="shared" si="25"/>
      </c>
      <c r="J242" s="11" t="str">
        <f t="shared" si="26"/>
      </c>
      <c r="K242" s="12" t="str">
        <f t="shared" si="31"/>
      </c>
      <c r="L242" s="13" t="str">
        <f>IF(H242="","",IFERROR(INDEX('Tipos BdE'!$B$7:$M$336,MATCH(DATE(YEAR(K242),MONTH(K242),1),'Tipos BdE'!$A$7:$A$336,1),MATCH($D$9,'Tipos BdE'!$B$6:$M$6,0)),0))</f>
      </c>
      <c r="M242" s="13" t="str">
        <f t="shared" si="27"/>
      </c>
      <c r="N242" s="13" t="str">
        <f t="shared" si="28"/>
      </c>
      <c r="O242" s="14" t="str">
        <f t="shared" si="29"/>
      </c>
      <c r="P242" s="14" t="str">
        <f>IF(H242="","",$D$5+SUM($O$5:O242))</f>
      </c>
    </row>
    <row r="243" spans="7:16" x14ac:dyDescent="0.35">
      <c r="G243" s="11" t="str">
        <f t="shared" si="24"/>
      </c>
      <c r="H243" s="12" t="str">
        <f t="shared" si="30"/>
      </c>
      <c r="I243" s="12" t="str">
        <f t="shared" si="25"/>
      </c>
      <c r="J243" s="11" t="str">
        <f t="shared" si="26"/>
      </c>
      <c r="K243" s="12" t="str">
        <f t="shared" si="31"/>
      </c>
      <c r="L243" s="13" t="str">
        <f>IF(H243="","",IFERROR(INDEX('Tipos BdE'!$B$7:$M$336,MATCH(DATE(YEAR(K243),MONTH(K243),1),'Tipos BdE'!$A$7:$A$336,1),MATCH($D$9,'Tipos BdE'!$B$6:$M$6,0)),0))</f>
      </c>
      <c r="M243" s="13" t="str">
        <f t="shared" si="27"/>
      </c>
      <c r="N243" s="13" t="str">
        <f t="shared" si="28"/>
      </c>
      <c r="O243" s="14" t="str">
        <f t="shared" si="29"/>
      </c>
      <c r="P243" s="14" t="str">
        <f>IF(H243="","",$D$5+SUM($O$5:O243))</f>
      </c>
    </row>
    <row r="244" spans="7:16" x14ac:dyDescent="0.35">
      <c r="G244" s="11" t="str">
        <f t="shared" si="24"/>
      </c>
      <c r="H244" s="12" t="str">
        <f t="shared" si="30"/>
      </c>
      <c r="I244" s="12" t="str">
        <f t="shared" si="25"/>
      </c>
      <c r="J244" s="11" t="str">
        <f t="shared" si="26"/>
      </c>
      <c r="K244" s="12" t="str">
        <f t="shared" si="31"/>
      </c>
      <c r="L244" s="13" t="str">
        <f>IF(H244="","",IFERROR(INDEX('Tipos BdE'!$B$7:$M$336,MATCH(DATE(YEAR(K244),MONTH(K244),1),'Tipos BdE'!$A$7:$A$336,1),MATCH($D$9,'Tipos BdE'!$B$6:$M$6,0)),0))</f>
      </c>
      <c r="M244" s="13" t="str">
        <f t="shared" si="27"/>
      </c>
      <c r="N244" s="13" t="str">
        <f t="shared" si="28"/>
      </c>
      <c r="O244" s="14" t="str">
        <f t="shared" si="29"/>
      </c>
      <c r="P244" s="14" t="str">
        <f>IF(H244="","",$D$5+SUM($O$5:O244))</f>
      </c>
    </row>
    <row r="245" spans="7:16" x14ac:dyDescent="0.35">
      <c r="G245" s="11" t="str">
        <f t="shared" si="24"/>
      </c>
      <c r="H245" s="12" t="str">
        <f t="shared" si="30"/>
      </c>
      <c r="I245" s="12" t="str">
        <f t="shared" si="25"/>
      </c>
      <c r="J245" s="11" t="str">
        <f t="shared" si="26"/>
      </c>
      <c r="K245" s="12" t="str">
        <f t="shared" si="31"/>
      </c>
      <c r="L245" s="13" t="str">
        <f>IF(H245="","",IFERROR(INDEX('Tipos BdE'!$B$7:$M$336,MATCH(DATE(YEAR(K245),MONTH(K245),1),'Tipos BdE'!$A$7:$A$336,1),MATCH($D$9,'Tipos BdE'!$B$6:$M$6,0)),0))</f>
      </c>
      <c r="M245" s="13" t="str">
        <f t="shared" si="27"/>
      </c>
      <c r="N245" s="13" t="str">
        <f t="shared" si="28"/>
      </c>
      <c r="O245" s="14" t="str">
        <f t="shared" si="29"/>
      </c>
      <c r="P245" s="14" t="str">
        <f>IF(H245="","",$D$5+SUM($O$5:O245))</f>
      </c>
    </row>
    <row r="246" spans="7:16" x14ac:dyDescent="0.35">
      <c r="G246" s="11" t="str">
        <f t="shared" si="24"/>
      </c>
      <c r="H246" s="12" t="str">
        <f t="shared" si="30"/>
      </c>
      <c r="I246" s="12" t="str">
        <f t="shared" si="25"/>
      </c>
      <c r="J246" s="11" t="str">
        <f t="shared" si="26"/>
      </c>
      <c r="K246" s="12" t="str">
        <f t="shared" si="31"/>
      </c>
      <c r="L246" s="13" t="str">
        <f>IF(H246="","",IFERROR(INDEX('Tipos BdE'!$B$7:$M$336,MATCH(DATE(YEAR(K246),MONTH(K246),1),'Tipos BdE'!$A$7:$A$336,1),MATCH($D$9,'Tipos BdE'!$B$6:$M$6,0)),0))</f>
      </c>
      <c r="M246" s="13" t="str">
        <f t="shared" si="27"/>
      </c>
      <c r="N246" s="13" t="str">
        <f t="shared" si="28"/>
      </c>
      <c r="O246" s="14" t="str">
        <f t="shared" si="29"/>
      </c>
      <c r="P246" s="14" t="str">
        <f>IF(H246="","",$D$5+SUM($O$5:O246))</f>
      </c>
    </row>
    <row r="247" spans="7:16" x14ac:dyDescent="0.35">
      <c r="G247" s="11" t="str">
        <f t="shared" si="24"/>
      </c>
      <c r="H247" s="12" t="str">
        <f t="shared" si="30"/>
      </c>
      <c r="I247" s="12" t="str">
        <f t="shared" si="25"/>
      </c>
      <c r="J247" s="11" t="str">
        <f t="shared" si="26"/>
      </c>
      <c r="K247" s="12" t="str">
        <f t="shared" si="31"/>
      </c>
      <c r="L247" s="13" t="str">
        <f>IF(H247="","",IFERROR(INDEX('Tipos BdE'!$B$7:$M$336,MATCH(DATE(YEAR(K247),MONTH(K247),1),'Tipos BdE'!$A$7:$A$336,1),MATCH($D$9,'Tipos BdE'!$B$6:$M$6,0)),0))</f>
      </c>
      <c r="M247" s="13" t="str">
        <f t="shared" si="27"/>
      </c>
      <c r="N247" s="13" t="str">
        <f t="shared" si="28"/>
      </c>
      <c r="O247" s="14" t="str">
        <f t="shared" si="29"/>
      </c>
      <c r="P247" s="14" t="str">
        <f>IF(H247="","",$D$5+SUM($O$5:O247))</f>
      </c>
    </row>
    <row r="248" spans="7:16" x14ac:dyDescent="0.35">
      <c r="G248" s="11" t="str">
        <f t="shared" si="24"/>
      </c>
      <c r="H248" s="12" t="str">
        <f t="shared" si="30"/>
      </c>
      <c r="I248" s="12" t="str">
        <f t="shared" si="25"/>
      </c>
      <c r="J248" s="11" t="str">
        <f t="shared" si="26"/>
      </c>
      <c r="K248" s="12" t="str">
        <f t="shared" si="31"/>
      </c>
      <c r="L248" s="13" t="str">
        <f>IF(H248="","",IFERROR(INDEX('Tipos BdE'!$B$7:$M$336,MATCH(DATE(YEAR(K248),MONTH(K248),1),'Tipos BdE'!$A$7:$A$336,1),MATCH($D$9,'Tipos BdE'!$B$6:$M$6,0)),0))</f>
      </c>
      <c r="M248" s="13" t="str">
        <f t="shared" si="27"/>
      </c>
      <c r="N248" s="13" t="str">
        <f t="shared" si="28"/>
      </c>
      <c r="O248" s="14" t="str">
        <f t="shared" si="29"/>
      </c>
      <c r="P248" s="14" t="str">
        <f>IF(H248="","",$D$5+SUM($O$5:O248))</f>
      </c>
    </row>
    <row r="249" spans="7:16" x14ac:dyDescent="0.35">
      <c r="G249" s="11" t="str">
        <f t="shared" si="24"/>
      </c>
      <c r="H249" s="12" t="str">
        <f t="shared" si="30"/>
      </c>
      <c r="I249" s="12" t="str">
        <f t="shared" si="25"/>
      </c>
      <c r="J249" s="11" t="str">
        <f t="shared" si="26"/>
      </c>
      <c r="K249" s="12" t="str">
        <f t="shared" si="31"/>
      </c>
      <c r="L249" s="13" t="str">
        <f>IF(H249="","",IFERROR(INDEX('Tipos BdE'!$B$7:$M$336,MATCH(DATE(YEAR(K249),MONTH(K249),1),'Tipos BdE'!$A$7:$A$336,1),MATCH($D$9,'Tipos BdE'!$B$6:$M$6,0)),0))</f>
      </c>
      <c r="M249" s="13" t="str">
        <f t="shared" si="27"/>
      </c>
      <c r="N249" s="13" t="str">
        <f t="shared" si="28"/>
      </c>
      <c r="O249" s="14" t="str">
        <f t="shared" si="29"/>
      </c>
      <c r="P249" s="14" t="str">
        <f>IF(H249="","",$D$5+SUM($O$5:O249))</f>
      </c>
    </row>
    <row r="250" spans="7:16" x14ac:dyDescent="0.35">
      <c r="G250" s="11" t="str">
        <f t="shared" si="24"/>
      </c>
      <c r="H250" s="12" t="str">
        <f t="shared" si="30"/>
      </c>
      <c r="I250" s="12" t="str">
        <f t="shared" si="25"/>
      </c>
      <c r="J250" s="11" t="str">
        <f t="shared" si="26"/>
      </c>
      <c r="K250" s="12" t="str">
        <f t="shared" si="31"/>
      </c>
      <c r="L250" s="13" t="str">
        <f>IF(H250="","",IFERROR(INDEX('Tipos BdE'!$B$7:$M$336,MATCH(DATE(YEAR(K250),MONTH(K250),1),'Tipos BdE'!$A$7:$A$336,1),MATCH($D$9,'Tipos BdE'!$B$6:$M$6,0)),0))</f>
      </c>
      <c r="M250" s="13" t="str">
        <f t="shared" si="27"/>
      </c>
      <c r="N250" s="13" t="str">
        <f t="shared" si="28"/>
      </c>
      <c r="O250" s="14" t="str">
        <f t="shared" si="29"/>
      </c>
      <c r="P250" s="14" t="str">
        <f>IF(H250="","",$D$5+SUM($O$5:O250))</f>
      </c>
    </row>
    <row r="251" spans="7:16" x14ac:dyDescent="0.35">
      <c r="G251" s="11" t="str">
        <f t="shared" si="24"/>
      </c>
      <c r="H251" s="12" t="str">
        <f t="shared" si="30"/>
      </c>
      <c r="I251" s="12" t="str">
        <f t="shared" si="25"/>
      </c>
      <c r="J251" s="11" t="str">
        <f t="shared" si="26"/>
      </c>
      <c r="K251" s="12" t="str">
        <f t="shared" si="31"/>
      </c>
      <c r="L251" s="13" t="str">
        <f>IF(H251="","",IFERROR(INDEX('Tipos BdE'!$B$7:$M$336,MATCH(DATE(YEAR(K251),MONTH(K251),1),'Tipos BdE'!$A$7:$A$336,1),MATCH($D$9,'Tipos BdE'!$B$6:$M$6,0)),0))</f>
      </c>
      <c r="M251" s="13" t="str">
        <f t="shared" si="27"/>
      </c>
      <c r="N251" s="13" t="str">
        <f t="shared" si="28"/>
      </c>
      <c r="O251" s="14" t="str">
        <f t="shared" si="29"/>
      </c>
      <c r="P251" s="14" t="str">
        <f>IF(H251="","",$D$5+SUM($O$5:O251))</f>
      </c>
    </row>
    <row r="252" spans="7:16" x14ac:dyDescent="0.35">
      <c r="G252" s="11" t="str">
        <f t="shared" si="24"/>
      </c>
      <c r="H252" s="12" t="str">
        <f t="shared" si="30"/>
      </c>
      <c r="I252" s="12" t="str">
        <f t="shared" si="25"/>
      </c>
      <c r="J252" s="11" t="str">
        <f t="shared" si="26"/>
      </c>
      <c r="K252" s="12" t="str">
        <f t="shared" si="31"/>
      </c>
      <c r="L252" s="13" t="str">
        <f>IF(H252="","",IFERROR(INDEX('Tipos BdE'!$B$7:$M$336,MATCH(DATE(YEAR(K252),MONTH(K252),1),'Tipos BdE'!$A$7:$A$336,1),MATCH($D$9,'Tipos BdE'!$B$6:$M$6,0)),0))</f>
      </c>
      <c r="M252" s="13" t="str">
        <f t="shared" si="27"/>
      </c>
      <c r="N252" s="13" t="str">
        <f t="shared" si="28"/>
      </c>
      <c r="O252" s="14" t="str">
        <f t="shared" si="29"/>
      </c>
      <c r="P252" s="14" t="str">
        <f>IF(H252="","",$D$5+SUM($O$5:O252))</f>
      </c>
    </row>
    <row r="253" spans="7:16" x14ac:dyDescent="0.35">
      <c r="G253" s="11" t="str">
        <f t="shared" si="24"/>
      </c>
      <c r="H253" s="12" t="str">
        <f t="shared" si="30"/>
      </c>
      <c r="I253" s="12" t="str">
        <f t="shared" si="25"/>
      </c>
      <c r="J253" s="11" t="str">
        <f t="shared" si="26"/>
      </c>
      <c r="K253" s="12" t="str">
        <f t="shared" si="31"/>
      </c>
      <c r="L253" s="13" t="str">
        <f>IF(H253="","",IFERROR(INDEX('Tipos BdE'!$B$7:$M$336,MATCH(DATE(YEAR(K253),MONTH(K253),1),'Tipos BdE'!$A$7:$A$336,1),MATCH($D$9,'Tipos BdE'!$B$6:$M$6,0)),0))</f>
      </c>
      <c r="M253" s="13" t="str">
        <f t="shared" si="27"/>
      </c>
      <c r="N253" s="13" t="str">
        <f t="shared" si="28"/>
      </c>
      <c r="O253" s="14" t="str">
        <f t="shared" si="29"/>
      </c>
      <c r="P253" s="14" t="str">
        <f>IF(H253="","",$D$5+SUM($O$5:O253))</f>
      </c>
    </row>
    <row r="254" spans="7:16" x14ac:dyDescent="0.35">
      <c r="G254" s="11" t="str">
        <f t="shared" si="24"/>
      </c>
      <c r="H254" s="12" t="str">
        <f t="shared" si="30"/>
      </c>
      <c r="I254" s="12" t="str">
        <f t="shared" si="25"/>
      </c>
      <c r="J254" s="11" t="str">
        <f t="shared" si="26"/>
      </c>
      <c r="K254" s="12" t="str">
        <f t="shared" si="31"/>
      </c>
      <c r="L254" s="13" t="str">
        <f>IF(H254="","",IFERROR(INDEX('Tipos BdE'!$B$7:$M$336,MATCH(DATE(YEAR(K254),MONTH(K254),1),'Tipos BdE'!$A$7:$A$336,1),MATCH($D$9,'Tipos BdE'!$B$6:$M$6,0)),0))</f>
      </c>
      <c r="M254" s="13" t="str">
        <f t="shared" si="27"/>
      </c>
      <c r="N254" s="13" t="str">
        <f t="shared" si="28"/>
      </c>
      <c r="O254" s="14" t="str">
        <f t="shared" si="29"/>
      </c>
      <c r="P254" s="14" t="str">
        <f>IF(H254="","",$D$5+SUM($O$5:O254))</f>
      </c>
    </row>
    <row r="255" spans="7:16" x14ac:dyDescent="0.35">
      <c r="G255" s="11" t="str">
        <f t="shared" si="24"/>
      </c>
      <c r="H255" s="12" t="str">
        <f t="shared" si="30"/>
      </c>
      <c r="I255" s="12" t="str">
        <f t="shared" si="25"/>
      </c>
      <c r="J255" s="11" t="str">
        <f t="shared" si="26"/>
      </c>
      <c r="K255" s="12" t="str">
        <f t="shared" si="31"/>
      </c>
      <c r="L255" s="13" t="str">
        <f>IF(H255="","",IFERROR(INDEX('Tipos BdE'!$B$7:$M$336,MATCH(DATE(YEAR(K255),MONTH(K255),1),'Tipos BdE'!$A$7:$A$336,1),MATCH($D$9,'Tipos BdE'!$B$6:$M$6,0)),0))</f>
      </c>
      <c r="M255" s="13" t="str">
        <f t="shared" si="27"/>
      </c>
      <c r="N255" s="13" t="str">
        <f t="shared" si="28"/>
      </c>
      <c r="O255" s="14" t="str">
        <f t="shared" si="29"/>
      </c>
      <c r="P255" s="14" t="str">
        <f>IF(H255="","",$D$5+SUM($O$5:O255))</f>
      </c>
    </row>
    <row r="256" spans="7:16" x14ac:dyDescent="0.35">
      <c r="G256" s="11" t="str">
        <f t="shared" si="24"/>
      </c>
      <c r="H256" s="12" t="str">
        <f t="shared" si="30"/>
      </c>
      <c r="I256" s="12" t="str">
        <f t="shared" si="25"/>
      </c>
      <c r="J256" s="11" t="str">
        <f t="shared" si="26"/>
      </c>
      <c r="K256" s="12" t="str">
        <f t="shared" si="31"/>
      </c>
      <c r="L256" s="13" t="str">
        <f>IF(H256="","",IFERROR(INDEX('Tipos BdE'!$B$7:$M$336,MATCH(DATE(YEAR(K256),MONTH(K256),1),'Tipos BdE'!$A$7:$A$336,1),MATCH($D$9,'Tipos BdE'!$B$6:$M$6,0)),0))</f>
      </c>
      <c r="M256" s="13" t="str">
        <f t="shared" si="27"/>
      </c>
      <c r="N256" s="13" t="str">
        <f t="shared" si="28"/>
      </c>
      <c r="O256" s="14" t="str">
        <f t="shared" si="29"/>
      </c>
      <c r="P256" s="14" t="str">
        <f>IF(H256="","",$D$5+SUM($O$5:O256))</f>
      </c>
    </row>
    <row r="257" spans="7:16" x14ac:dyDescent="0.35">
      <c r="G257" s="11" t="str">
        <f t="shared" si="24"/>
      </c>
      <c r="H257" s="12" t="str">
        <f t="shared" si="30"/>
      </c>
      <c r="I257" s="12" t="str">
        <f t="shared" si="25"/>
      </c>
      <c r="J257" s="11" t="str">
        <f t="shared" si="26"/>
      </c>
      <c r="K257" s="12" t="str">
        <f t="shared" si="31"/>
      </c>
      <c r="L257" s="13" t="str">
        <f>IF(H257="","",IFERROR(INDEX('Tipos BdE'!$B$7:$M$336,MATCH(DATE(YEAR(K257),MONTH(K257),1),'Tipos BdE'!$A$7:$A$336,1),MATCH($D$9,'Tipos BdE'!$B$6:$M$6,0)),0))</f>
      </c>
      <c r="M257" s="13" t="str">
        <f t="shared" si="27"/>
      </c>
      <c r="N257" s="13" t="str">
        <f t="shared" si="28"/>
      </c>
      <c r="O257" s="14" t="str">
        <f t="shared" si="29"/>
      </c>
      <c r="P257" s="14" t="str">
        <f>IF(H257="","",$D$5+SUM($O$5:O257))</f>
      </c>
    </row>
    <row r="258" spans="7:16" x14ac:dyDescent="0.35">
      <c r="G258" s="11" t="str">
        <f t="shared" si="24"/>
      </c>
      <c r="H258" s="12" t="str">
        <f t="shared" si="30"/>
      </c>
      <c r="I258" s="12" t="str">
        <f t="shared" si="25"/>
      </c>
      <c r="J258" s="11" t="str">
        <f t="shared" si="26"/>
      </c>
      <c r="K258" s="12" t="str">
        <f t="shared" si="31"/>
      </c>
      <c r="L258" s="13" t="str">
        <f>IF(H258="","",IFERROR(INDEX('Tipos BdE'!$B$7:$M$336,MATCH(DATE(YEAR(K258),MONTH(K258),1),'Tipos BdE'!$A$7:$A$336,1),MATCH($D$9,'Tipos BdE'!$B$6:$M$6,0)),0))</f>
      </c>
      <c r="M258" s="13" t="str">
        <f t="shared" si="27"/>
      </c>
      <c r="N258" s="13" t="str">
        <f t="shared" si="28"/>
      </c>
      <c r="O258" s="14" t="str">
        <f t="shared" si="29"/>
      </c>
      <c r="P258" s="14" t="str">
        <f>IF(H258="","",$D$5+SUM($O$5:O258))</f>
      </c>
    </row>
    <row r="259" spans="7:16" x14ac:dyDescent="0.35">
      <c r="G259" s="11" t="str">
        <f t="shared" si="24"/>
      </c>
      <c r="H259" s="12" t="str">
        <f t="shared" si="30"/>
      </c>
      <c r="I259" s="12" t="str">
        <f t="shared" si="25"/>
      </c>
      <c r="J259" s="11" t="str">
        <f t="shared" si="26"/>
      </c>
      <c r="K259" s="12" t="str">
        <f t="shared" si="31"/>
      </c>
      <c r="L259" s="13" t="str">
        <f>IF(H259="","",IFERROR(INDEX('Tipos BdE'!$B$7:$M$336,MATCH(DATE(YEAR(K259),MONTH(K259),1),'Tipos BdE'!$A$7:$A$336,1),MATCH($D$9,'Tipos BdE'!$B$6:$M$6,0)),0))</f>
      </c>
      <c r="M259" s="13" t="str">
        <f t="shared" si="27"/>
      </c>
      <c r="N259" s="13" t="str">
        <f t="shared" si="28"/>
      </c>
      <c r="O259" s="14" t="str">
        <f t="shared" si="29"/>
      </c>
      <c r="P259" s="14" t="str">
        <f>IF(H259="","",$D$5+SUM($O$5:O259))</f>
      </c>
    </row>
    <row r="260" spans="7:16" x14ac:dyDescent="0.35">
      <c r="G260" s="11" t="str">
        <f t="shared" si="24"/>
      </c>
      <c r="H260" s="12" t="str">
        <f t="shared" si="30"/>
      </c>
      <c r="I260" s="12" t="str">
        <f t="shared" si="25"/>
      </c>
      <c r="J260" s="11" t="str">
        <f t="shared" si="26"/>
      </c>
      <c r="K260" s="12" t="str">
        <f t="shared" si="31"/>
      </c>
      <c r="L260" s="13" t="str">
        <f>IF(H260="","",IFERROR(INDEX('Tipos BdE'!$B$7:$M$336,MATCH(DATE(YEAR(K260),MONTH(K260),1),'Tipos BdE'!$A$7:$A$336,1),MATCH($D$9,'Tipos BdE'!$B$6:$M$6,0)),0))</f>
      </c>
      <c r="M260" s="13" t="str">
        <f t="shared" si="27"/>
      </c>
      <c r="N260" s="13" t="str">
        <f t="shared" si="28"/>
      </c>
      <c r="O260" s="14" t="str">
        <f t="shared" si="29"/>
      </c>
      <c r="P260" s="14" t="str">
        <f>IF(H260="","",$D$5+SUM($O$5:O260))</f>
      </c>
    </row>
    <row r="261" spans="7:16" x14ac:dyDescent="0.35">
      <c r="G261" s="11" t="str">
        <f t="shared" ref="G261:G324" si="32">IF(H261="","",ROW()-4)</f>
      </c>
      <c r="H261" s="12" t="str">
        <f t="shared" si="30"/>
      </c>
      <c r="I261" s="12" t="str">
        <f t="shared" ref="I261:I324" si="33">IF(H261="","",MIN(IF($D$18="LEGAL",DATE(YEAR(H261)+1,1,1),EDATE($D$12,$D$11*(INT((((YEAR(H261)-YEAR($D$12))*12+(MONTH(H261)-MONTH($D$12))-IF(DAY(H261)&lt;DAY($D$12),1,0))/$D$11))+1))),$D$7))</f>
      </c>
      <c r="J261" s="11" t="str">
        <f t="shared" ref="J261:J324" si="34">IF(H261="","",I261-H261)</f>
      </c>
      <c r="K261" s="12" t="str">
        <f t="shared" si="31"/>
      </c>
      <c r="L261" s="13" t="str">
        <f>IF(H261="","",IFERROR(INDEX('Tipos BdE'!$B$7:$M$336,MATCH(DATE(YEAR(K261),MONTH(K261),1),'Tipos BdE'!$A$7:$A$336,1),MATCH($D$9,'Tipos BdE'!$B$6:$M$6,0)),0))</f>
      </c>
      <c r="M261" s="13" t="str">
        <f t="shared" ref="M261:M304" si="35">IF(H261="","",IF($D$18="LEGAL",0,$D$10))</f>
      </c>
      <c r="N261" s="13" t="str">
        <f t="shared" ref="N261:N324" si="36">IF(H261="","",IF(AND($D$14="Sí",(L261+M261)&lt;0),0,L261+M261))</f>
      </c>
      <c r="O261" s="14" t="str">
        <f t="shared" ref="O261:O324" si="37">IF(H261="","",$D$5*N261*J261/36500)</f>
      </c>
      <c r="P261" s="14" t="str">
        <f>IF(H261="","",$D$5+SUM($O$5:O261))</f>
      </c>
    </row>
    <row r="262" spans="7:16" x14ac:dyDescent="0.35">
      <c r="G262" s="11" t="str">
        <f t="shared" si="32"/>
      </c>
      <c r="H262" s="12" t="str">
        <f t="shared" ref="H262:H304" si="38">IF(OR(I261="",I261&gt;=$D$7),"",I261)</f>
      </c>
      <c r="I262" s="12" t="str">
        <f t="shared" si="33"/>
      </c>
      <c r="J262" s="11" t="str">
        <f t="shared" si="34"/>
      </c>
      <c r="K262" s="12" t="str">
        <f t="shared" ref="K262:K304" si="39">IF(H262="","",IF($D$18="LEGAL",H262,EDATE(H262,-$D$13)))</f>
      </c>
      <c r="L262" s="13" t="str">
        <f>IF(H262="","",IFERROR(INDEX('Tipos BdE'!$B$7:$M$336,MATCH(DATE(YEAR(K262),MONTH(K262),1),'Tipos BdE'!$A$7:$A$336,1),MATCH($D$9,'Tipos BdE'!$B$6:$M$6,0)),0))</f>
      </c>
      <c r="M262" s="13" t="str">
        <f t="shared" si="35"/>
      </c>
      <c r="N262" s="13" t="str">
        <f t="shared" si="36"/>
      </c>
      <c r="O262" s="14" t="str">
        <f t="shared" si="37"/>
      </c>
      <c r="P262" s="14" t="str">
        <f>IF(H262="","",$D$5+SUM($O$5:O262))</f>
      </c>
    </row>
    <row r="263" spans="7:16" x14ac:dyDescent="0.35">
      <c r="G263" s="11" t="str">
        <f t="shared" si="32"/>
      </c>
      <c r="H263" s="12" t="str">
        <f t="shared" si="38"/>
      </c>
      <c r="I263" s="12" t="str">
        <f t="shared" si="33"/>
      </c>
      <c r="J263" s="11" t="str">
        <f t="shared" si="34"/>
      </c>
      <c r="K263" s="12" t="str">
        <f t="shared" si="39"/>
      </c>
      <c r="L263" s="13" t="str">
        <f>IF(H263="","",IFERROR(INDEX('Tipos BdE'!$B$7:$M$336,MATCH(DATE(YEAR(K263),MONTH(K263),1),'Tipos BdE'!$A$7:$A$336,1),MATCH($D$9,'Tipos BdE'!$B$6:$M$6,0)),0))</f>
      </c>
      <c r="M263" s="13" t="str">
        <f t="shared" si="35"/>
      </c>
      <c r="N263" s="13" t="str">
        <f t="shared" si="36"/>
      </c>
      <c r="O263" s="14" t="str">
        <f t="shared" si="37"/>
      </c>
      <c r="P263" s="14" t="str">
        <f>IF(H263="","",$D$5+SUM($O$5:O263))</f>
      </c>
    </row>
    <row r="264" spans="7:16" x14ac:dyDescent="0.35">
      <c r="G264" s="11" t="str">
        <f t="shared" si="32"/>
      </c>
      <c r="H264" s="12" t="str">
        <f t="shared" si="38"/>
      </c>
      <c r="I264" s="12" t="str">
        <f t="shared" si="33"/>
      </c>
      <c r="J264" s="11" t="str">
        <f t="shared" si="34"/>
      </c>
      <c r="K264" s="12" t="str">
        <f t="shared" si="39"/>
      </c>
      <c r="L264" s="13" t="str">
        <f>IF(H264="","",IFERROR(INDEX('Tipos BdE'!$B$7:$M$336,MATCH(DATE(YEAR(K264),MONTH(K264),1),'Tipos BdE'!$A$7:$A$336,1),MATCH($D$9,'Tipos BdE'!$B$6:$M$6,0)),0))</f>
      </c>
      <c r="M264" s="13" t="str">
        <f t="shared" si="35"/>
      </c>
      <c r="N264" s="13" t="str">
        <f t="shared" si="36"/>
      </c>
      <c r="O264" s="14" t="str">
        <f t="shared" si="37"/>
      </c>
      <c r="P264" s="14" t="str">
        <f>IF(H264="","",$D$5+SUM($O$5:O264))</f>
      </c>
    </row>
    <row r="265" spans="7:16" x14ac:dyDescent="0.35">
      <c r="G265" s="11" t="str">
        <f t="shared" si="32"/>
      </c>
      <c r="H265" s="12" t="str">
        <f t="shared" si="38"/>
      </c>
      <c r="I265" s="12" t="str">
        <f t="shared" si="33"/>
      </c>
      <c r="J265" s="11" t="str">
        <f t="shared" si="34"/>
      </c>
      <c r="K265" s="12" t="str">
        <f t="shared" si="39"/>
      </c>
      <c r="L265" s="13" t="str">
        <f>IF(H265="","",IFERROR(INDEX('Tipos BdE'!$B$7:$M$336,MATCH(DATE(YEAR(K265),MONTH(K265),1),'Tipos BdE'!$A$7:$A$336,1),MATCH($D$9,'Tipos BdE'!$B$6:$M$6,0)),0))</f>
      </c>
      <c r="M265" s="13" t="str">
        <f t="shared" si="35"/>
      </c>
      <c r="N265" s="13" t="str">
        <f t="shared" si="36"/>
      </c>
      <c r="O265" s="14" t="str">
        <f t="shared" si="37"/>
      </c>
      <c r="P265" s="14" t="str">
        <f>IF(H265="","",$D$5+SUM($O$5:O265))</f>
      </c>
    </row>
    <row r="266" spans="7:16" x14ac:dyDescent="0.35">
      <c r="G266" s="11" t="str">
        <f t="shared" si="32"/>
      </c>
      <c r="H266" s="12" t="str">
        <f t="shared" si="38"/>
      </c>
      <c r="I266" s="12" t="str">
        <f t="shared" si="33"/>
      </c>
      <c r="J266" s="11" t="str">
        <f t="shared" si="34"/>
      </c>
      <c r="K266" s="12" t="str">
        <f t="shared" si="39"/>
      </c>
      <c r="L266" s="13" t="str">
        <f>IF(H266="","",IFERROR(INDEX('Tipos BdE'!$B$7:$M$336,MATCH(DATE(YEAR(K266),MONTH(K266),1),'Tipos BdE'!$A$7:$A$336,1),MATCH($D$9,'Tipos BdE'!$B$6:$M$6,0)),0))</f>
      </c>
      <c r="M266" s="13" t="str">
        <f t="shared" si="35"/>
      </c>
      <c r="N266" s="13" t="str">
        <f t="shared" si="36"/>
      </c>
      <c r="O266" s="14" t="str">
        <f t="shared" si="37"/>
      </c>
      <c r="P266" s="14" t="str">
        <f>IF(H266="","",$D$5+SUM($O$5:O266))</f>
      </c>
    </row>
    <row r="267" spans="7:16" x14ac:dyDescent="0.35">
      <c r="G267" s="11" t="str">
        <f t="shared" si="32"/>
      </c>
      <c r="H267" s="12" t="str">
        <f t="shared" si="38"/>
      </c>
      <c r="I267" s="12" t="str">
        <f t="shared" si="33"/>
      </c>
      <c r="J267" s="11" t="str">
        <f t="shared" si="34"/>
      </c>
      <c r="K267" s="12" t="str">
        <f t="shared" si="39"/>
      </c>
      <c r="L267" s="13" t="str">
        <f>IF(H267="","",IFERROR(INDEX('Tipos BdE'!$B$7:$M$336,MATCH(DATE(YEAR(K267),MONTH(K267),1),'Tipos BdE'!$A$7:$A$336,1),MATCH($D$9,'Tipos BdE'!$B$6:$M$6,0)),0))</f>
      </c>
      <c r="M267" s="13" t="str">
        <f t="shared" si="35"/>
      </c>
      <c r="N267" s="13" t="str">
        <f t="shared" si="36"/>
      </c>
      <c r="O267" s="14" t="str">
        <f t="shared" si="37"/>
      </c>
      <c r="P267" s="14" t="str">
        <f>IF(H267="","",$D$5+SUM($O$5:O267))</f>
      </c>
    </row>
    <row r="268" spans="7:16" x14ac:dyDescent="0.35">
      <c r="G268" s="11" t="str">
        <f t="shared" si="32"/>
      </c>
      <c r="H268" s="12" t="str">
        <f t="shared" si="38"/>
      </c>
      <c r="I268" s="12" t="str">
        <f t="shared" si="33"/>
      </c>
      <c r="J268" s="11" t="str">
        <f t="shared" si="34"/>
      </c>
      <c r="K268" s="12" t="str">
        <f t="shared" si="39"/>
      </c>
      <c r="L268" s="13" t="str">
        <f>IF(H268="","",IFERROR(INDEX('Tipos BdE'!$B$7:$M$336,MATCH(DATE(YEAR(K268),MONTH(K268),1),'Tipos BdE'!$A$7:$A$336,1),MATCH($D$9,'Tipos BdE'!$B$6:$M$6,0)),0))</f>
      </c>
      <c r="M268" s="13" t="str">
        <f t="shared" si="35"/>
      </c>
      <c r="N268" s="13" t="str">
        <f t="shared" si="36"/>
      </c>
      <c r="O268" s="14" t="str">
        <f t="shared" si="37"/>
      </c>
      <c r="P268" s="14" t="str">
        <f>IF(H268="","",$D$5+SUM($O$5:O268))</f>
      </c>
    </row>
    <row r="269" spans="7:16" x14ac:dyDescent="0.35">
      <c r="G269" s="11" t="str">
        <f t="shared" si="32"/>
      </c>
      <c r="H269" s="12" t="str">
        <f t="shared" si="38"/>
      </c>
      <c r="I269" s="12" t="str">
        <f t="shared" si="33"/>
      </c>
      <c r="J269" s="11" t="str">
        <f t="shared" si="34"/>
      </c>
      <c r="K269" s="12" t="str">
        <f t="shared" si="39"/>
      </c>
      <c r="L269" s="13" t="str">
        <f>IF(H269="","",IFERROR(INDEX('Tipos BdE'!$B$7:$M$336,MATCH(DATE(YEAR(K269),MONTH(K269),1),'Tipos BdE'!$A$7:$A$336,1),MATCH($D$9,'Tipos BdE'!$B$6:$M$6,0)),0))</f>
      </c>
      <c r="M269" s="13" t="str">
        <f t="shared" si="35"/>
      </c>
      <c r="N269" s="13" t="str">
        <f t="shared" si="36"/>
      </c>
      <c r="O269" s="14" t="str">
        <f t="shared" si="37"/>
      </c>
      <c r="P269" s="14" t="str">
        <f>IF(H269="","",$D$5+SUM($O$5:O269))</f>
      </c>
    </row>
    <row r="270" spans="7:16" x14ac:dyDescent="0.35">
      <c r="G270" s="11" t="str">
        <f t="shared" si="32"/>
      </c>
      <c r="H270" s="12" t="str">
        <f t="shared" si="38"/>
      </c>
      <c r="I270" s="12" t="str">
        <f t="shared" si="33"/>
      </c>
      <c r="J270" s="11" t="str">
        <f t="shared" si="34"/>
      </c>
      <c r="K270" s="12" t="str">
        <f t="shared" si="39"/>
      </c>
      <c r="L270" s="13" t="str">
        <f>IF(H270="","",IFERROR(INDEX('Tipos BdE'!$B$7:$M$336,MATCH(DATE(YEAR(K270),MONTH(K270),1),'Tipos BdE'!$A$7:$A$336,1),MATCH($D$9,'Tipos BdE'!$B$6:$M$6,0)),0))</f>
      </c>
      <c r="M270" s="13" t="str">
        <f t="shared" si="35"/>
      </c>
      <c r="N270" s="13" t="str">
        <f t="shared" si="36"/>
      </c>
      <c r="O270" s="14" t="str">
        <f t="shared" si="37"/>
      </c>
      <c r="P270" s="14" t="str">
        <f>IF(H270="","",$D$5+SUM($O$5:O270))</f>
      </c>
    </row>
    <row r="271" spans="7:16" x14ac:dyDescent="0.35">
      <c r="G271" s="11" t="str">
        <f t="shared" si="32"/>
      </c>
      <c r="H271" s="12" t="str">
        <f t="shared" si="38"/>
      </c>
      <c r="I271" s="12" t="str">
        <f t="shared" si="33"/>
      </c>
      <c r="J271" s="11" t="str">
        <f t="shared" si="34"/>
      </c>
      <c r="K271" s="12" t="str">
        <f t="shared" si="39"/>
      </c>
      <c r="L271" s="13" t="str">
        <f>IF(H271="","",IFERROR(INDEX('Tipos BdE'!$B$7:$M$336,MATCH(DATE(YEAR(K271),MONTH(K271),1),'Tipos BdE'!$A$7:$A$336,1),MATCH($D$9,'Tipos BdE'!$B$6:$M$6,0)),0))</f>
      </c>
      <c r="M271" s="13" t="str">
        <f t="shared" si="35"/>
      </c>
      <c r="N271" s="13" t="str">
        <f t="shared" si="36"/>
      </c>
      <c r="O271" s="14" t="str">
        <f t="shared" si="37"/>
      </c>
      <c r="P271" s="14" t="str">
        <f>IF(H271="","",$D$5+SUM($O$5:O271))</f>
      </c>
    </row>
    <row r="272" spans="7:16" x14ac:dyDescent="0.35">
      <c r="G272" s="11" t="str">
        <f t="shared" si="32"/>
      </c>
      <c r="H272" s="12" t="str">
        <f t="shared" si="38"/>
      </c>
      <c r="I272" s="12" t="str">
        <f t="shared" si="33"/>
      </c>
      <c r="J272" s="11" t="str">
        <f t="shared" si="34"/>
      </c>
      <c r="K272" s="12" t="str">
        <f t="shared" si="39"/>
      </c>
      <c r="L272" s="13" t="str">
        <f>IF(H272="","",IFERROR(INDEX('Tipos BdE'!$B$7:$M$336,MATCH(DATE(YEAR(K272),MONTH(K272),1),'Tipos BdE'!$A$7:$A$336,1),MATCH($D$9,'Tipos BdE'!$B$6:$M$6,0)),0))</f>
      </c>
      <c r="M272" s="13" t="str">
        <f t="shared" si="35"/>
      </c>
      <c r="N272" s="13" t="str">
        <f t="shared" si="36"/>
      </c>
      <c r="O272" s="14" t="str">
        <f t="shared" si="37"/>
      </c>
      <c r="P272" s="14" t="str">
        <f>IF(H272="","",$D$5+SUM($O$5:O272))</f>
      </c>
    </row>
    <row r="273" spans="7:16" x14ac:dyDescent="0.35">
      <c r="G273" s="11" t="str">
        <f t="shared" si="32"/>
      </c>
      <c r="H273" s="12" t="str">
        <f t="shared" si="38"/>
      </c>
      <c r="I273" s="12" t="str">
        <f t="shared" si="33"/>
      </c>
      <c r="J273" s="11" t="str">
        <f t="shared" si="34"/>
      </c>
      <c r="K273" s="12" t="str">
        <f t="shared" si="39"/>
      </c>
      <c r="L273" s="13" t="str">
        <f>IF(H273="","",IFERROR(INDEX('Tipos BdE'!$B$7:$M$336,MATCH(DATE(YEAR(K273),MONTH(K273),1),'Tipos BdE'!$A$7:$A$336,1),MATCH($D$9,'Tipos BdE'!$B$6:$M$6,0)),0))</f>
      </c>
      <c r="M273" s="13" t="str">
        <f t="shared" si="35"/>
      </c>
      <c r="N273" s="13" t="str">
        <f t="shared" si="36"/>
      </c>
      <c r="O273" s="14" t="str">
        <f t="shared" si="37"/>
      </c>
      <c r="P273" s="14" t="str">
        <f>IF(H273="","",$D$5+SUM($O$5:O273))</f>
      </c>
    </row>
    <row r="274" spans="7:16" x14ac:dyDescent="0.35">
      <c r="G274" s="11" t="str">
        <f t="shared" si="32"/>
      </c>
      <c r="H274" s="12" t="str">
        <f t="shared" si="38"/>
      </c>
      <c r="I274" s="12" t="str">
        <f t="shared" si="33"/>
      </c>
      <c r="J274" s="11" t="str">
        <f t="shared" si="34"/>
      </c>
      <c r="K274" s="12" t="str">
        <f t="shared" si="39"/>
      </c>
      <c r="L274" s="13" t="str">
        <f>IF(H274="","",IFERROR(INDEX('Tipos BdE'!$B$7:$M$336,MATCH(DATE(YEAR(K274),MONTH(K274),1),'Tipos BdE'!$A$7:$A$336,1),MATCH($D$9,'Tipos BdE'!$B$6:$M$6,0)),0))</f>
      </c>
      <c r="M274" s="13" t="str">
        <f t="shared" si="35"/>
      </c>
      <c r="N274" s="13" t="str">
        <f t="shared" si="36"/>
      </c>
      <c r="O274" s="14" t="str">
        <f t="shared" si="37"/>
      </c>
      <c r="P274" s="14" t="str">
        <f>IF(H274="","",$D$5+SUM($O$5:O274))</f>
      </c>
    </row>
    <row r="275" spans="7:16" x14ac:dyDescent="0.35">
      <c r="G275" s="11" t="str">
        <f t="shared" si="32"/>
      </c>
      <c r="H275" s="12" t="str">
        <f t="shared" si="38"/>
      </c>
      <c r="I275" s="12" t="str">
        <f t="shared" si="33"/>
      </c>
      <c r="J275" s="11" t="str">
        <f t="shared" si="34"/>
      </c>
      <c r="K275" s="12" t="str">
        <f t="shared" si="39"/>
      </c>
      <c r="L275" s="13" t="str">
        <f>IF(H275="","",IFERROR(INDEX('Tipos BdE'!$B$7:$M$336,MATCH(DATE(YEAR(K275),MONTH(K275),1),'Tipos BdE'!$A$7:$A$336,1),MATCH($D$9,'Tipos BdE'!$B$6:$M$6,0)),0))</f>
      </c>
      <c r="M275" s="13" t="str">
        <f t="shared" si="35"/>
      </c>
      <c r="N275" s="13" t="str">
        <f t="shared" si="36"/>
      </c>
      <c r="O275" s="14" t="str">
        <f t="shared" si="37"/>
      </c>
      <c r="P275" s="14" t="str">
        <f>IF(H275="","",$D$5+SUM($O$5:O275))</f>
      </c>
    </row>
    <row r="276" spans="7:16" x14ac:dyDescent="0.35">
      <c r="G276" s="11" t="str">
        <f t="shared" si="32"/>
      </c>
      <c r="H276" s="12" t="str">
        <f t="shared" si="38"/>
      </c>
      <c r="I276" s="12" t="str">
        <f t="shared" si="33"/>
      </c>
      <c r="J276" s="11" t="str">
        <f t="shared" si="34"/>
      </c>
      <c r="K276" s="12" t="str">
        <f t="shared" si="39"/>
      </c>
      <c r="L276" s="13" t="str">
        <f>IF(H276="","",IFERROR(INDEX('Tipos BdE'!$B$7:$M$336,MATCH(DATE(YEAR(K276),MONTH(K276),1),'Tipos BdE'!$A$7:$A$336,1),MATCH($D$9,'Tipos BdE'!$B$6:$M$6,0)),0))</f>
      </c>
      <c r="M276" s="13" t="str">
        <f t="shared" si="35"/>
      </c>
      <c r="N276" s="13" t="str">
        <f t="shared" si="36"/>
      </c>
      <c r="O276" s="14" t="str">
        <f t="shared" si="37"/>
      </c>
      <c r="P276" s="14" t="str">
        <f>IF(H276="","",$D$5+SUM($O$5:O276))</f>
      </c>
    </row>
    <row r="277" spans="7:16" x14ac:dyDescent="0.35">
      <c r="G277" s="11" t="str">
        <f t="shared" si="32"/>
      </c>
      <c r="H277" s="12" t="str">
        <f t="shared" si="38"/>
      </c>
      <c r="I277" s="12" t="str">
        <f t="shared" si="33"/>
      </c>
      <c r="J277" s="11" t="str">
        <f t="shared" si="34"/>
      </c>
      <c r="K277" s="12" t="str">
        <f t="shared" si="39"/>
      </c>
      <c r="L277" s="13" t="str">
        <f>IF(H277="","",IFERROR(INDEX('Tipos BdE'!$B$7:$M$336,MATCH(DATE(YEAR(K277),MONTH(K277),1),'Tipos BdE'!$A$7:$A$336,1),MATCH($D$9,'Tipos BdE'!$B$6:$M$6,0)),0))</f>
      </c>
      <c r="M277" s="13" t="str">
        <f t="shared" si="35"/>
      </c>
      <c r="N277" s="13" t="str">
        <f t="shared" si="36"/>
      </c>
      <c r="O277" s="14" t="str">
        <f t="shared" si="37"/>
      </c>
      <c r="P277" s="14" t="str">
        <f>IF(H277="","",$D$5+SUM($O$5:O277))</f>
      </c>
    </row>
    <row r="278" spans="7:16" x14ac:dyDescent="0.35">
      <c r="G278" s="11" t="str">
        <f t="shared" si="32"/>
      </c>
      <c r="H278" s="12" t="str">
        <f t="shared" si="38"/>
      </c>
      <c r="I278" s="12" t="str">
        <f t="shared" si="33"/>
      </c>
      <c r="J278" s="11" t="str">
        <f t="shared" si="34"/>
      </c>
      <c r="K278" s="12" t="str">
        <f t="shared" si="39"/>
      </c>
      <c r="L278" s="13" t="str">
        <f>IF(H278="","",IFERROR(INDEX('Tipos BdE'!$B$7:$M$336,MATCH(DATE(YEAR(K278),MONTH(K278),1),'Tipos BdE'!$A$7:$A$336,1),MATCH($D$9,'Tipos BdE'!$B$6:$M$6,0)),0))</f>
      </c>
      <c r="M278" s="13" t="str">
        <f t="shared" si="35"/>
      </c>
      <c r="N278" s="13" t="str">
        <f t="shared" si="36"/>
      </c>
      <c r="O278" s="14" t="str">
        <f t="shared" si="37"/>
      </c>
      <c r="P278" s="14" t="str">
        <f>IF(H278="","",$D$5+SUM($O$5:O278))</f>
      </c>
    </row>
    <row r="279" spans="7:16" x14ac:dyDescent="0.35">
      <c r="G279" s="11" t="str">
        <f t="shared" si="32"/>
      </c>
      <c r="H279" s="12" t="str">
        <f t="shared" si="38"/>
      </c>
      <c r="I279" s="12" t="str">
        <f t="shared" si="33"/>
      </c>
      <c r="J279" s="11" t="str">
        <f t="shared" si="34"/>
      </c>
      <c r="K279" s="12" t="str">
        <f t="shared" si="39"/>
      </c>
      <c r="L279" s="13" t="str">
        <f>IF(H279="","",IFERROR(INDEX('Tipos BdE'!$B$7:$M$336,MATCH(DATE(YEAR(K279),MONTH(K279),1),'Tipos BdE'!$A$7:$A$336,1),MATCH($D$9,'Tipos BdE'!$B$6:$M$6,0)),0))</f>
      </c>
      <c r="M279" s="13" t="str">
        <f t="shared" si="35"/>
      </c>
      <c r="N279" s="13" t="str">
        <f t="shared" si="36"/>
      </c>
      <c r="O279" s="14" t="str">
        <f t="shared" si="37"/>
      </c>
      <c r="P279" s="14" t="str">
        <f>IF(H279="","",$D$5+SUM($O$5:O279))</f>
      </c>
    </row>
    <row r="280" spans="7:16" x14ac:dyDescent="0.35">
      <c r="G280" s="11" t="str">
        <f t="shared" si="32"/>
      </c>
      <c r="H280" s="12" t="str">
        <f t="shared" si="38"/>
      </c>
      <c r="I280" s="12" t="str">
        <f t="shared" si="33"/>
      </c>
      <c r="J280" s="11" t="str">
        <f t="shared" si="34"/>
      </c>
      <c r="K280" s="12" t="str">
        <f t="shared" si="39"/>
      </c>
      <c r="L280" s="13" t="str">
        <f>IF(H280="","",IFERROR(INDEX('Tipos BdE'!$B$7:$M$336,MATCH(DATE(YEAR(K280),MONTH(K280),1),'Tipos BdE'!$A$7:$A$336,1),MATCH($D$9,'Tipos BdE'!$B$6:$M$6,0)),0))</f>
      </c>
      <c r="M280" s="13" t="str">
        <f t="shared" si="35"/>
      </c>
      <c r="N280" s="13" t="str">
        <f t="shared" si="36"/>
      </c>
      <c r="O280" s="14" t="str">
        <f t="shared" si="37"/>
      </c>
      <c r="P280" s="14" t="str">
        <f>IF(H280="","",$D$5+SUM($O$5:O280))</f>
      </c>
    </row>
    <row r="281" spans="7:16" x14ac:dyDescent="0.35">
      <c r="G281" s="11" t="str">
        <f t="shared" si="32"/>
      </c>
      <c r="H281" s="12" t="str">
        <f t="shared" si="38"/>
      </c>
      <c r="I281" s="12" t="str">
        <f t="shared" si="33"/>
      </c>
      <c r="J281" s="11" t="str">
        <f t="shared" si="34"/>
      </c>
      <c r="K281" s="12" t="str">
        <f t="shared" si="39"/>
      </c>
      <c r="L281" s="13" t="str">
        <f>IF(H281="","",IFERROR(INDEX('Tipos BdE'!$B$7:$M$336,MATCH(DATE(YEAR(K281),MONTH(K281),1),'Tipos BdE'!$A$7:$A$336,1),MATCH($D$9,'Tipos BdE'!$B$6:$M$6,0)),0))</f>
      </c>
      <c r="M281" s="13" t="str">
        <f t="shared" si="35"/>
      </c>
      <c r="N281" s="13" t="str">
        <f t="shared" si="36"/>
      </c>
      <c r="O281" s="14" t="str">
        <f t="shared" si="37"/>
      </c>
      <c r="P281" s="14" t="str">
        <f>IF(H281="","",$D$5+SUM($O$5:O281))</f>
      </c>
    </row>
    <row r="282" spans="7:16" x14ac:dyDescent="0.35">
      <c r="G282" s="11" t="str">
        <f t="shared" si="32"/>
      </c>
      <c r="H282" s="12" t="str">
        <f t="shared" si="38"/>
      </c>
      <c r="I282" s="12" t="str">
        <f t="shared" si="33"/>
      </c>
      <c r="J282" s="11" t="str">
        <f t="shared" si="34"/>
      </c>
      <c r="K282" s="12" t="str">
        <f t="shared" si="39"/>
      </c>
      <c r="L282" s="13" t="str">
        <f>IF(H282="","",IFERROR(INDEX('Tipos BdE'!$B$7:$M$336,MATCH(DATE(YEAR(K282),MONTH(K282),1),'Tipos BdE'!$A$7:$A$336,1),MATCH($D$9,'Tipos BdE'!$B$6:$M$6,0)),0))</f>
      </c>
      <c r="M282" s="13" t="str">
        <f t="shared" si="35"/>
      </c>
      <c r="N282" s="13" t="str">
        <f t="shared" si="36"/>
      </c>
      <c r="O282" s="14" t="str">
        <f t="shared" si="37"/>
      </c>
      <c r="P282" s="14" t="str">
        <f>IF(H282="","",$D$5+SUM($O$5:O282))</f>
      </c>
    </row>
    <row r="283" spans="7:16" x14ac:dyDescent="0.35">
      <c r="G283" s="11" t="str">
        <f t="shared" si="32"/>
      </c>
      <c r="H283" s="12" t="str">
        <f t="shared" si="38"/>
      </c>
      <c r="I283" s="12" t="str">
        <f t="shared" si="33"/>
      </c>
      <c r="J283" s="11" t="str">
        <f t="shared" si="34"/>
      </c>
      <c r="K283" s="12" t="str">
        <f t="shared" si="39"/>
      </c>
      <c r="L283" s="13" t="str">
        <f>IF(H283="","",IFERROR(INDEX('Tipos BdE'!$B$7:$M$336,MATCH(DATE(YEAR(K283),MONTH(K283),1),'Tipos BdE'!$A$7:$A$336,1),MATCH($D$9,'Tipos BdE'!$B$6:$M$6,0)),0))</f>
      </c>
      <c r="M283" s="13" t="str">
        <f t="shared" si="35"/>
      </c>
      <c r="N283" s="13" t="str">
        <f t="shared" si="36"/>
      </c>
      <c r="O283" s="14" t="str">
        <f t="shared" si="37"/>
      </c>
      <c r="P283" s="14" t="str">
        <f>IF(H283="","",$D$5+SUM($O$5:O283))</f>
      </c>
    </row>
    <row r="284" spans="7:16" x14ac:dyDescent="0.35">
      <c r="G284" s="11" t="str">
        <f t="shared" si="32"/>
      </c>
      <c r="H284" s="12" t="str">
        <f t="shared" si="38"/>
      </c>
      <c r="I284" s="12" t="str">
        <f t="shared" si="33"/>
      </c>
      <c r="J284" s="11" t="str">
        <f t="shared" si="34"/>
      </c>
      <c r="K284" s="12" t="str">
        <f t="shared" si="39"/>
      </c>
      <c r="L284" s="13" t="str">
        <f>IF(H284="","",IFERROR(INDEX('Tipos BdE'!$B$7:$M$336,MATCH(DATE(YEAR(K284),MONTH(K284),1),'Tipos BdE'!$A$7:$A$336,1),MATCH($D$9,'Tipos BdE'!$B$6:$M$6,0)),0))</f>
      </c>
      <c r="M284" s="13" t="str">
        <f t="shared" si="35"/>
      </c>
      <c r="N284" s="13" t="str">
        <f t="shared" si="36"/>
      </c>
      <c r="O284" s="14" t="str">
        <f t="shared" si="37"/>
      </c>
      <c r="P284" s="14" t="str">
        <f>IF(H284="","",$D$5+SUM($O$5:O284))</f>
      </c>
    </row>
    <row r="285" spans="7:16" x14ac:dyDescent="0.35">
      <c r="G285" s="11" t="str">
        <f t="shared" si="32"/>
      </c>
      <c r="H285" s="12" t="str">
        <f t="shared" si="38"/>
      </c>
      <c r="I285" s="12" t="str">
        <f t="shared" si="33"/>
      </c>
      <c r="J285" s="11" t="str">
        <f t="shared" si="34"/>
      </c>
      <c r="K285" s="12" t="str">
        <f t="shared" si="39"/>
      </c>
      <c r="L285" s="13" t="str">
        <f>IF(H285="","",IFERROR(INDEX('Tipos BdE'!$B$7:$M$336,MATCH(DATE(YEAR(K285),MONTH(K285),1),'Tipos BdE'!$A$7:$A$336,1),MATCH($D$9,'Tipos BdE'!$B$6:$M$6,0)),0))</f>
      </c>
      <c r="M285" s="13" t="str">
        <f t="shared" si="35"/>
      </c>
      <c r="N285" s="13" t="str">
        <f t="shared" si="36"/>
      </c>
      <c r="O285" s="14" t="str">
        <f t="shared" si="37"/>
      </c>
      <c r="P285" s="14" t="str">
        <f>IF(H285="","",$D$5+SUM($O$5:O285))</f>
      </c>
    </row>
    <row r="286" spans="7:16" x14ac:dyDescent="0.35">
      <c r="G286" s="11" t="str">
        <f t="shared" si="32"/>
      </c>
      <c r="H286" s="12" t="str">
        <f t="shared" si="38"/>
      </c>
      <c r="I286" s="12" t="str">
        <f t="shared" si="33"/>
      </c>
      <c r="J286" s="11" t="str">
        <f t="shared" si="34"/>
      </c>
      <c r="K286" s="12" t="str">
        <f t="shared" si="39"/>
      </c>
      <c r="L286" s="13" t="str">
        <f>IF(H286="","",IFERROR(INDEX('Tipos BdE'!$B$7:$M$336,MATCH(DATE(YEAR(K286),MONTH(K286),1),'Tipos BdE'!$A$7:$A$336,1),MATCH($D$9,'Tipos BdE'!$B$6:$M$6,0)),0))</f>
      </c>
      <c r="M286" s="13" t="str">
        <f t="shared" si="35"/>
      </c>
      <c r="N286" s="13" t="str">
        <f t="shared" si="36"/>
      </c>
      <c r="O286" s="14" t="str">
        <f t="shared" si="37"/>
      </c>
      <c r="P286" s="14" t="str">
        <f>IF(H286="","",$D$5+SUM($O$5:O286))</f>
      </c>
    </row>
    <row r="287" spans="7:16" x14ac:dyDescent="0.35">
      <c r="G287" s="11" t="str">
        <f t="shared" si="32"/>
      </c>
      <c r="H287" s="12" t="str">
        <f t="shared" si="38"/>
      </c>
      <c r="I287" s="12" t="str">
        <f t="shared" si="33"/>
      </c>
      <c r="J287" s="11" t="str">
        <f t="shared" si="34"/>
      </c>
      <c r="K287" s="12" t="str">
        <f t="shared" si="39"/>
      </c>
      <c r="L287" s="13" t="str">
        <f>IF(H287="","",IFERROR(INDEX('Tipos BdE'!$B$7:$M$336,MATCH(DATE(YEAR(K287),MONTH(K287),1),'Tipos BdE'!$A$7:$A$336,1),MATCH($D$9,'Tipos BdE'!$B$6:$M$6,0)),0))</f>
      </c>
      <c r="M287" s="13" t="str">
        <f t="shared" si="35"/>
      </c>
      <c r="N287" s="13" t="str">
        <f t="shared" si="36"/>
      </c>
      <c r="O287" s="14" t="str">
        <f t="shared" si="37"/>
      </c>
      <c r="P287" s="14" t="str">
        <f>IF(H287="","",$D$5+SUM($O$5:O287))</f>
      </c>
    </row>
    <row r="288" spans="7:16" x14ac:dyDescent="0.35">
      <c r="G288" s="11" t="str">
        <f t="shared" si="32"/>
      </c>
      <c r="H288" s="12" t="str">
        <f t="shared" si="38"/>
      </c>
      <c r="I288" s="12" t="str">
        <f t="shared" si="33"/>
      </c>
      <c r="J288" s="11" t="str">
        <f t="shared" si="34"/>
      </c>
      <c r="K288" s="12" t="str">
        <f t="shared" si="39"/>
      </c>
      <c r="L288" s="13" t="str">
        <f>IF(H288="","",IFERROR(INDEX('Tipos BdE'!$B$7:$M$336,MATCH(DATE(YEAR(K288),MONTH(K288),1),'Tipos BdE'!$A$7:$A$336,1),MATCH($D$9,'Tipos BdE'!$B$6:$M$6,0)),0))</f>
      </c>
      <c r="M288" s="13" t="str">
        <f t="shared" si="35"/>
      </c>
      <c r="N288" s="13" t="str">
        <f t="shared" si="36"/>
      </c>
      <c r="O288" s="14" t="str">
        <f t="shared" si="37"/>
      </c>
      <c r="P288" s="14" t="str">
        <f>IF(H288="","",$D$5+SUM($O$5:O288))</f>
      </c>
    </row>
    <row r="289" spans="7:16" x14ac:dyDescent="0.35">
      <c r="G289" s="11" t="str">
        <f t="shared" si="32"/>
      </c>
      <c r="H289" s="12" t="str">
        <f t="shared" si="38"/>
      </c>
      <c r="I289" s="12" t="str">
        <f t="shared" si="33"/>
      </c>
      <c r="J289" s="11" t="str">
        <f t="shared" si="34"/>
      </c>
      <c r="K289" s="12" t="str">
        <f t="shared" si="39"/>
      </c>
      <c r="L289" s="13" t="str">
        <f>IF(H289="","",IFERROR(INDEX('Tipos BdE'!$B$7:$M$336,MATCH(DATE(YEAR(K289),MONTH(K289),1),'Tipos BdE'!$A$7:$A$336,1),MATCH($D$9,'Tipos BdE'!$B$6:$M$6,0)),0))</f>
      </c>
      <c r="M289" s="13" t="str">
        <f t="shared" si="35"/>
      </c>
      <c r="N289" s="13" t="str">
        <f t="shared" si="36"/>
      </c>
      <c r="O289" s="14" t="str">
        <f t="shared" si="37"/>
      </c>
      <c r="P289" s="14" t="str">
        <f>IF(H289="","",$D$5+SUM($O$5:O289))</f>
      </c>
    </row>
    <row r="290" spans="7:16" x14ac:dyDescent="0.35">
      <c r="G290" s="11" t="str">
        <f t="shared" si="32"/>
      </c>
      <c r="H290" s="12" t="str">
        <f t="shared" si="38"/>
      </c>
      <c r="I290" s="12" t="str">
        <f t="shared" si="33"/>
      </c>
      <c r="J290" s="11" t="str">
        <f t="shared" si="34"/>
      </c>
      <c r="K290" s="12" t="str">
        <f t="shared" si="39"/>
      </c>
      <c r="L290" s="13" t="str">
        <f>IF(H290="","",IFERROR(INDEX('Tipos BdE'!$B$7:$M$336,MATCH(DATE(YEAR(K290),MONTH(K290),1),'Tipos BdE'!$A$7:$A$336,1),MATCH($D$9,'Tipos BdE'!$B$6:$M$6,0)),0))</f>
      </c>
      <c r="M290" s="13" t="str">
        <f t="shared" si="35"/>
      </c>
      <c r="N290" s="13" t="str">
        <f t="shared" si="36"/>
      </c>
      <c r="O290" s="14" t="str">
        <f t="shared" si="37"/>
      </c>
      <c r="P290" s="14" t="str">
        <f>IF(H290="","",$D$5+SUM($O$5:O290))</f>
      </c>
    </row>
    <row r="291" spans="7:16" x14ac:dyDescent="0.35">
      <c r="G291" s="11" t="str">
        <f t="shared" si="32"/>
      </c>
      <c r="H291" s="12" t="str">
        <f t="shared" si="38"/>
      </c>
      <c r="I291" s="12" t="str">
        <f t="shared" si="33"/>
      </c>
      <c r="J291" s="11" t="str">
        <f t="shared" si="34"/>
      </c>
      <c r="K291" s="12" t="str">
        <f t="shared" si="39"/>
      </c>
      <c r="L291" s="13" t="str">
        <f>IF(H291="","",IFERROR(INDEX('Tipos BdE'!$B$7:$M$336,MATCH(DATE(YEAR(K291),MONTH(K291),1),'Tipos BdE'!$A$7:$A$336,1),MATCH($D$9,'Tipos BdE'!$B$6:$M$6,0)),0))</f>
      </c>
      <c r="M291" s="13" t="str">
        <f t="shared" si="35"/>
      </c>
      <c r="N291" s="13" t="str">
        <f t="shared" si="36"/>
      </c>
      <c r="O291" s="14" t="str">
        <f t="shared" si="37"/>
      </c>
      <c r="P291" s="14" t="str">
        <f>IF(H291="","",$D$5+SUM($O$5:O291))</f>
      </c>
    </row>
    <row r="292" spans="7:16" x14ac:dyDescent="0.35">
      <c r="G292" s="11" t="str">
        <f t="shared" si="32"/>
      </c>
      <c r="H292" s="12" t="str">
        <f t="shared" si="38"/>
      </c>
      <c r="I292" s="12" t="str">
        <f t="shared" si="33"/>
      </c>
      <c r="J292" s="11" t="str">
        <f t="shared" si="34"/>
      </c>
      <c r="K292" s="12" t="str">
        <f t="shared" si="39"/>
      </c>
      <c r="L292" s="13" t="str">
        <f>IF(H292="","",IFERROR(INDEX('Tipos BdE'!$B$7:$M$336,MATCH(DATE(YEAR(K292),MONTH(K292),1),'Tipos BdE'!$A$7:$A$336,1),MATCH($D$9,'Tipos BdE'!$B$6:$M$6,0)),0))</f>
      </c>
      <c r="M292" s="13" t="str">
        <f t="shared" si="35"/>
      </c>
      <c r="N292" s="13" t="str">
        <f t="shared" si="36"/>
      </c>
      <c r="O292" s="14" t="str">
        <f t="shared" si="37"/>
      </c>
      <c r="P292" s="14" t="str">
        <f>IF(H292="","",$D$5+SUM($O$5:O292))</f>
      </c>
    </row>
    <row r="293" spans="7:16" x14ac:dyDescent="0.35">
      <c r="G293" s="11" t="str">
        <f t="shared" si="32"/>
      </c>
      <c r="H293" s="12" t="str">
        <f t="shared" si="38"/>
      </c>
      <c r="I293" s="12" t="str">
        <f t="shared" si="33"/>
      </c>
      <c r="J293" s="11" t="str">
        <f t="shared" si="34"/>
      </c>
      <c r="K293" s="12" t="str">
        <f t="shared" si="39"/>
      </c>
      <c r="L293" s="13" t="str">
        <f>IF(H293="","",IFERROR(INDEX('Tipos BdE'!$B$7:$M$336,MATCH(DATE(YEAR(K293),MONTH(K293),1),'Tipos BdE'!$A$7:$A$336,1),MATCH($D$9,'Tipos BdE'!$B$6:$M$6,0)),0))</f>
      </c>
      <c r="M293" s="13" t="str">
        <f t="shared" si="35"/>
      </c>
      <c r="N293" s="13" t="str">
        <f t="shared" si="36"/>
      </c>
      <c r="O293" s="14" t="str">
        <f t="shared" si="37"/>
      </c>
      <c r="P293" s="14" t="str">
        <f>IF(H293="","",$D$5+SUM($O$5:O293))</f>
      </c>
    </row>
    <row r="294" spans="7:16" x14ac:dyDescent="0.35">
      <c r="G294" s="11" t="str">
        <f t="shared" si="32"/>
      </c>
      <c r="H294" s="12" t="str">
        <f t="shared" si="38"/>
      </c>
      <c r="I294" s="12" t="str">
        <f t="shared" si="33"/>
      </c>
      <c r="J294" s="11" t="str">
        <f t="shared" si="34"/>
      </c>
      <c r="K294" s="12" t="str">
        <f t="shared" si="39"/>
      </c>
      <c r="L294" s="13" t="str">
        <f>IF(H294="","",IFERROR(INDEX('Tipos BdE'!$B$7:$M$336,MATCH(DATE(YEAR(K294),MONTH(K294),1),'Tipos BdE'!$A$7:$A$336,1),MATCH($D$9,'Tipos BdE'!$B$6:$M$6,0)),0))</f>
      </c>
      <c r="M294" s="13" t="str">
        <f t="shared" si="35"/>
      </c>
      <c r="N294" s="13" t="str">
        <f t="shared" si="36"/>
      </c>
      <c r="O294" s="14" t="str">
        <f t="shared" si="37"/>
      </c>
      <c r="P294" s="14" t="str">
        <f>IF(H294="","",$D$5+SUM($O$5:O294))</f>
      </c>
    </row>
    <row r="295" spans="7:16" x14ac:dyDescent="0.35">
      <c r="G295" s="11" t="str">
        <f t="shared" si="32"/>
      </c>
      <c r="H295" s="12" t="str">
        <f t="shared" si="38"/>
      </c>
      <c r="I295" s="12" t="str">
        <f t="shared" si="33"/>
      </c>
      <c r="J295" s="11" t="str">
        <f t="shared" si="34"/>
      </c>
      <c r="K295" s="12" t="str">
        <f t="shared" si="39"/>
      </c>
      <c r="L295" s="13" t="str">
        <f>IF(H295="","",IFERROR(INDEX('Tipos BdE'!$B$7:$M$336,MATCH(DATE(YEAR(K295),MONTH(K295),1),'Tipos BdE'!$A$7:$A$336,1),MATCH($D$9,'Tipos BdE'!$B$6:$M$6,0)),0))</f>
      </c>
      <c r="M295" s="13" t="str">
        <f t="shared" si="35"/>
      </c>
      <c r="N295" s="13" t="str">
        <f t="shared" si="36"/>
      </c>
      <c r="O295" s="14" t="str">
        <f t="shared" si="37"/>
      </c>
      <c r="P295" s="14" t="str">
        <f>IF(H295="","",$D$5+SUM($O$5:O295))</f>
      </c>
    </row>
    <row r="296" spans="7:16" x14ac:dyDescent="0.35">
      <c r="G296" s="11" t="str">
        <f t="shared" si="32"/>
      </c>
      <c r="H296" s="12" t="str">
        <f t="shared" si="38"/>
      </c>
      <c r="I296" s="12" t="str">
        <f t="shared" si="33"/>
      </c>
      <c r="J296" s="11" t="str">
        <f t="shared" si="34"/>
      </c>
      <c r="K296" s="12" t="str">
        <f t="shared" si="39"/>
      </c>
      <c r="L296" s="13" t="str">
        <f>IF(H296="","",IFERROR(INDEX('Tipos BdE'!$B$7:$M$336,MATCH(DATE(YEAR(K296),MONTH(K296),1),'Tipos BdE'!$A$7:$A$336,1),MATCH($D$9,'Tipos BdE'!$B$6:$M$6,0)),0))</f>
      </c>
      <c r="M296" s="13" t="str">
        <f t="shared" si="35"/>
      </c>
      <c r="N296" s="13" t="str">
        <f t="shared" si="36"/>
      </c>
      <c r="O296" s="14" t="str">
        <f t="shared" si="37"/>
      </c>
      <c r="P296" s="14" t="str">
        <f>IF(H296="","",$D$5+SUM($O$5:O296))</f>
      </c>
    </row>
    <row r="297" spans="7:16" x14ac:dyDescent="0.35">
      <c r="G297" s="11" t="str">
        <f t="shared" si="32"/>
      </c>
      <c r="H297" s="12" t="str">
        <f t="shared" si="38"/>
      </c>
      <c r="I297" s="12" t="str">
        <f t="shared" si="33"/>
      </c>
      <c r="J297" s="11" t="str">
        <f t="shared" si="34"/>
      </c>
      <c r="K297" s="12" t="str">
        <f t="shared" si="39"/>
      </c>
      <c r="L297" s="13" t="str">
        <f>IF(H297="","",IFERROR(INDEX('Tipos BdE'!$B$7:$M$336,MATCH(DATE(YEAR(K297),MONTH(K297),1),'Tipos BdE'!$A$7:$A$336,1),MATCH($D$9,'Tipos BdE'!$B$6:$M$6,0)),0))</f>
      </c>
      <c r="M297" s="13" t="str">
        <f t="shared" si="35"/>
      </c>
      <c r="N297" s="13" t="str">
        <f t="shared" si="36"/>
      </c>
      <c r="O297" s="14" t="str">
        <f t="shared" si="37"/>
      </c>
      <c r="P297" s="14" t="str">
        <f>IF(H297="","",$D$5+SUM($O$5:O297))</f>
      </c>
    </row>
    <row r="298" spans="7:16" x14ac:dyDescent="0.35">
      <c r="G298" s="11" t="str">
        <f t="shared" si="32"/>
      </c>
      <c r="H298" s="12" t="str">
        <f t="shared" si="38"/>
      </c>
      <c r="I298" s="12" t="str">
        <f t="shared" si="33"/>
      </c>
      <c r="J298" s="11" t="str">
        <f t="shared" si="34"/>
      </c>
      <c r="K298" s="12" t="str">
        <f t="shared" si="39"/>
      </c>
      <c r="L298" s="13" t="str">
        <f>IF(H298="","",IFERROR(INDEX('Tipos BdE'!$B$7:$M$336,MATCH(DATE(YEAR(K298),MONTH(K298),1),'Tipos BdE'!$A$7:$A$336,1),MATCH($D$9,'Tipos BdE'!$B$6:$M$6,0)),0))</f>
      </c>
      <c r="M298" s="13" t="str">
        <f t="shared" si="35"/>
      </c>
      <c r="N298" s="13" t="str">
        <f t="shared" si="36"/>
      </c>
      <c r="O298" s="14" t="str">
        <f t="shared" si="37"/>
      </c>
      <c r="P298" s="14" t="str">
        <f>IF(H298="","",$D$5+SUM($O$5:O298))</f>
      </c>
    </row>
    <row r="299" spans="7:16" x14ac:dyDescent="0.35">
      <c r="G299" s="11" t="str">
        <f t="shared" si="32"/>
      </c>
      <c r="H299" s="12" t="str">
        <f t="shared" si="38"/>
      </c>
      <c r="I299" s="12" t="str">
        <f t="shared" si="33"/>
      </c>
      <c r="J299" s="11" t="str">
        <f t="shared" si="34"/>
      </c>
      <c r="K299" s="12" t="str">
        <f t="shared" si="39"/>
      </c>
      <c r="L299" s="13" t="str">
        <f>IF(H299="","",IFERROR(INDEX('Tipos BdE'!$B$7:$M$336,MATCH(DATE(YEAR(K299),MONTH(K299),1),'Tipos BdE'!$A$7:$A$336,1),MATCH($D$9,'Tipos BdE'!$B$6:$M$6,0)),0))</f>
      </c>
      <c r="M299" s="13" t="str">
        <f t="shared" si="35"/>
      </c>
      <c r="N299" s="13" t="str">
        <f t="shared" si="36"/>
      </c>
      <c r="O299" s="14" t="str">
        <f t="shared" si="37"/>
      </c>
      <c r="P299" s="14" t="str">
        <f>IF(H299="","",$D$5+SUM($O$5:O299))</f>
      </c>
    </row>
    <row r="300" spans="7:16" x14ac:dyDescent="0.35">
      <c r="G300" s="11" t="str">
        <f t="shared" si="32"/>
      </c>
      <c r="H300" s="12" t="str">
        <f t="shared" si="38"/>
      </c>
      <c r="I300" s="12" t="str">
        <f t="shared" si="33"/>
      </c>
      <c r="J300" s="11" t="str">
        <f t="shared" si="34"/>
      </c>
      <c r="K300" s="12" t="str">
        <f t="shared" si="39"/>
      </c>
      <c r="L300" s="13" t="str">
        <f>IF(H300="","",IFERROR(INDEX('Tipos BdE'!$B$7:$M$336,MATCH(DATE(YEAR(K300),MONTH(K300),1),'Tipos BdE'!$A$7:$A$336,1),MATCH($D$9,'Tipos BdE'!$B$6:$M$6,0)),0))</f>
      </c>
      <c r="M300" s="13" t="str">
        <f t="shared" si="35"/>
      </c>
      <c r="N300" s="13" t="str">
        <f t="shared" si="36"/>
      </c>
      <c r="O300" s="14" t="str">
        <f t="shared" si="37"/>
      </c>
      <c r="P300" s="14" t="str">
        <f>IF(H300="","",$D$5+SUM($O$5:O300))</f>
      </c>
    </row>
    <row r="301" spans="7:16" x14ac:dyDescent="0.35">
      <c r="G301" s="11" t="str">
        <f t="shared" si="32"/>
      </c>
      <c r="H301" s="12" t="str">
        <f t="shared" si="38"/>
      </c>
      <c r="I301" s="12" t="str">
        <f t="shared" si="33"/>
      </c>
      <c r="J301" s="11" t="str">
        <f t="shared" si="34"/>
      </c>
      <c r="K301" s="12" t="str">
        <f t="shared" si="39"/>
      </c>
      <c r="L301" s="13" t="str">
        <f>IF(H301="","",IFERROR(INDEX('Tipos BdE'!$B$7:$M$336,MATCH(DATE(YEAR(K301),MONTH(K301),1),'Tipos BdE'!$A$7:$A$336,1),MATCH($D$9,'Tipos BdE'!$B$6:$M$6,0)),0))</f>
      </c>
      <c r="M301" s="13" t="str">
        <f t="shared" si="35"/>
      </c>
      <c r="N301" s="13" t="str">
        <f t="shared" si="36"/>
      </c>
      <c r="O301" s="14" t="str">
        <f t="shared" si="37"/>
      </c>
      <c r="P301" s="14" t="str">
        <f>IF(H301="","",$D$5+SUM($O$5:O301))</f>
      </c>
    </row>
    <row r="302" spans="7:16" x14ac:dyDescent="0.35">
      <c r="G302" s="11" t="str">
        <f t="shared" si="32"/>
      </c>
      <c r="H302" s="12" t="str">
        <f t="shared" si="38"/>
      </c>
      <c r="I302" s="12" t="str">
        <f t="shared" si="33"/>
      </c>
      <c r="J302" s="11" t="str">
        <f t="shared" si="34"/>
      </c>
      <c r="K302" s="12" t="str">
        <f t="shared" si="39"/>
      </c>
      <c r="L302" s="13" t="str">
        <f>IF(H302="","",IFERROR(INDEX('Tipos BdE'!$B$7:$M$336,MATCH(DATE(YEAR(K302),MONTH(K302),1),'Tipos BdE'!$A$7:$A$336,1),MATCH($D$9,'Tipos BdE'!$B$6:$M$6,0)),0))</f>
      </c>
      <c r="M302" s="13" t="str">
        <f t="shared" si="35"/>
      </c>
      <c r="N302" s="13" t="str">
        <f t="shared" si="36"/>
      </c>
      <c r="O302" s="14" t="str">
        <f t="shared" si="37"/>
      </c>
      <c r="P302" s="14" t="str">
        <f>IF(H302="","",$D$5+SUM($O$5:O302))</f>
      </c>
    </row>
    <row r="303" spans="7:16" x14ac:dyDescent="0.35">
      <c r="G303" s="11" t="str">
        <f t="shared" si="32"/>
      </c>
      <c r="H303" s="12" t="str">
        <f t="shared" si="38"/>
      </c>
      <c r="I303" s="12" t="str">
        <f t="shared" si="33"/>
      </c>
      <c r="J303" s="11" t="str">
        <f t="shared" si="34"/>
      </c>
      <c r="K303" s="12" t="str">
        <f t="shared" si="39"/>
      </c>
      <c r="L303" s="13" t="str">
        <f>IF(H303="","",IFERROR(INDEX('Tipos BdE'!$B$7:$M$336,MATCH(DATE(YEAR(K303),MONTH(K303),1),'Tipos BdE'!$A$7:$A$336,1),MATCH($D$9,'Tipos BdE'!$B$6:$M$6,0)),0))</f>
      </c>
      <c r="M303" s="13" t="str">
        <f t="shared" si="35"/>
      </c>
      <c r="N303" s="13" t="str">
        <f t="shared" si="36"/>
      </c>
      <c r="O303" s="14" t="str">
        <f t="shared" si="37"/>
      </c>
      <c r="P303" s="14" t="str">
        <f>IF(H303="","",$D$5+SUM($O$5:O303))</f>
      </c>
    </row>
    <row r="304" spans="7:16" x14ac:dyDescent="0.35">
      <c r="G304" s="11" t="str">
        <f t="shared" si="32"/>
      </c>
      <c r="H304" s="12" t="str">
        <f t="shared" si="38"/>
      </c>
      <c r="I304" s="12" t="str">
        <f t="shared" si="33"/>
      </c>
      <c r="J304" s="11" t="str">
        <f t="shared" si="34"/>
      </c>
      <c r="K304" s="12" t="str">
        <f t="shared" si="39"/>
      </c>
      <c r="L304" s="13" t="str">
        <f>IF(H304="","",IFERROR(INDEX('Tipos BdE'!$B$7:$M$336,MATCH(DATE(YEAR(K304),MONTH(K304),1),'Tipos BdE'!$A$7:$A$336,1),MATCH($D$9,'Tipos BdE'!$B$6:$M$6,0)),0))</f>
      </c>
      <c r="M304" s="13" t="str">
        <f t="shared" si="35"/>
      </c>
      <c r="N304" s="13" t="str">
        <f t="shared" si="36"/>
      </c>
      <c r="O304" s="14" t="str">
        <f t="shared" si="37"/>
      </c>
      <c r="P304" s="14" t="str">
        <f>IF(H304="","",$D$5+SUM($O$5:O304))</f>
      </c>
    </row>
  </sheetData>
  <mergeCells count="38">
    <mergeCell ref="A24:C24"/>
    <mergeCell ref="D12:E12"/>
    <mergeCell ref="D8:E8"/>
    <mergeCell ref="A4:E4"/>
    <mergeCell ref="A11:C11"/>
    <mergeCell ref="A20:E20"/>
    <mergeCell ref="D24:E24"/>
    <mergeCell ref="D15:E15"/>
    <mergeCell ref="D5:E5"/>
    <mergeCell ref="A6:C6"/>
    <mergeCell ref="D23:E23"/>
    <mergeCell ref="D14:E14"/>
    <mergeCell ref="A7:C7"/>
    <mergeCell ref="A16:C16"/>
    <mergeCell ref="A1:P1"/>
    <mergeCell ref="A9:C9"/>
    <mergeCell ref="D18:E18"/>
    <mergeCell ref="A15:C15"/>
    <mergeCell ref="D9:E9"/>
    <mergeCell ref="A2:P2"/>
    <mergeCell ref="D6:E6"/>
    <mergeCell ref="A5:C5"/>
    <mergeCell ref="A23:C23"/>
    <mergeCell ref="D11:E11"/>
    <mergeCell ref="A8:C8"/>
    <mergeCell ref="D13:E13"/>
    <mergeCell ref="A14:C14"/>
    <mergeCell ref="A17:C17"/>
    <mergeCell ref="D17:E17"/>
    <mergeCell ref="A10:C10"/>
    <mergeCell ref="D16:E16"/>
    <mergeCell ref="A13:C13"/>
    <mergeCell ref="D7:E7"/>
    <mergeCell ref="D10:E10"/>
    <mergeCell ref="A18:C18"/>
    <mergeCell ref="A21:C21"/>
    <mergeCell ref="A12:C12"/>
    <mergeCell ref="D21:E21"/>
  </mergeCells>
  <pageMargins left="0.25" right="0.25" top="0.75" bottom="0.75" header="0.3" footer="0.3"/>
  <pageSetup paperSize="9" scale="58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6"/>
  <sheetViews>
    <sheetView workbookViewId="0">
      <pane xSplit="1" ySplit="6" topLeftCell="B208" activePane="bottomRight" state="frozen"/>
      <selection pane="topRight"/>
      <selection pane="bottomLeft"/>
      <selection pane="bottomRight" activeCell="K166" sqref="K166"/>
    </sheetView>
  </sheetViews>
  <sheetFormatPr defaultRowHeight="14.5" x14ac:dyDescent="0.35"/>
  <cols>
    <col min="1" max="1" width="12" customWidth="1"/>
    <col min="2" max="13" width="15" customWidth="1"/>
  </cols>
  <sheetData>
    <row r="1" spans="1:13" ht="15.75" customHeight="1" x14ac:dyDescent="0.35">
      <c r="A1" s="184" t="s">
        <v>180</v>
      </c>
      <c r="B1" s="138"/>
      <c r="C1" s="138"/>
      <c r="D1" s="138"/>
      <c r="E1" s="138"/>
    </row>
    <row r="2" spans="1:13" x14ac:dyDescent="0.35">
      <c r="A2" s="67" t="s">
        <v>181</v>
      </c>
      <c r="B2" s="68" t="s">
        <v>182</v>
      </c>
    </row>
    <row r="3" spans="1:13" x14ac:dyDescent="0.35">
      <c r="A3" s="67" t="s">
        <v>183</v>
      </c>
      <c r="B3" s="188" t="s">
        <v>184</v>
      </c>
      <c r="C3" s="138"/>
      <c r="D3" s="138"/>
      <c r="E3" s="138"/>
      <c r="F3" s="138"/>
      <c r="G3" s="138"/>
      <c r="H3" s="138"/>
      <c r="I3" s="138"/>
      <c r="J3" s="138"/>
      <c r="K3" s="138"/>
    </row>
    <row r="4" spans="1:13" x14ac:dyDescent="0.35">
      <c r="A4" s="67" t="s">
        <v>185</v>
      </c>
      <c r="B4" s="187" t="s">
        <v>186</v>
      </c>
      <c r="C4" s="138"/>
      <c r="D4" s="138"/>
      <c r="E4" s="138"/>
      <c r="F4" s="138"/>
      <c r="G4" s="138"/>
      <c r="H4" s="138"/>
      <c r="I4" s="138"/>
      <c r="J4" s="138"/>
      <c r="K4" s="138"/>
    </row>
    <row r="6" spans="1:13" ht="33.75" customHeight="1" x14ac:dyDescent="0.35">
      <c r="A6" s="69" t="s">
        <v>187</v>
      </c>
      <c r="B6" s="4" t="s">
        <v>89</v>
      </c>
      <c r="C6" s="4" t="s">
        <v>188</v>
      </c>
      <c r="D6" s="4" t="s">
        <v>189</v>
      </c>
      <c r="E6" s="4" t="s">
        <v>190</v>
      </c>
      <c r="F6" s="4" t="s">
        <v>191</v>
      </c>
      <c r="G6" s="4" t="s">
        <v>192</v>
      </c>
      <c r="H6" s="4" t="s">
        <v>193</v>
      </c>
      <c r="I6" s="4" t="s">
        <v>194</v>
      </c>
      <c r="J6" s="4" t="s">
        <v>195</v>
      </c>
      <c r="K6" s="4" t="s">
        <v>196</v>
      </c>
      <c r="L6" s="4" t="s">
        <v>197</v>
      </c>
      <c r="M6" s="4" t="s">
        <v>198</v>
      </c>
    </row>
    <row r="7" spans="1:13" x14ac:dyDescent="0.35">
      <c r="A7" s="120">
        <v>36161</v>
      </c>
      <c r="B7" s="121">
        <v>3.0619999999999998</v>
      </c>
      <c r="C7" s="121"/>
      <c r="D7" s="121"/>
      <c r="E7" s="121"/>
      <c r="F7" s="121"/>
      <c r="G7" s="121">
        <v>5.1310000000000002</v>
      </c>
      <c r="H7" s="121">
        <v>3.0649999999999999</v>
      </c>
      <c r="I7" s="121"/>
      <c r="J7" s="121">
        <v>4.25</v>
      </c>
      <c r="K7" s="121">
        <v>6.25</v>
      </c>
      <c r="L7" s="121">
        <v>5.5</v>
      </c>
      <c r="M7" s="121"/>
    </row>
    <row r="8" spans="1:13" x14ac:dyDescent="0.35">
      <c r="A8" s="120">
        <v>36192</v>
      </c>
      <c r="B8" s="121">
        <v>3.03</v>
      </c>
      <c r="C8" s="121"/>
      <c r="D8" s="121"/>
      <c r="E8" s="121"/>
      <c r="F8" s="121"/>
      <c r="G8" s="121">
        <v>4.95</v>
      </c>
      <c r="H8" s="121">
        <v>3.0350000000000001</v>
      </c>
      <c r="I8" s="121"/>
      <c r="J8" s="121">
        <v>4.25</v>
      </c>
      <c r="K8" s="121">
        <v>6.25</v>
      </c>
      <c r="L8" s="121">
        <v>5.5</v>
      </c>
      <c r="M8" s="121"/>
    </row>
    <row r="9" spans="1:13" x14ac:dyDescent="0.35">
      <c r="A9" s="120">
        <v>36220</v>
      </c>
      <c r="B9" s="121">
        <v>3.0459999999999998</v>
      </c>
      <c r="C9" s="121"/>
      <c r="D9" s="121"/>
      <c r="E9" s="121"/>
      <c r="F9" s="121"/>
      <c r="G9" s="121">
        <v>4.8159999999999998</v>
      </c>
      <c r="H9" s="121">
        <v>3.0310000000000001</v>
      </c>
      <c r="I9" s="121"/>
      <c r="J9" s="121">
        <v>4.25</v>
      </c>
      <c r="K9" s="121">
        <v>6.25</v>
      </c>
      <c r="L9" s="121">
        <v>5.5</v>
      </c>
      <c r="M9" s="121"/>
    </row>
    <row r="10" spans="1:13" x14ac:dyDescent="0.35">
      <c r="A10" s="120">
        <v>36251</v>
      </c>
      <c r="B10" s="121">
        <v>2.7559999999999998</v>
      </c>
      <c r="C10" s="121"/>
      <c r="D10" s="121"/>
      <c r="E10" s="121"/>
      <c r="F10" s="121"/>
      <c r="G10" s="121">
        <v>4.7869999999999999</v>
      </c>
      <c r="H10" s="121">
        <v>2.7090000000000001</v>
      </c>
      <c r="I10" s="121"/>
      <c r="J10" s="121">
        <v>4.25</v>
      </c>
      <c r="K10" s="121">
        <v>6.25</v>
      </c>
      <c r="L10" s="121">
        <v>5.5</v>
      </c>
      <c r="M10" s="121"/>
    </row>
    <row r="11" spans="1:13" x14ac:dyDescent="0.35">
      <c r="A11" s="120">
        <v>36281</v>
      </c>
      <c r="B11" s="121">
        <v>2.6829999999999998</v>
      </c>
      <c r="C11" s="121"/>
      <c r="D11" s="121"/>
      <c r="E11" s="121"/>
      <c r="F11" s="121"/>
      <c r="G11" s="121">
        <v>4.6440000000000001</v>
      </c>
      <c r="H11" s="121">
        <v>2.6560000000000001</v>
      </c>
      <c r="I11" s="121"/>
      <c r="J11" s="121">
        <v>4.25</v>
      </c>
      <c r="K11" s="121">
        <v>6.25</v>
      </c>
      <c r="L11" s="121">
        <v>5.5</v>
      </c>
      <c r="M11" s="121"/>
    </row>
    <row r="12" spans="1:13" x14ac:dyDescent="0.35">
      <c r="A12" s="120">
        <v>36312</v>
      </c>
      <c r="B12" s="121">
        <v>2.8359999999999999</v>
      </c>
      <c r="C12" s="121"/>
      <c r="D12" s="121"/>
      <c r="E12" s="121"/>
      <c r="F12" s="121"/>
      <c r="G12" s="121">
        <v>4.5019999999999998</v>
      </c>
      <c r="H12" s="121">
        <v>2.78</v>
      </c>
      <c r="I12" s="121"/>
      <c r="J12" s="121">
        <v>4.25</v>
      </c>
      <c r="K12" s="121">
        <v>6.25</v>
      </c>
      <c r="L12" s="121">
        <v>5.5</v>
      </c>
      <c r="M12" s="121"/>
    </row>
    <row r="13" spans="1:13" x14ac:dyDescent="0.35">
      <c r="A13" s="120">
        <v>36342</v>
      </c>
      <c r="B13" s="121">
        <v>3.03</v>
      </c>
      <c r="C13" s="121"/>
      <c r="D13" s="121"/>
      <c r="E13" s="121"/>
      <c r="F13" s="121"/>
      <c r="G13" s="121">
        <v>4.4349999999999996</v>
      </c>
      <c r="H13" s="121">
        <v>3.0179999999999998</v>
      </c>
      <c r="I13" s="121"/>
      <c r="J13" s="121">
        <v>4.25</v>
      </c>
      <c r="K13" s="121">
        <v>6.25</v>
      </c>
      <c r="L13" s="121">
        <v>5.5</v>
      </c>
      <c r="M13" s="121"/>
    </row>
    <row r="14" spans="1:13" x14ac:dyDescent="0.35">
      <c r="A14" s="120">
        <v>36373</v>
      </c>
      <c r="B14" s="121">
        <v>3.2370000000000001</v>
      </c>
      <c r="C14" s="121"/>
      <c r="D14" s="121"/>
      <c r="E14" s="121"/>
      <c r="F14" s="121"/>
      <c r="G14" s="121">
        <v>4.4710000000000001</v>
      </c>
      <c r="H14" s="121">
        <v>3.2330000000000001</v>
      </c>
      <c r="I14" s="121"/>
      <c r="J14" s="121">
        <v>4.25</v>
      </c>
      <c r="K14" s="121">
        <v>6.25</v>
      </c>
      <c r="L14" s="121">
        <v>5.5</v>
      </c>
      <c r="M14" s="121"/>
    </row>
    <row r="15" spans="1:13" x14ac:dyDescent="0.35">
      <c r="A15" s="120">
        <v>36404</v>
      </c>
      <c r="B15" s="121">
        <v>3.3010000000000002</v>
      </c>
      <c r="C15" s="121"/>
      <c r="D15" s="121"/>
      <c r="E15" s="121"/>
      <c r="F15" s="121"/>
      <c r="G15" s="121">
        <v>4.5449999999999999</v>
      </c>
      <c r="H15" s="121">
        <v>3.26</v>
      </c>
      <c r="I15" s="121"/>
      <c r="J15" s="121">
        <v>4.25</v>
      </c>
      <c r="K15" s="121">
        <v>6.25</v>
      </c>
      <c r="L15" s="121">
        <v>5.5</v>
      </c>
      <c r="M15" s="121"/>
    </row>
    <row r="16" spans="1:13" x14ac:dyDescent="0.35">
      <c r="A16" s="120">
        <v>36434</v>
      </c>
      <c r="B16" s="121">
        <v>3.6840000000000002</v>
      </c>
      <c r="C16" s="121"/>
      <c r="D16" s="121"/>
      <c r="E16" s="121"/>
      <c r="F16" s="121"/>
      <c r="G16" s="121">
        <v>4.665</v>
      </c>
      <c r="H16" s="121">
        <v>3.6070000000000002</v>
      </c>
      <c r="I16" s="121"/>
      <c r="J16" s="121">
        <v>4.25</v>
      </c>
      <c r="K16" s="121">
        <v>6.25</v>
      </c>
      <c r="L16" s="121">
        <v>5.5</v>
      </c>
      <c r="M16" s="121"/>
    </row>
    <row r="17" spans="1:13" x14ac:dyDescent="0.35">
      <c r="A17" s="120">
        <v>36465</v>
      </c>
      <c r="B17" s="121">
        <v>3.6890000000000001</v>
      </c>
      <c r="C17" s="121"/>
      <c r="D17" s="121"/>
      <c r="E17" s="121"/>
      <c r="F17" s="121"/>
      <c r="G17" s="121">
        <v>4.8070000000000004</v>
      </c>
      <c r="H17" s="121">
        <v>3.6589999999999998</v>
      </c>
      <c r="I17" s="121"/>
      <c r="J17" s="121">
        <v>4.25</v>
      </c>
      <c r="K17" s="121">
        <v>6.25</v>
      </c>
      <c r="L17" s="121">
        <v>5.5</v>
      </c>
      <c r="M17" s="121"/>
    </row>
    <row r="18" spans="1:13" x14ac:dyDescent="0.35">
      <c r="A18" s="120">
        <v>36495</v>
      </c>
      <c r="B18" s="121">
        <v>3.8260000000000001</v>
      </c>
      <c r="C18" s="121"/>
      <c r="D18" s="121"/>
      <c r="E18" s="121"/>
      <c r="F18" s="121"/>
      <c r="G18" s="121">
        <v>4.9400000000000004</v>
      </c>
      <c r="H18" s="121">
        <v>3.806</v>
      </c>
      <c r="I18" s="121"/>
      <c r="J18" s="121">
        <v>4.25</v>
      </c>
      <c r="K18" s="121">
        <v>6.25</v>
      </c>
      <c r="L18" s="121">
        <v>5.5</v>
      </c>
      <c r="M18" s="121"/>
    </row>
    <row r="19" spans="1:13" x14ac:dyDescent="0.35">
      <c r="A19" s="120">
        <v>36526</v>
      </c>
      <c r="B19" s="121">
        <v>3.9489999999999998</v>
      </c>
      <c r="C19" s="121"/>
      <c r="D19" s="121"/>
      <c r="E19" s="121"/>
      <c r="F19" s="121"/>
      <c r="G19" s="121">
        <v>5.04</v>
      </c>
      <c r="H19" s="121">
        <v>3.9239999999999999</v>
      </c>
      <c r="I19" s="121"/>
      <c r="J19" s="121">
        <v>4.25</v>
      </c>
      <c r="K19" s="121">
        <v>6.25</v>
      </c>
      <c r="L19" s="121">
        <v>5.5</v>
      </c>
      <c r="M19" s="121"/>
    </row>
    <row r="20" spans="1:13" x14ac:dyDescent="0.35">
      <c r="A20" s="120">
        <v>36557</v>
      </c>
      <c r="B20" s="121">
        <v>4.1109999999999998</v>
      </c>
      <c r="C20" s="121"/>
      <c r="D20" s="121"/>
      <c r="E20" s="121"/>
      <c r="F20" s="121"/>
      <c r="G20" s="121">
        <v>5.1660000000000004</v>
      </c>
      <c r="H20" s="121">
        <v>4.0990000000000002</v>
      </c>
      <c r="I20" s="121"/>
      <c r="J20" s="121">
        <v>4.25</v>
      </c>
      <c r="K20" s="121">
        <v>6.25</v>
      </c>
      <c r="L20" s="121">
        <v>5.5</v>
      </c>
      <c r="M20" s="121"/>
    </row>
    <row r="21" spans="1:13" x14ac:dyDescent="0.35">
      <c r="A21" s="120">
        <v>36586</v>
      </c>
      <c r="B21" s="121">
        <v>4.2670000000000003</v>
      </c>
      <c r="C21" s="121"/>
      <c r="D21" s="121"/>
      <c r="E21" s="121"/>
      <c r="F21" s="121"/>
      <c r="G21" s="121">
        <v>5.2309999999999999</v>
      </c>
      <c r="H21" s="121">
        <v>4.2590000000000003</v>
      </c>
      <c r="I21" s="121"/>
      <c r="J21" s="121">
        <v>4.25</v>
      </c>
      <c r="K21" s="121">
        <v>6.25</v>
      </c>
      <c r="L21" s="121">
        <v>5.5</v>
      </c>
      <c r="M21" s="121"/>
    </row>
    <row r="22" spans="1:13" x14ac:dyDescent="0.35">
      <c r="A22" s="120">
        <v>36617</v>
      </c>
      <c r="B22" s="121">
        <v>4.3650000000000002</v>
      </c>
      <c r="C22" s="121"/>
      <c r="D22" s="121"/>
      <c r="E22" s="121"/>
      <c r="F22" s="121"/>
      <c r="G22" s="121">
        <v>5.3529999999999998</v>
      </c>
      <c r="H22" s="121">
        <v>4.3479999999999999</v>
      </c>
      <c r="I22" s="121"/>
      <c r="J22" s="121">
        <v>4.25</v>
      </c>
      <c r="K22" s="121">
        <v>6.25</v>
      </c>
      <c r="L22" s="121">
        <v>5.5</v>
      </c>
      <c r="M22" s="121"/>
    </row>
    <row r="23" spans="1:13" x14ac:dyDescent="0.35">
      <c r="A23" s="120">
        <v>36647</v>
      </c>
      <c r="B23" s="121">
        <v>4.8490000000000002</v>
      </c>
      <c r="C23" s="121"/>
      <c r="D23" s="121"/>
      <c r="E23" s="121"/>
      <c r="F23" s="121"/>
      <c r="G23" s="121">
        <v>5.5220000000000002</v>
      </c>
      <c r="H23" s="121">
        <v>4.8470000000000004</v>
      </c>
      <c r="I23" s="121"/>
      <c r="J23" s="121">
        <v>4.25</v>
      </c>
      <c r="K23" s="121">
        <v>6.25</v>
      </c>
      <c r="L23" s="121">
        <v>5.5</v>
      </c>
      <c r="M23" s="121"/>
    </row>
    <row r="24" spans="1:13" x14ac:dyDescent="0.35">
      <c r="A24" s="120">
        <v>36678</v>
      </c>
      <c r="B24" s="121">
        <v>4.9649999999999999</v>
      </c>
      <c r="C24" s="121"/>
      <c r="D24" s="121"/>
      <c r="E24" s="121"/>
      <c r="F24" s="121"/>
      <c r="G24" s="121">
        <v>5.7030000000000003</v>
      </c>
      <c r="H24" s="121">
        <v>4.9589999999999996</v>
      </c>
      <c r="I24" s="121"/>
      <c r="J24" s="121">
        <v>4.25</v>
      </c>
      <c r="K24" s="121">
        <v>6.25</v>
      </c>
      <c r="L24" s="121">
        <v>5.5</v>
      </c>
      <c r="M24" s="121"/>
    </row>
    <row r="25" spans="1:13" x14ac:dyDescent="0.35">
      <c r="A25" s="120">
        <v>36708</v>
      </c>
      <c r="B25" s="121">
        <v>5.1050000000000004</v>
      </c>
      <c r="C25" s="121"/>
      <c r="D25" s="121"/>
      <c r="E25" s="121"/>
      <c r="F25" s="121"/>
      <c r="G25" s="121">
        <v>5.891</v>
      </c>
      <c r="H25" s="121">
        <v>5.0970000000000004</v>
      </c>
      <c r="I25" s="121"/>
      <c r="J25" s="121">
        <v>4.25</v>
      </c>
      <c r="K25" s="121">
        <v>6.25</v>
      </c>
      <c r="L25" s="121">
        <v>5.5</v>
      </c>
      <c r="M25" s="121"/>
    </row>
    <row r="26" spans="1:13" x14ac:dyDescent="0.35">
      <c r="A26" s="120">
        <v>36739</v>
      </c>
      <c r="B26" s="121">
        <v>5.2480000000000002</v>
      </c>
      <c r="C26" s="121"/>
      <c r="D26" s="121"/>
      <c r="E26" s="121"/>
      <c r="F26" s="121"/>
      <c r="G26" s="121">
        <v>6.0289999999999999</v>
      </c>
      <c r="H26" s="121">
        <v>5.2469999999999999</v>
      </c>
      <c r="I26" s="121"/>
      <c r="J26" s="121">
        <v>4.25</v>
      </c>
      <c r="K26" s="121">
        <v>6.25</v>
      </c>
      <c r="L26" s="121">
        <v>5.5</v>
      </c>
      <c r="M26" s="121"/>
    </row>
    <row r="27" spans="1:13" x14ac:dyDescent="0.35">
      <c r="A27" s="120">
        <v>36770</v>
      </c>
      <c r="B27" s="121">
        <v>5.2190000000000003</v>
      </c>
      <c r="C27" s="121"/>
      <c r="D27" s="121"/>
      <c r="E27" s="121"/>
      <c r="F27" s="121"/>
      <c r="G27" s="121">
        <v>6.2320000000000002</v>
      </c>
      <c r="H27" s="121">
        <v>5.2080000000000002</v>
      </c>
      <c r="I27" s="121"/>
      <c r="J27" s="121">
        <v>4.25</v>
      </c>
      <c r="K27" s="121">
        <v>6.25</v>
      </c>
      <c r="L27" s="121">
        <v>5.5</v>
      </c>
      <c r="M27" s="121"/>
    </row>
    <row r="28" spans="1:13" x14ac:dyDescent="0.35">
      <c r="A28" s="120">
        <v>36800</v>
      </c>
      <c r="B28" s="121">
        <v>5.218</v>
      </c>
      <c r="C28" s="121"/>
      <c r="D28" s="121"/>
      <c r="E28" s="121"/>
      <c r="F28" s="121"/>
      <c r="G28" s="121">
        <v>6.2839999999999998</v>
      </c>
      <c r="H28" s="121">
        <v>5.2119999999999997</v>
      </c>
      <c r="I28" s="121"/>
      <c r="J28" s="121">
        <v>4.25</v>
      </c>
      <c r="K28" s="121">
        <v>6.25</v>
      </c>
      <c r="L28" s="121">
        <v>5.5</v>
      </c>
      <c r="M28" s="121"/>
    </row>
    <row r="29" spans="1:13" x14ac:dyDescent="0.35">
      <c r="A29" s="120">
        <v>36831</v>
      </c>
      <c r="B29" s="121">
        <v>5.1929999999999996</v>
      </c>
      <c r="C29" s="121"/>
      <c r="D29" s="121"/>
      <c r="E29" s="121"/>
      <c r="F29" s="121"/>
      <c r="G29" s="121">
        <v>6.3479999999999999</v>
      </c>
      <c r="H29" s="121">
        <v>5.1879999999999997</v>
      </c>
      <c r="I29" s="121"/>
      <c r="J29" s="121">
        <v>4.25</v>
      </c>
      <c r="K29" s="121">
        <v>6.25</v>
      </c>
      <c r="L29" s="121">
        <v>5.5</v>
      </c>
      <c r="M29" s="121"/>
    </row>
    <row r="30" spans="1:13" x14ac:dyDescent="0.35">
      <c r="A30" s="120">
        <v>36861</v>
      </c>
      <c r="B30" s="121">
        <v>4.8810000000000002</v>
      </c>
      <c r="C30" s="121"/>
      <c r="D30" s="121"/>
      <c r="E30" s="121"/>
      <c r="F30" s="121"/>
      <c r="G30" s="121">
        <v>6.3710000000000004</v>
      </c>
      <c r="H30" s="121">
        <v>4.8890000000000002</v>
      </c>
      <c r="I30" s="121"/>
      <c r="J30" s="121">
        <v>4.25</v>
      </c>
      <c r="K30" s="121">
        <v>6.25</v>
      </c>
      <c r="L30" s="121">
        <v>5.5</v>
      </c>
      <c r="M30" s="121"/>
    </row>
    <row r="31" spans="1:13" x14ac:dyDescent="0.35">
      <c r="A31" s="120">
        <v>36892</v>
      </c>
      <c r="B31" s="121">
        <v>4.5739999999999998</v>
      </c>
      <c r="C31" s="121"/>
      <c r="D31" s="121"/>
      <c r="E31" s="121"/>
      <c r="F31" s="121"/>
      <c r="G31" s="121">
        <v>6.39</v>
      </c>
      <c r="H31" s="121">
        <v>4.5640000000000001</v>
      </c>
      <c r="I31" s="121"/>
      <c r="J31" s="121">
        <v>5.5</v>
      </c>
      <c r="K31" s="121">
        <v>7.5</v>
      </c>
      <c r="L31" s="121">
        <v>6.5</v>
      </c>
      <c r="M31" s="121"/>
    </row>
    <row r="32" spans="1:13" x14ac:dyDescent="0.35">
      <c r="A32" s="120">
        <v>36923</v>
      </c>
      <c r="B32" s="121">
        <v>4.5910000000000002</v>
      </c>
      <c r="C32" s="121"/>
      <c r="D32" s="121"/>
      <c r="E32" s="121"/>
      <c r="F32" s="121"/>
      <c r="G32" s="121">
        <v>6.28</v>
      </c>
      <c r="H32" s="121">
        <v>4.5819999999999999</v>
      </c>
      <c r="I32" s="121"/>
      <c r="J32" s="121">
        <v>5.5</v>
      </c>
      <c r="K32" s="121">
        <v>7.5</v>
      </c>
      <c r="L32" s="121">
        <v>6.5</v>
      </c>
      <c r="M32" s="121"/>
    </row>
    <row r="33" spans="1:13" x14ac:dyDescent="0.35">
      <c r="A33" s="120">
        <v>36951</v>
      </c>
      <c r="B33" s="121">
        <v>4.4710000000000001</v>
      </c>
      <c r="C33" s="121"/>
      <c r="D33" s="121"/>
      <c r="E33" s="121"/>
      <c r="F33" s="121"/>
      <c r="G33" s="121">
        <v>6.1470000000000002</v>
      </c>
      <c r="H33" s="121">
        <v>4.4690000000000003</v>
      </c>
      <c r="I33" s="121"/>
      <c r="J33" s="121">
        <v>5.5</v>
      </c>
      <c r="K33" s="121">
        <v>7.5</v>
      </c>
      <c r="L33" s="121">
        <v>6.5</v>
      </c>
      <c r="M33" s="121"/>
    </row>
    <row r="34" spans="1:13" x14ac:dyDescent="0.35">
      <c r="A34" s="120">
        <v>36982</v>
      </c>
      <c r="B34" s="121">
        <v>4.4809999999999999</v>
      </c>
      <c r="C34" s="121"/>
      <c r="D34" s="121"/>
      <c r="E34" s="121"/>
      <c r="F34" s="121"/>
      <c r="G34" s="121">
        <v>6.0250000000000004</v>
      </c>
      <c r="H34" s="121">
        <v>4.46</v>
      </c>
      <c r="I34" s="121"/>
      <c r="J34" s="121">
        <v>5.5</v>
      </c>
      <c r="K34" s="121">
        <v>7.5</v>
      </c>
      <c r="L34" s="121">
        <v>6.5</v>
      </c>
      <c r="M34" s="121"/>
    </row>
    <row r="35" spans="1:13" x14ac:dyDescent="0.35">
      <c r="A35" s="120">
        <v>37012</v>
      </c>
      <c r="B35" s="121">
        <v>4.5199999999999996</v>
      </c>
      <c r="C35" s="121"/>
      <c r="D35" s="121"/>
      <c r="E35" s="121"/>
      <c r="F35" s="121"/>
      <c r="G35" s="121">
        <v>5.9260000000000002</v>
      </c>
      <c r="H35" s="121">
        <v>4.4989999999999997</v>
      </c>
      <c r="I35" s="121"/>
      <c r="J35" s="121">
        <v>5.5</v>
      </c>
      <c r="K35" s="121">
        <v>7.5</v>
      </c>
      <c r="L35" s="121">
        <v>6.5</v>
      </c>
      <c r="M35" s="121"/>
    </row>
    <row r="36" spans="1:13" x14ac:dyDescent="0.35">
      <c r="A36" s="120">
        <v>37043</v>
      </c>
      <c r="B36" s="121">
        <v>4.3120000000000003</v>
      </c>
      <c r="C36" s="121"/>
      <c r="D36" s="121"/>
      <c r="E36" s="121"/>
      <c r="F36" s="121"/>
      <c r="G36" s="121">
        <v>5.806</v>
      </c>
      <c r="H36" s="121">
        <v>4.3099999999999996</v>
      </c>
      <c r="I36" s="121"/>
      <c r="J36" s="121">
        <v>5.5</v>
      </c>
      <c r="K36" s="121">
        <v>7.5</v>
      </c>
      <c r="L36" s="121">
        <v>6.5</v>
      </c>
      <c r="M36" s="121"/>
    </row>
    <row r="37" spans="1:13" x14ac:dyDescent="0.35">
      <c r="A37" s="120">
        <v>37073</v>
      </c>
      <c r="B37" s="121">
        <v>4.3109999999999999</v>
      </c>
      <c r="C37" s="121"/>
      <c r="D37" s="121"/>
      <c r="E37" s="121"/>
      <c r="F37" s="121"/>
      <c r="G37" s="121">
        <v>5.7679999999999998</v>
      </c>
      <c r="H37" s="121">
        <v>4.3099999999999996</v>
      </c>
      <c r="I37" s="121"/>
      <c r="J37" s="121">
        <v>5.5</v>
      </c>
      <c r="K37" s="121">
        <v>7.5</v>
      </c>
      <c r="L37" s="121">
        <v>6.5</v>
      </c>
      <c r="M37" s="121"/>
    </row>
    <row r="38" spans="1:13" x14ac:dyDescent="0.35">
      <c r="A38" s="120">
        <v>37104</v>
      </c>
      <c r="B38" s="121">
        <v>4.1079999999999997</v>
      </c>
      <c r="C38" s="121"/>
      <c r="D38" s="121"/>
      <c r="E38" s="121"/>
      <c r="F38" s="121"/>
      <c r="G38" s="121">
        <v>5.7229999999999999</v>
      </c>
      <c r="H38" s="121">
        <v>4.1070000000000002</v>
      </c>
      <c r="I38" s="121"/>
      <c r="J38" s="121">
        <v>5.5</v>
      </c>
      <c r="K38" s="121">
        <v>7.5</v>
      </c>
      <c r="L38" s="121">
        <v>6.5</v>
      </c>
      <c r="M38" s="121"/>
    </row>
    <row r="39" spans="1:13" x14ac:dyDescent="0.35">
      <c r="A39" s="120">
        <v>37135</v>
      </c>
      <c r="B39" s="121">
        <v>3.77</v>
      </c>
      <c r="C39" s="121"/>
      <c r="D39" s="121"/>
      <c r="E39" s="121"/>
      <c r="F39" s="121"/>
      <c r="G39" s="121">
        <v>5.6269999999999998</v>
      </c>
      <c r="H39" s="121">
        <v>3.7709999999999999</v>
      </c>
      <c r="I39" s="121"/>
      <c r="J39" s="121">
        <v>5.5</v>
      </c>
      <c r="K39" s="121">
        <v>7.5</v>
      </c>
      <c r="L39" s="121">
        <v>6.5</v>
      </c>
      <c r="M39" s="121"/>
    </row>
    <row r="40" spans="1:13" x14ac:dyDescent="0.35">
      <c r="A40" s="120">
        <v>37165</v>
      </c>
      <c r="B40" s="121">
        <v>3.3690000000000002</v>
      </c>
      <c r="C40" s="121"/>
      <c r="D40" s="121"/>
      <c r="E40" s="121"/>
      <c r="F40" s="121"/>
      <c r="G40" s="121">
        <v>5.39</v>
      </c>
      <c r="H40" s="121">
        <v>3.3660000000000001</v>
      </c>
      <c r="I40" s="121"/>
      <c r="J40" s="121">
        <v>5.5</v>
      </c>
      <c r="K40" s="121">
        <v>7.5</v>
      </c>
      <c r="L40" s="121">
        <v>6.5</v>
      </c>
      <c r="M40" s="121"/>
    </row>
    <row r="41" spans="1:13" x14ac:dyDescent="0.35">
      <c r="A41" s="120">
        <v>37196</v>
      </c>
      <c r="B41" s="121">
        <v>3.198</v>
      </c>
      <c r="C41" s="121"/>
      <c r="D41" s="121"/>
      <c r="E41" s="121"/>
      <c r="F41" s="121"/>
      <c r="G41" s="121">
        <v>5.19</v>
      </c>
      <c r="H41" s="121">
        <v>3.1960000000000002</v>
      </c>
      <c r="I41" s="121"/>
      <c r="J41" s="121">
        <v>5.5</v>
      </c>
      <c r="K41" s="121">
        <v>7.5</v>
      </c>
      <c r="L41" s="121">
        <v>6.5</v>
      </c>
      <c r="M41" s="121"/>
    </row>
    <row r="42" spans="1:13" x14ac:dyDescent="0.35">
      <c r="A42" s="120">
        <v>37226</v>
      </c>
      <c r="B42" s="121">
        <v>3.298</v>
      </c>
      <c r="C42" s="121"/>
      <c r="D42" s="121"/>
      <c r="E42" s="121"/>
      <c r="F42" s="121"/>
      <c r="G42" s="121">
        <v>4.8520000000000003</v>
      </c>
      <c r="H42" s="121">
        <v>3.286</v>
      </c>
      <c r="I42" s="121"/>
      <c r="J42" s="121">
        <v>5.5</v>
      </c>
      <c r="K42" s="121">
        <v>7.5</v>
      </c>
      <c r="L42" s="121">
        <v>6.5</v>
      </c>
      <c r="M42" s="121"/>
    </row>
    <row r="43" spans="1:13" x14ac:dyDescent="0.35">
      <c r="A43" s="120">
        <v>37257</v>
      </c>
      <c r="B43" s="121">
        <v>3.4830000000000001</v>
      </c>
      <c r="C43" s="121"/>
      <c r="D43" s="121"/>
      <c r="E43" s="121"/>
      <c r="F43" s="121"/>
      <c r="G43" s="121">
        <v>4.7370000000000001</v>
      </c>
      <c r="H43" s="121">
        <v>3.4750000000000001</v>
      </c>
      <c r="I43" s="121"/>
      <c r="J43" s="121">
        <v>4.25</v>
      </c>
      <c r="K43" s="121">
        <v>6.25</v>
      </c>
      <c r="L43" s="121">
        <v>5.5</v>
      </c>
      <c r="M43" s="121"/>
    </row>
    <row r="44" spans="1:13" x14ac:dyDescent="0.35">
      <c r="A44" s="120">
        <v>37288</v>
      </c>
      <c r="B44" s="121">
        <v>3.5939999999999999</v>
      </c>
      <c r="C44" s="121"/>
      <c r="D44" s="121"/>
      <c r="E44" s="121"/>
      <c r="F44" s="121"/>
      <c r="G44" s="121">
        <v>4.7679999999999998</v>
      </c>
      <c r="H44" s="121">
        <v>3.581</v>
      </c>
      <c r="I44" s="121"/>
      <c r="J44" s="121">
        <v>4.25</v>
      </c>
      <c r="K44" s="121">
        <v>6.25</v>
      </c>
      <c r="L44" s="121">
        <v>5.5</v>
      </c>
      <c r="M44" s="121"/>
    </row>
    <row r="45" spans="1:13" x14ac:dyDescent="0.35">
      <c r="A45" s="120">
        <v>37316</v>
      </c>
      <c r="B45" s="121">
        <v>3.8159999999999998</v>
      </c>
      <c r="C45" s="121"/>
      <c r="D45" s="121"/>
      <c r="E45" s="121"/>
      <c r="F45" s="121"/>
      <c r="G45" s="121">
        <v>4.7850000000000001</v>
      </c>
      <c r="H45" s="121">
        <v>3.7989999999999999</v>
      </c>
      <c r="I45" s="121"/>
      <c r="J45" s="121">
        <v>4.25</v>
      </c>
      <c r="K45" s="121">
        <v>6.25</v>
      </c>
      <c r="L45" s="121">
        <v>5.5</v>
      </c>
      <c r="M45" s="121"/>
    </row>
    <row r="46" spans="1:13" x14ac:dyDescent="0.35">
      <c r="A46" s="120">
        <v>37347</v>
      </c>
      <c r="B46" s="121">
        <v>3.86</v>
      </c>
      <c r="C46" s="121"/>
      <c r="D46" s="121"/>
      <c r="E46" s="121"/>
      <c r="F46" s="121"/>
      <c r="G46" s="121">
        <v>4.8600000000000003</v>
      </c>
      <c r="H46" s="121">
        <v>3.8570000000000002</v>
      </c>
      <c r="I46" s="121"/>
      <c r="J46" s="121">
        <v>4.25</v>
      </c>
      <c r="K46" s="121">
        <v>6.25</v>
      </c>
      <c r="L46" s="121">
        <v>5.5</v>
      </c>
      <c r="M46" s="121"/>
    </row>
    <row r="47" spans="1:13" x14ac:dyDescent="0.35">
      <c r="A47" s="120">
        <v>37377</v>
      </c>
      <c r="B47" s="121">
        <v>3.9630000000000001</v>
      </c>
      <c r="C47" s="121"/>
      <c r="D47" s="121"/>
      <c r="E47" s="121"/>
      <c r="F47" s="121"/>
      <c r="G47" s="121">
        <v>4.9850000000000003</v>
      </c>
      <c r="H47" s="121">
        <v>3.948</v>
      </c>
      <c r="I47" s="121"/>
      <c r="J47" s="121">
        <v>4.25</v>
      </c>
      <c r="K47" s="121">
        <v>6.25</v>
      </c>
      <c r="L47" s="121">
        <v>5.5</v>
      </c>
      <c r="M47" s="121"/>
    </row>
    <row r="48" spans="1:13" x14ac:dyDescent="0.35">
      <c r="A48" s="120">
        <v>37408</v>
      </c>
      <c r="B48" s="121">
        <v>3.8690000000000002</v>
      </c>
      <c r="C48" s="121"/>
      <c r="D48" s="121"/>
      <c r="E48" s="121"/>
      <c r="F48" s="121"/>
      <c r="G48" s="121">
        <v>4.9950000000000001</v>
      </c>
      <c r="H48" s="121">
        <v>3.8620000000000001</v>
      </c>
      <c r="I48" s="121"/>
      <c r="J48" s="121">
        <v>4.25</v>
      </c>
      <c r="K48" s="121">
        <v>6.25</v>
      </c>
      <c r="L48" s="121">
        <v>5.5</v>
      </c>
      <c r="M48" s="121"/>
    </row>
    <row r="49" spans="1:13" x14ac:dyDescent="0.35">
      <c r="A49" s="120">
        <v>37438</v>
      </c>
      <c r="B49" s="121">
        <v>3.645</v>
      </c>
      <c r="C49" s="121"/>
      <c r="D49" s="121"/>
      <c r="E49" s="121"/>
      <c r="F49" s="121"/>
      <c r="G49" s="121">
        <v>5.0090000000000003</v>
      </c>
      <c r="H49" s="121">
        <v>3.6429999999999998</v>
      </c>
      <c r="I49" s="121"/>
      <c r="J49" s="121">
        <v>4.25</v>
      </c>
      <c r="K49" s="121">
        <v>6.25</v>
      </c>
      <c r="L49" s="121">
        <v>5.5</v>
      </c>
      <c r="M49" s="121">
        <v>10.35</v>
      </c>
    </row>
    <row r="50" spans="1:13" x14ac:dyDescent="0.35">
      <c r="A50" s="120">
        <v>37469</v>
      </c>
      <c r="B50" s="121">
        <v>3.44</v>
      </c>
      <c r="C50" s="121"/>
      <c r="D50" s="121"/>
      <c r="E50" s="121"/>
      <c r="F50" s="121"/>
      <c r="G50" s="121">
        <v>4.9989999999999997</v>
      </c>
      <c r="H50" s="121">
        <v>3.4369999999999998</v>
      </c>
      <c r="I50" s="121"/>
      <c r="J50" s="121">
        <v>4.25</v>
      </c>
      <c r="K50" s="121">
        <v>6.25</v>
      </c>
      <c r="L50" s="121">
        <v>5.5</v>
      </c>
      <c r="M50" s="121">
        <v>10.35</v>
      </c>
    </row>
    <row r="51" spans="1:13" x14ac:dyDescent="0.35">
      <c r="A51" s="120">
        <v>37500</v>
      </c>
      <c r="B51" s="121">
        <v>3.2360000000000002</v>
      </c>
      <c r="C51" s="121"/>
      <c r="D51" s="121"/>
      <c r="E51" s="121"/>
      <c r="F51" s="121"/>
      <c r="G51" s="121">
        <v>4.8179999999999996</v>
      </c>
      <c r="H51" s="121">
        <v>3.2410000000000001</v>
      </c>
      <c r="I51" s="121"/>
      <c r="J51" s="121">
        <v>4.25</v>
      </c>
      <c r="K51" s="121">
        <v>6.25</v>
      </c>
      <c r="L51" s="121">
        <v>5.5</v>
      </c>
      <c r="M51" s="121">
        <v>10.35</v>
      </c>
    </row>
    <row r="52" spans="1:13" x14ac:dyDescent="0.35">
      <c r="A52" s="120">
        <v>37530</v>
      </c>
      <c r="B52" s="121">
        <v>3.1259999999999999</v>
      </c>
      <c r="C52" s="121"/>
      <c r="D52" s="121"/>
      <c r="E52" s="121"/>
      <c r="F52" s="121"/>
      <c r="G52" s="121">
        <v>4.6900000000000004</v>
      </c>
      <c r="H52" s="121">
        <v>3.1269999999999998</v>
      </c>
      <c r="I52" s="121"/>
      <c r="J52" s="121">
        <v>4.25</v>
      </c>
      <c r="K52" s="121">
        <v>6.25</v>
      </c>
      <c r="L52" s="121">
        <v>5.5</v>
      </c>
      <c r="M52" s="121">
        <v>10.35</v>
      </c>
    </row>
    <row r="53" spans="1:13" x14ac:dyDescent="0.35">
      <c r="A53" s="120">
        <v>37561</v>
      </c>
      <c r="B53" s="121">
        <v>3.0169999999999999</v>
      </c>
      <c r="C53" s="121"/>
      <c r="D53" s="121"/>
      <c r="E53" s="121"/>
      <c r="F53" s="121"/>
      <c r="G53" s="121">
        <v>4.5170000000000003</v>
      </c>
      <c r="H53" s="121">
        <v>3.02</v>
      </c>
      <c r="I53" s="121"/>
      <c r="J53" s="121">
        <v>4.25</v>
      </c>
      <c r="K53" s="121">
        <v>6.25</v>
      </c>
      <c r="L53" s="121">
        <v>5.5</v>
      </c>
      <c r="M53" s="121">
        <v>10.35</v>
      </c>
    </row>
    <row r="54" spans="1:13" x14ac:dyDescent="0.35">
      <c r="A54" s="120">
        <v>37591</v>
      </c>
      <c r="B54" s="121">
        <v>2.8730000000000002</v>
      </c>
      <c r="C54" s="121"/>
      <c r="D54" s="121"/>
      <c r="E54" s="121"/>
      <c r="F54" s="121"/>
      <c r="G54" s="121">
        <v>4.38</v>
      </c>
      <c r="H54" s="121">
        <v>2.8780000000000001</v>
      </c>
      <c r="I54" s="121"/>
      <c r="J54" s="121">
        <v>4.25</v>
      </c>
      <c r="K54" s="121">
        <v>6.25</v>
      </c>
      <c r="L54" s="121">
        <v>5.5</v>
      </c>
      <c r="M54" s="121">
        <v>10.35</v>
      </c>
    </row>
    <row r="55" spans="1:13" x14ac:dyDescent="0.35">
      <c r="A55" s="120">
        <v>37622</v>
      </c>
      <c r="B55" s="121">
        <v>2.7050000000000001</v>
      </c>
      <c r="C55" s="121"/>
      <c r="D55" s="121"/>
      <c r="E55" s="121"/>
      <c r="F55" s="121"/>
      <c r="G55" s="121">
        <v>4.2519999999999998</v>
      </c>
      <c r="H55" s="121">
        <v>2.7029999999999998</v>
      </c>
      <c r="I55" s="121"/>
      <c r="J55" s="121">
        <v>4.25</v>
      </c>
      <c r="K55" s="121">
        <v>6.25</v>
      </c>
      <c r="L55" s="121">
        <v>5.5</v>
      </c>
      <c r="M55" s="121">
        <v>9.85</v>
      </c>
    </row>
    <row r="56" spans="1:13" x14ac:dyDescent="0.35">
      <c r="A56" s="120">
        <v>37653</v>
      </c>
      <c r="B56" s="121">
        <v>2.504</v>
      </c>
      <c r="C56" s="121"/>
      <c r="D56" s="121"/>
      <c r="E56" s="121"/>
      <c r="F56" s="121"/>
      <c r="G56" s="121">
        <v>4.1459999999999999</v>
      </c>
      <c r="H56" s="121">
        <v>2.5129999999999999</v>
      </c>
      <c r="I56" s="121"/>
      <c r="J56" s="121">
        <v>4.25</v>
      </c>
      <c r="K56" s="121">
        <v>6.25</v>
      </c>
      <c r="L56" s="121">
        <v>5.5</v>
      </c>
      <c r="M56" s="121">
        <v>9.85</v>
      </c>
    </row>
    <row r="57" spans="1:13" x14ac:dyDescent="0.35">
      <c r="A57" s="120">
        <v>37681</v>
      </c>
      <c r="B57" s="121">
        <v>2.411</v>
      </c>
      <c r="C57" s="121"/>
      <c r="D57" s="121"/>
      <c r="E57" s="121"/>
      <c r="F57" s="121"/>
      <c r="G57" s="121">
        <v>3.976</v>
      </c>
      <c r="H57" s="121">
        <v>2.42</v>
      </c>
      <c r="I57" s="121"/>
      <c r="J57" s="121">
        <v>4.25</v>
      </c>
      <c r="K57" s="121">
        <v>6.25</v>
      </c>
      <c r="L57" s="121">
        <v>5.5</v>
      </c>
      <c r="M57" s="121">
        <v>9.85</v>
      </c>
    </row>
    <row r="58" spans="1:13" x14ac:dyDescent="0.35">
      <c r="A58" s="120">
        <v>37712</v>
      </c>
      <c r="B58" s="121">
        <v>2.4470000000000001</v>
      </c>
      <c r="C58" s="121"/>
      <c r="D58" s="121"/>
      <c r="E58" s="121"/>
      <c r="F58" s="121"/>
      <c r="G58" s="121">
        <v>3.8860000000000001</v>
      </c>
      <c r="H58" s="121">
        <v>2.4580000000000002</v>
      </c>
      <c r="I58" s="121"/>
      <c r="J58" s="121">
        <v>4.25</v>
      </c>
      <c r="K58" s="121">
        <v>6.25</v>
      </c>
      <c r="L58" s="121">
        <v>5.5</v>
      </c>
      <c r="M58" s="121">
        <v>9.85</v>
      </c>
    </row>
    <row r="59" spans="1:13" x14ac:dyDescent="0.35">
      <c r="A59" s="120">
        <v>37742</v>
      </c>
      <c r="B59" s="121">
        <v>2.2519999999999998</v>
      </c>
      <c r="C59" s="121"/>
      <c r="D59" s="121"/>
      <c r="E59" s="121"/>
      <c r="F59" s="121"/>
      <c r="G59" s="121">
        <v>3.823</v>
      </c>
      <c r="H59" s="121">
        <v>2.2530000000000001</v>
      </c>
      <c r="I59" s="121"/>
      <c r="J59" s="121">
        <v>4.25</v>
      </c>
      <c r="K59" s="121">
        <v>6.25</v>
      </c>
      <c r="L59" s="121">
        <v>5.5</v>
      </c>
      <c r="M59" s="121">
        <v>9.85</v>
      </c>
    </row>
    <row r="60" spans="1:13" x14ac:dyDescent="0.35">
      <c r="A60" s="120">
        <v>37773</v>
      </c>
      <c r="B60" s="121">
        <v>2.0139999999999998</v>
      </c>
      <c r="C60" s="121"/>
      <c r="D60" s="121"/>
      <c r="E60" s="121"/>
      <c r="F60" s="121"/>
      <c r="G60" s="121">
        <v>3.7069999999999999</v>
      </c>
      <c r="H60" s="121">
        <v>2.0329999999999999</v>
      </c>
      <c r="I60" s="121"/>
      <c r="J60" s="121">
        <v>4.25</v>
      </c>
      <c r="K60" s="121">
        <v>6.25</v>
      </c>
      <c r="L60" s="121">
        <v>5.5</v>
      </c>
      <c r="M60" s="121">
        <v>9.85</v>
      </c>
    </row>
    <row r="61" spans="1:13" x14ac:dyDescent="0.35">
      <c r="A61" s="120">
        <v>37803</v>
      </c>
      <c r="B61" s="121">
        <v>2.0760000000000001</v>
      </c>
      <c r="C61" s="121"/>
      <c r="D61" s="121"/>
      <c r="E61" s="121"/>
      <c r="F61" s="121"/>
      <c r="G61" s="121">
        <v>3.5409999999999999</v>
      </c>
      <c r="H61" s="121">
        <v>2.0819999999999999</v>
      </c>
      <c r="I61" s="121"/>
      <c r="J61" s="121">
        <v>4.25</v>
      </c>
      <c r="K61" s="121">
        <v>6.25</v>
      </c>
      <c r="L61" s="121">
        <v>5.5</v>
      </c>
      <c r="M61" s="121">
        <v>9.1</v>
      </c>
    </row>
    <row r="62" spans="1:13" x14ac:dyDescent="0.35">
      <c r="A62" s="120">
        <v>37834</v>
      </c>
      <c r="B62" s="121">
        <v>2.2789999999999999</v>
      </c>
      <c r="C62" s="121"/>
      <c r="D62" s="121"/>
      <c r="E62" s="121"/>
      <c r="F62" s="121"/>
      <c r="G62" s="121">
        <v>3.47</v>
      </c>
      <c r="H62" s="121">
        <v>2.2789999999999999</v>
      </c>
      <c r="I62" s="121"/>
      <c r="J62" s="121">
        <v>4.25</v>
      </c>
      <c r="K62" s="121">
        <v>6.25</v>
      </c>
      <c r="L62" s="121">
        <v>5.5</v>
      </c>
      <c r="M62" s="121">
        <v>9.1</v>
      </c>
    </row>
    <row r="63" spans="1:13" x14ac:dyDescent="0.35">
      <c r="A63" s="120">
        <v>37865</v>
      </c>
      <c r="B63" s="121">
        <v>2.258</v>
      </c>
      <c r="C63" s="121"/>
      <c r="D63" s="121"/>
      <c r="E63" s="121"/>
      <c r="F63" s="121"/>
      <c r="G63" s="121">
        <v>3.4279999999999999</v>
      </c>
      <c r="H63" s="121">
        <v>2.2629999999999999</v>
      </c>
      <c r="I63" s="121"/>
      <c r="J63" s="121">
        <v>4.25</v>
      </c>
      <c r="K63" s="121">
        <v>6.25</v>
      </c>
      <c r="L63" s="121">
        <v>5.5</v>
      </c>
      <c r="M63" s="121">
        <v>9.1</v>
      </c>
    </row>
    <row r="64" spans="1:13" x14ac:dyDescent="0.35">
      <c r="A64" s="120">
        <v>37895</v>
      </c>
      <c r="B64" s="121">
        <v>2.3029999999999999</v>
      </c>
      <c r="C64" s="121"/>
      <c r="D64" s="121"/>
      <c r="E64" s="121"/>
      <c r="F64" s="121"/>
      <c r="G64" s="121">
        <v>3.4420000000000002</v>
      </c>
      <c r="H64" s="121">
        <v>2.2989999999999999</v>
      </c>
      <c r="I64" s="121"/>
      <c r="J64" s="121">
        <v>4.25</v>
      </c>
      <c r="K64" s="121">
        <v>6.25</v>
      </c>
      <c r="L64" s="121">
        <v>5.5</v>
      </c>
      <c r="M64" s="121">
        <v>9.1</v>
      </c>
    </row>
    <row r="65" spans="1:13" x14ac:dyDescent="0.35">
      <c r="A65" s="120">
        <v>37926</v>
      </c>
      <c r="B65" s="121">
        <v>2.41</v>
      </c>
      <c r="C65" s="121"/>
      <c r="D65" s="121"/>
      <c r="E65" s="121"/>
      <c r="F65" s="121"/>
      <c r="G65" s="121">
        <v>3.4319999999999999</v>
      </c>
      <c r="H65" s="121">
        <v>2.4089999999999998</v>
      </c>
      <c r="I65" s="121"/>
      <c r="J65" s="121">
        <v>4.25</v>
      </c>
      <c r="K65" s="121">
        <v>6.25</v>
      </c>
      <c r="L65" s="121">
        <v>5.5</v>
      </c>
      <c r="M65" s="121">
        <v>9.1</v>
      </c>
    </row>
    <row r="66" spans="1:13" x14ac:dyDescent="0.35">
      <c r="A66" s="120">
        <v>37956</v>
      </c>
      <c r="B66" s="121">
        <v>2.3809999999999998</v>
      </c>
      <c r="C66" s="121"/>
      <c r="D66" s="121"/>
      <c r="E66" s="121"/>
      <c r="F66" s="121"/>
      <c r="G66" s="121">
        <v>3.4580000000000002</v>
      </c>
      <c r="H66" s="121">
        <v>2.383</v>
      </c>
      <c r="I66" s="121"/>
      <c r="J66" s="121">
        <v>4.25</v>
      </c>
      <c r="K66" s="121">
        <v>6.25</v>
      </c>
      <c r="L66" s="121">
        <v>5.5</v>
      </c>
      <c r="M66" s="121">
        <v>9.1</v>
      </c>
    </row>
    <row r="67" spans="1:13" x14ac:dyDescent="0.35">
      <c r="A67" s="120">
        <v>37987</v>
      </c>
      <c r="B67" s="121">
        <v>2.2160000000000002</v>
      </c>
      <c r="C67" s="121"/>
      <c r="D67" s="121"/>
      <c r="E67" s="121"/>
      <c r="F67" s="121"/>
      <c r="G67" s="121">
        <v>3.4750000000000001</v>
      </c>
      <c r="H67" s="121">
        <v>2.2200000000000002</v>
      </c>
      <c r="I67" s="121"/>
      <c r="J67" s="121">
        <v>3.75</v>
      </c>
      <c r="K67" s="121">
        <v>5.75</v>
      </c>
      <c r="L67" s="121">
        <v>4.75</v>
      </c>
      <c r="M67" s="121">
        <v>9.02</v>
      </c>
    </row>
    <row r="68" spans="1:13" x14ac:dyDescent="0.35">
      <c r="A68" s="120">
        <v>38018</v>
      </c>
      <c r="B68" s="121">
        <v>2.1629999999999998</v>
      </c>
      <c r="C68" s="121"/>
      <c r="D68" s="121"/>
      <c r="E68" s="121"/>
      <c r="F68" s="121"/>
      <c r="G68" s="121">
        <v>3.4460000000000002</v>
      </c>
      <c r="H68" s="121">
        <v>2.1659999999999999</v>
      </c>
      <c r="I68" s="121"/>
      <c r="J68" s="121">
        <v>3.75</v>
      </c>
      <c r="K68" s="121">
        <v>5.75</v>
      </c>
      <c r="L68" s="121">
        <v>4.75</v>
      </c>
      <c r="M68" s="121">
        <v>9.02</v>
      </c>
    </row>
    <row r="69" spans="1:13" x14ac:dyDescent="0.35">
      <c r="A69" s="120">
        <v>38047</v>
      </c>
      <c r="B69" s="121">
        <v>2.0550000000000002</v>
      </c>
      <c r="C69" s="121"/>
      <c r="D69" s="121"/>
      <c r="E69" s="121"/>
      <c r="F69" s="121"/>
      <c r="G69" s="121">
        <v>3.3580000000000001</v>
      </c>
      <c r="H69" s="121">
        <v>2.056</v>
      </c>
      <c r="I69" s="121"/>
      <c r="J69" s="121">
        <v>3.75</v>
      </c>
      <c r="K69" s="121">
        <v>5.75</v>
      </c>
      <c r="L69" s="121">
        <v>4.75</v>
      </c>
      <c r="M69" s="121">
        <v>9.02</v>
      </c>
    </row>
    <row r="70" spans="1:13" x14ac:dyDescent="0.35">
      <c r="A70" s="120">
        <v>38078</v>
      </c>
      <c r="B70" s="121">
        <v>2.1629999999999998</v>
      </c>
      <c r="C70" s="121"/>
      <c r="D70" s="121"/>
      <c r="E70" s="121"/>
      <c r="F70" s="121"/>
      <c r="G70" s="121">
        <v>3.2789999999999999</v>
      </c>
      <c r="H70" s="121">
        <v>2.1640000000000001</v>
      </c>
      <c r="I70" s="121"/>
      <c r="J70" s="121">
        <v>3.75</v>
      </c>
      <c r="K70" s="121">
        <v>5.75</v>
      </c>
      <c r="L70" s="121">
        <v>4.75</v>
      </c>
      <c r="M70" s="121">
        <v>9.02</v>
      </c>
    </row>
    <row r="71" spans="1:13" x14ac:dyDescent="0.35">
      <c r="A71" s="120">
        <v>38108</v>
      </c>
      <c r="B71" s="121">
        <v>2.2970000000000002</v>
      </c>
      <c r="C71" s="121"/>
      <c r="D71" s="121"/>
      <c r="E71" s="121"/>
      <c r="F71" s="121"/>
      <c r="G71" s="121">
        <v>3.2549999999999999</v>
      </c>
      <c r="H71" s="121">
        <v>2.2970000000000002</v>
      </c>
      <c r="I71" s="121"/>
      <c r="J71" s="121">
        <v>3.75</v>
      </c>
      <c r="K71" s="121">
        <v>5.75</v>
      </c>
      <c r="L71" s="121">
        <v>4.75</v>
      </c>
      <c r="M71" s="121">
        <v>9.02</v>
      </c>
    </row>
    <row r="72" spans="1:13" x14ac:dyDescent="0.35">
      <c r="A72" s="120">
        <v>38139</v>
      </c>
      <c r="B72" s="121">
        <v>2.4039999999999999</v>
      </c>
      <c r="C72" s="121"/>
      <c r="D72" s="121"/>
      <c r="E72" s="121"/>
      <c r="F72" s="121"/>
      <c r="G72" s="121">
        <v>3.3069999999999999</v>
      </c>
      <c r="H72" s="121">
        <v>2.4049999999999998</v>
      </c>
      <c r="I72" s="121"/>
      <c r="J72" s="121">
        <v>3.75</v>
      </c>
      <c r="K72" s="121">
        <v>5.75</v>
      </c>
      <c r="L72" s="121">
        <v>4.75</v>
      </c>
      <c r="M72" s="121">
        <v>9.02</v>
      </c>
    </row>
    <row r="73" spans="1:13" x14ac:dyDescent="0.35">
      <c r="A73" s="120">
        <v>38169</v>
      </c>
      <c r="B73" s="121">
        <v>2.3610000000000002</v>
      </c>
      <c r="C73" s="121"/>
      <c r="D73" s="121"/>
      <c r="E73" s="121"/>
      <c r="F73" s="121"/>
      <c r="G73" s="121">
        <v>3.323</v>
      </c>
      <c r="H73" s="121">
        <v>2.367</v>
      </c>
      <c r="I73" s="121"/>
      <c r="J73" s="121">
        <v>3.75</v>
      </c>
      <c r="K73" s="121">
        <v>5.75</v>
      </c>
      <c r="L73" s="121">
        <v>4.75</v>
      </c>
      <c r="M73" s="121">
        <v>9.01</v>
      </c>
    </row>
    <row r="74" spans="1:13" x14ac:dyDescent="0.35">
      <c r="A74" s="120">
        <v>38200</v>
      </c>
      <c r="B74" s="121">
        <v>2.302</v>
      </c>
      <c r="C74" s="121"/>
      <c r="D74" s="121"/>
      <c r="E74" s="121"/>
      <c r="F74" s="121"/>
      <c r="G74" s="121">
        <v>3.3919999999999999</v>
      </c>
      <c r="H74" s="121">
        <v>2.3050000000000002</v>
      </c>
      <c r="I74" s="121"/>
      <c r="J74" s="121">
        <v>3.75</v>
      </c>
      <c r="K74" s="121">
        <v>5.75</v>
      </c>
      <c r="L74" s="121">
        <v>4.75</v>
      </c>
      <c r="M74" s="121">
        <v>9.01</v>
      </c>
    </row>
    <row r="75" spans="1:13" x14ac:dyDescent="0.35">
      <c r="A75" s="120">
        <v>38231</v>
      </c>
      <c r="B75" s="121">
        <v>2.3769999999999998</v>
      </c>
      <c r="C75" s="121"/>
      <c r="D75" s="121"/>
      <c r="E75" s="121"/>
      <c r="F75" s="121"/>
      <c r="G75" s="121">
        <v>3.367</v>
      </c>
      <c r="H75" s="121">
        <v>2.3769999999999998</v>
      </c>
      <c r="I75" s="121"/>
      <c r="J75" s="121">
        <v>3.75</v>
      </c>
      <c r="K75" s="121">
        <v>5.75</v>
      </c>
      <c r="L75" s="121">
        <v>4.75</v>
      </c>
      <c r="M75" s="121">
        <v>9.01</v>
      </c>
    </row>
    <row r="76" spans="1:13" x14ac:dyDescent="0.35">
      <c r="A76" s="120">
        <v>38261</v>
      </c>
      <c r="B76" s="121">
        <v>2.3159999999999998</v>
      </c>
      <c r="C76" s="121"/>
      <c r="D76" s="121"/>
      <c r="E76" s="121"/>
      <c r="F76" s="121"/>
      <c r="G76" s="121">
        <v>3.3319999999999999</v>
      </c>
      <c r="H76" s="121">
        <v>2.3170000000000002</v>
      </c>
      <c r="I76" s="121"/>
      <c r="J76" s="121">
        <v>3.75</v>
      </c>
      <c r="K76" s="121">
        <v>5.75</v>
      </c>
      <c r="L76" s="121">
        <v>4.75</v>
      </c>
      <c r="M76" s="121">
        <v>9.01</v>
      </c>
    </row>
    <row r="77" spans="1:13" x14ac:dyDescent="0.35">
      <c r="A77" s="120">
        <v>38292</v>
      </c>
      <c r="B77" s="121">
        <v>2.3279999999999998</v>
      </c>
      <c r="C77" s="121"/>
      <c r="D77" s="121"/>
      <c r="E77" s="121"/>
      <c r="F77" s="121"/>
      <c r="G77" s="121">
        <v>3.383</v>
      </c>
      <c r="H77" s="121">
        <v>2.33</v>
      </c>
      <c r="I77" s="121"/>
      <c r="J77" s="121">
        <v>3.75</v>
      </c>
      <c r="K77" s="121">
        <v>5.75</v>
      </c>
      <c r="L77" s="121">
        <v>4.75</v>
      </c>
      <c r="M77" s="121">
        <v>9.01</v>
      </c>
    </row>
    <row r="78" spans="1:13" x14ac:dyDescent="0.35">
      <c r="A78" s="120">
        <v>38322</v>
      </c>
      <c r="B78" s="121">
        <v>2.3010000000000002</v>
      </c>
      <c r="C78" s="121"/>
      <c r="D78" s="121"/>
      <c r="E78" s="121"/>
      <c r="F78" s="121"/>
      <c r="G78" s="121">
        <v>3.3490000000000002</v>
      </c>
      <c r="H78" s="121">
        <v>2.306</v>
      </c>
      <c r="I78" s="121"/>
      <c r="J78" s="121">
        <v>3.75</v>
      </c>
      <c r="K78" s="121">
        <v>5.75</v>
      </c>
      <c r="L78" s="121">
        <v>4.75</v>
      </c>
      <c r="M78" s="121">
        <v>9.01</v>
      </c>
    </row>
    <row r="79" spans="1:13" x14ac:dyDescent="0.35">
      <c r="A79" s="120">
        <v>38353</v>
      </c>
      <c r="B79" s="121">
        <v>2.3119999999999998</v>
      </c>
      <c r="C79" s="121"/>
      <c r="D79" s="121"/>
      <c r="E79" s="121"/>
      <c r="F79" s="121"/>
      <c r="G79" s="121">
        <v>3.3340000000000001</v>
      </c>
      <c r="H79" s="121">
        <v>2.3140000000000001</v>
      </c>
      <c r="I79" s="121"/>
      <c r="J79" s="121">
        <v>4</v>
      </c>
      <c r="K79" s="121">
        <v>6</v>
      </c>
      <c r="L79" s="121">
        <v>5</v>
      </c>
      <c r="M79" s="121">
        <v>9.09</v>
      </c>
    </row>
    <row r="80" spans="1:13" x14ac:dyDescent="0.35">
      <c r="A80" s="120">
        <v>38384</v>
      </c>
      <c r="B80" s="121">
        <v>2.31</v>
      </c>
      <c r="C80" s="121"/>
      <c r="D80" s="121"/>
      <c r="E80" s="121"/>
      <c r="F80" s="121"/>
      <c r="G80" s="121">
        <v>3.3319999999999999</v>
      </c>
      <c r="H80" s="121">
        <v>2.3079999999999998</v>
      </c>
      <c r="I80" s="121"/>
      <c r="J80" s="121">
        <v>4</v>
      </c>
      <c r="K80" s="121">
        <v>6</v>
      </c>
      <c r="L80" s="121">
        <v>5</v>
      </c>
      <c r="M80" s="121">
        <v>9.09</v>
      </c>
    </row>
    <row r="81" spans="1:13" x14ac:dyDescent="0.35">
      <c r="A81" s="120">
        <v>38412</v>
      </c>
      <c r="B81" s="121">
        <v>2.335</v>
      </c>
      <c r="C81" s="121"/>
      <c r="D81" s="121"/>
      <c r="E81" s="121"/>
      <c r="F81" s="121"/>
      <c r="G81" s="121">
        <v>3.343</v>
      </c>
      <c r="H81" s="121">
        <v>2.3330000000000002</v>
      </c>
      <c r="I81" s="121"/>
      <c r="J81" s="121">
        <v>4</v>
      </c>
      <c r="K81" s="121">
        <v>6</v>
      </c>
      <c r="L81" s="121">
        <v>5</v>
      </c>
      <c r="M81" s="121">
        <v>9.09</v>
      </c>
    </row>
    <row r="82" spans="1:13" x14ac:dyDescent="0.35">
      <c r="A82" s="120">
        <v>38443</v>
      </c>
      <c r="B82" s="121">
        <v>2.2650000000000001</v>
      </c>
      <c r="C82" s="121"/>
      <c r="D82" s="121"/>
      <c r="E82" s="121"/>
      <c r="F82" s="121"/>
      <c r="G82" s="121">
        <v>3.3250000000000002</v>
      </c>
      <c r="H82" s="121">
        <v>2.27</v>
      </c>
      <c r="I82" s="121"/>
      <c r="J82" s="121">
        <v>4</v>
      </c>
      <c r="K82" s="121">
        <v>6</v>
      </c>
      <c r="L82" s="121">
        <v>5</v>
      </c>
      <c r="M82" s="121">
        <v>9.09</v>
      </c>
    </row>
    <row r="83" spans="1:13" x14ac:dyDescent="0.35">
      <c r="A83" s="120">
        <v>38473</v>
      </c>
      <c r="B83" s="121">
        <v>2.1930000000000001</v>
      </c>
      <c r="C83" s="121"/>
      <c r="D83" s="121"/>
      <c r="E83" s="121"/>
      <c r="F83" s="121"/>
      <c r="G83" s="121">
        <v>3.3180000000000001</v>
      </c>
      <c r="H83" s="121">
        <v>2.1949999999999998</v>
      </c>
      <c r="I83" s="121"/>
      <c r="J83" s="121">
        <v>4</v>
      </c>
      <c r="K83" s="121">
        <v>6</v>
      </c>
      <c r="L83" s="121">
        <v>5</v>
      </c>
      <c r="M83" s="121">
        <v>9.09</v>
      </c>
    </row>
    <row r="84" spans="1:13" x14ac:dyDescent="0.35">
      <c r="A84" s="120">
        <v>38504</v>
      </c>
      <c r="B84" s="121">
        <v>2.1030000000000002</v>
      </c>
      <c r="C84" s="121"/>
      <c r="D84" s="121"/>
      <c r="E84" s="121"/>
      <c r="F84" s="121"/>
      <c r="G84" s="121">
        <v>3.27</v>
      </c>
      <c r="H84" s="121">
        <v>2.105</v>
      </c>
      <c r="I84" s="121"/>
      <c r="J84" s="121">
        <v>4</v>
      </c>
      <c r="K84" s="121">
        <v>6</v>
      </c>
      <c r="L84" s="121">
        <v>5</v>
      </c>
      <c r="M84" s="121">
        <v>9.09</v>
      </c>
    </row>
    <row r="85" spans="1:13" x14ac:dyDescent="0.35">
      <c r="A85" s="120">
        <v>38534</v>
      </c>
      <c r="B85" s="121">
        <v>2.1680000000000001</v>
      </c>
      <c r="C85" s="121"/>
      <c r="D85" s="121"/>
      <c r="E85" s="121"/>
      <c r="F85" s="121"/>
      <c r="G85" s="121">
        <v>3.1960000000000002</v>
      </c>
      <c r="H85" s="121">
        <v>2.1669999999999998</v>
      </c>
      <c r="I85" s="121"/>
      <c r="J85" s="121">
        <v>4</v>
      </c>
      <c r="K85" s="121">
        <v>6</v>
      </c>
      <c r="L85" s="121">
        <v>5</v>
      </c>
      <c r="M85" s="121">
        <v>9.0500000000000007</v>
      </c>
    </row>
    <row r="86" spans="1:13" x14ac:dyDescent="0.35">
      <c r="A86" s="120">
        <v>38565</v>
      </c>
      <c r="B86" s="121">
        <v>2.2229999999999999</v>
      </c>
      <c r="C86" s="121"/>
      <c r="D86" s="121"/>
      <c r="E86" s="121"/>
      <c r="F86" s="121"/>
      <c r="G86" s="121">
        <v>3.19</v>
      </c>
      <c r="H86" s="121">
        <v>2.2250000000000001</v>
      </c>
      <c r="I86" s="121"/>
      <c r="J86" s="121">
        <v>4</v>
      </c>
      <c r="K86" s="121">
        <v>6</v>
      </c>
      <c r="L86" s="121">
        <v>5</v>
      </c>
      <c r="M86" s="121">
        <v>9.0500000000000007</v>
      </c>
    </row>
    <row r="87" spans="1:13" x14ac:dyDescent="0.35">
      <c r="A87" s="120">
        <v>38596</v>
      </c>
      <c r="B87" s="121">
        <v>2.2189999999999999</v>
      </c>
      <c r="C87" s="121"/>
      <c r="D87" s="121"/>
      <c r="E87" s="121"/>
      <c r="F87" s="121"/>
      <c r="G87" s="121">
        <v>3.1970000000000001</v>
      </c>
      <c r="H87" s="121">
        <v>2.2229999999999999</v>
      </c>
      <c r="I87" s="121"/>
      <c r="J87" s="121">
        <v>4</v>
      </c>
      <c r="K87" s="121">
        <v>6</v>
      </c>
      <c r="L87" s="121">
        <v>5</v>
      </c>
      <c r="M87" s="121">
        <v>9.0500000000000007</v>
      </c>
    </row>
    <row r="88" spans="1:13" x14ac:dyDescent="0.35">
      <c r="A88" s="120">
        <v>38626</v>
      </c>
      <c r="B88" s="121">
        <v>2.4140000000000001</v>
      </c>
      <c r="C88" s="121"/>
      <c r="D88" s="121"/>
      <c r="E88" s="121"/>
      <c r="F88" s="121"/>
      <c r="G88" s="121">
        <v>3.2250000000000001</v>
      </c>
      <c r="H88" s="121">
        <v>2.415</v>
      </c>
      <c r="I88" s="121"/>
      <c r="J88" s="121">
        <v>4</v>
      </c>
      <c r="K88" s="121">
        <v>6</v>
      </c>
      <c r="L88" s="121">
        <v>5</v>
      </c>
      <c r="M88" s="121">
        <v>9.0500000000000007</v>
      </c>
    </row>
    <row r="89" spans="1:13" x14ac:dyDescent="0.35">
      <c r="A89" s="120">
        <v>38657</v>
      </c>
      <c r="B89" s="121">
        <v>2.6840000000000002</v>
      </c>
      <c r="C89" s="121"/>
      <c r="D89" s="121"/>
      <c r="E89" s="121"/>
      <c r="F89" s="121"/>
      <c r="G89" s="121">
        <v>3.2639999999999998</v>
      </c>
      <c r="H89" s="121">
        <v>2.6789999999999998</v>
      </c>
      <c r="I89" s="121"/>
      <c r="J89" s="121">
        <v>4</v>
      </c>
      <c r="K89" s="121">
        <v>6</v>
      </c>
      <c r="L89" s="121">
        <v>5</v>
      </c>
      <c r="M89" s="121">
        <v>9.0500000000000007</v>
      </c>
    </row>
    <row r="90" spans="1:13" x14ac:dyDescent="0.35">
      <c r="A90" s="120">
        <v>38687</v>
      </c>
      <c r="B90" s="121">
        <v>2.7829999999999999</v>
      </c>
      <c r="C90" s="121"/>
      <c r="D90" s="121"/>
      <c r="E90" s="121"/>
      <c r="F90" s="121"/>
      <c r="G90" s="121">
        <v>3.4039999999999999</v>
      </c>
      <c r="H90" s="121">
        <v>2.78</v>
      </c>
      <c r="I90" s="121"/>
      <c r="J90" s="121">
        <v>4</v>
      </c>
      <c r="K90" s="121">
        <v>6</v>
      </c>
      <c r="L90" s="121">
        <v>5</v>
      </c>
      <c r="M90" s="121">
        <v>9.0500000000000007</v>
      </c>
    </row>
    <row r="91" spans="1:13" x14ac:dyDescent="0.35">
      <c r="A91" s="120">
        <v>38718</v>
      </c>
      <c r="B91" s="121">
        <v>2.8330000000000002</v>
      </c>
      <c r="C91" s="121"/>
      <c r="D91" s="121"/>
      <c r="E91" s="121"/>
      <c r="F91" s="121"/>
      <c r="G91" s="121">
        <v>3.5910000000000002</v>
      </c>
      <c r="H91" s="121">
        <v>2.8239999999999998</v>
      </c>
      <c r="I91" s="121"/>
      <c r="J91" s="121">
        <v>4</v>
      </c>
      <c r="K91" s="121">
        <v>6</v>
      </c>
      <c r="L91" s="121">
        <v>5</v>
      </c>
      <c r="M91" s="121">
        <v>9.25</v>
      </c>
    </row>
    <row r="92" spans="1:13" x14ac:dyDescent="0.35">
      <c r="A92" s="120">
        <v>38749</v>
      </c>
      <c r="B92" s="121">
        <v>2.9140000000000001</v>
      </c>
      <c r="C92" s="121"/>
      <c r="D92" s="121"/>
      <c r="E92" s="121"/>
      <c r="F92" s="121"/>
      <c r="G92" s="121">
        <v>3.7010000000000001</v>
      </c>
      <c r="H92" s="121">
        <v>2.9140000000000001</v>
      </c>
      <c r="I92" s="121"/>
      <c r="J92" s="121">
        <v>4</v>
      </c>
      <c r="K92" s="121">
        <v>6</v>
      </c>
      <c r="L92" s="121">
        <v>5</v>
      </c>
      <c r="M92" s="121">
        <v>9.25</v>
      </c>
    </row>
    <row r="93" spans="1:13" x14ac:dyDescent="0.35">
      <c r="A93" s="120">
        <v>38777</v>
      </c>
      <c r="B93" s="121">
        <v>3.105</v>
      </c>
      <c r="C93" s="121"/>
      <c r="D93" s="121"/>
      <c r="E93" s="121"/>
      <c r="F93" s="121"/>
      <c r="G93" s="121">
        <v>3.7559999999999998</v>
      </c>
      <c r="H93" s="121">
        <v>3.1059999999999999</v>
      </c>
      <c r="I93" s="121"/>
      <c r="J93" s="121">
        <v>4</v>
      </c>
      <c r="K93" s="121">
        <v>6</v>
      </c>
      <c r="L93" s="121">
        <v>5</v>
      </c>
      <c r="M93" s="121">
        <v>9.25</v>
      </c>
    </row>
    <row r="94" spans="1:13" x14ac:dyDescent="0.35">
      <c r="A94" s="120">
        <v>38808</v>
      </c>
      <c r="B94" s="121">
        <v>3.2210000000000001</v>
      </c>
      <c r="C94" s="121"/>
      <c r="D94" s="121"/>
      <c r="E94" s="121"/>
      <c r="F94" s="121"/>
      <c r="G94" s="121">
        <v>3.8519999999999999</v>
      </c>
      <c r="H94" s="121">
        <v>3.2189999999999999</v>
      </c>
      <c r="I94" s="121"/>
      <c r="J94" s="121">
        <v>4</v>
      </c>
      <c r="K94" s="121">
        <v>6</v>
      </c>
      <c r="L94" s="121">
        <v>5</v>
      </c>
      <c r="M94" s="121">
        <v>9.25</v>
      </c>
    </row>
    <row r="95" spans="1:13" x14ac:dyDescent="0.35">
      <c r="A95" s="120">
        <v>38838</v>
      </c>
      <c r="B95" s="121">
        <v>3.3079999999999998</v>
      </c>
      <c r="C95" s="121"/>
      <c r="D95" s="121"/>
      <c r="E95" s="121"/>
      <c r="F95" s="121"/>
      <c r="G95" s="121">
        <v>4.048</v>
      </c>
      <c r="H95" s="121">
        <v>3.306</v>
      </c>
      <c r="I95" s="121"/>
      <c r="J95" s="121">
        <v>4</v>
      </c>
      <c r="K95" s="121">
        <v>6</v>
      </c>
      <c r="L95" s="121">
        <v>5</v>
      </c>
      <c r="M95" s="121">
        <v>9.25</v>
      </c>
    </row>
    <row r="96" spans="1:13" x14ac:dyDescent="0.35">
      <c r="A96" s="120">
        <v>38869</v>
      </c>
      <c r="B96" s="121">
        <v>3.4009999999999998</v>
      </c>
      <c r="C96" s="121"/>
      <c r="D96" s="121"/>
      <c r="E96" s="121"/>
      <c r="F96" s="121"/>
      <c r="G96" s="121">
        <v>4.1319999999999997</v>
      </c>
      <c r="H96" s="121">
        <v>3.399</v>
      </c>
      <c r="I96" s="121"/>
      <c r="J96" s="121">
        <v>4</v>
      </c>
      <c r="K96" s="121">
        <v>6</v>
      </c>
      <c r="L96" s="121">
        <v>5</v>
      </c>
      <c r="M96" s="121">
        <v>9.25</v>
      </c>
    </row>
    <row r="97" spans="1:13" x14ac:dyDescent="0.35">
      <c r="A97" s="120">
        <v>38899</v>
      </c>
      <c r="B97" s="121">
        <v>3.5390000000000001</v>
      </c>
      <c r="C97" s="121"/>
      <c r="D97" s="121"/>
      <c r="E97" s="121"/>
      <c r="F97" s="121"/>
      <c r="G97" s="121">
        <v>4.2290000000000001</v>
      </c>
      <c r="H97" s="121">
        <v>3.5329999999999999</v>
      </c>
      <c r="I97" s="121"/>
      <c r="J97" s="121">
        <v>4</v>
      </c>
      <c r="K97" s="121">
        <v>6</v>
      </c>
      <c r="L97" s="121">
        <v>5</v>
      </c>
      <c r="M97" s="121">
        <v>9.83</v>
      </c>
    </row>
    <row r="98" spans="1:13" x14ac:dyDescent="0.35">
      <c r="A98" s="120">
        <v>38930</v>
      </c>
      <c r="B98" s="121">
        <v>3.6150000000000002</v>
      </c>
      <c r="C98" s="121"/>
      <c r="D98" s="121"/>
      <c r="E98" s="121"/>
      <c r="F98" s="121"/>
      <c r="G98" s="121">
        <v>4.3550000000000004</v>
      </c>
      <c r="H98" s="121">
        <v>3.6139999999999999</v>
      </c>
      <c r="I98" s="121"/>
      <c r="J98" s="121">
        <v>4</v>
      </c>
      <c r="K98" s="121">
        <v>6</v>
      </c>
      <c r="L98" s="121">
        <v>5</v>
      </c>
      <c r="M98" s="121">
        <v>9.83</v>
      </c>
    </row>
    <row r="99" spans="1:13" x14ac:dyDescent="0.35">
      <c r="A99" s="120">
        <v>38961</v>
      </c>
      <c r="B99" s="121">
        <v>3.7149999999999999</v>
      </c>
      <c r="C99" s="121"/>
      <c r="D99" s="121"/>
      <c r="E99" s="121"/>
      <c r="F99" s="121"/>
      <c r="G99" s="121">
        <v>4.4509999999999996</v>
      </c>
      <c r="H99" s="121">
        <v>3.7090000000000001</v>
      </c>
      <c r="I99" s="121"/>
      <c r="J99" s="121">
        <v>4</v>
      </c>
      <c r="K99" s="121">
        <v>6</v>
      </c>
      <c r="L99" s="121">
        <v>5</v>
      </c>
      <c r="M99" s="121">
        <v>9.83</v>
      </c>
    </row>
    <row r="100" spans="1:13" x14ac:dyDescent="0.35">
      <c r="A100" s="120">
        <v>38991</v>
      </c>
      <c r="B100" s="121">
        <v>3.7989999999999999</v>
      </c>
      <c r="C100" s="121"/>
      <c r="D100" s="121"/>
      <c r="E100" s="121"/>
      <c r="F100" s="121"/>
      <c r="G100" s="121">
        <v>4.5620000000000003</v>
      </c>
      <c r="H100" s="121">
        <v>3.7909999999999999</v>
      </c>
      <c r="I100" s="121"/>
      <c r="J100" s="121">
        <v>4</v>
      </c>
      <c r="K100" s="121">
        <v>6</v>
      </c>
      <c r="L100" s="121">
        <v>5</v>
      </c>
      <c r="M100" s="121">
        <v>9.83</v>
      </c>
    </row>
    <row r="101" spans="1:13" x14ac:dyDescent="0.35">
      <c r="A101" s="120">
        <v>39022</v>
      </c>
      <c r="B101" s="121">
        <v>3.8639999999999999</v>
      </c>
      <c r="C101" s="121"/>
      <c r="D101" s="121"/>
      <c r="E101" s="121"/>
      <c r="F101" s="121"/>
      <c r="G101" s="121">
        <v>4.6449999999999996</v>
      </c>
      <c r="H101" s="121">
        <v>3.8580000000000001</v>
      </c>
      <c r="I101" s="121"/>
      <c r="J101" s="121">
        <v>4</v>
      </c>
      <c r="K101" s="121">
        <v>6</v>
      </c>
      <c r="L101" s="121">
        <v>5</v>
      </c>
      <c r="M101" s="121">
        <v>9.83</v>
      </c>
    </row>
    <row r="102" spans="1:13" x14ac:dyDescent="0.35">
      <c r="A102" s="120">
        <v>39052</v>
      </c>
      <c r="B102" s="121">
        <v>3.9209999999999998</v>
      </c>
      <c r="C102" s="121"/>
      <c r="D102" s="121"/>
      <c r="E102" s="121"/>
      <c r="F102" s="121"/>
      <c r="G102" s="121">
        <v>4.7530000000000001</v>
      </c>
      <c r="H102" s="121">
        <v>3.915</v>
      </c>
      <c r="I102" s="121"/>
      <c r="J102" s="121">
        <v>4</v>
      </c>
      <c r="K102" s="121">
        <v>6</v>
      </c>
      <c r="L102" s="121">
        <v>5</v>
      </c>
      <c r="M102" s="121">
        <v>9.83</v>
      </c>
    </row>
    <row r="103" spans="1:13" x14ac:dyDescent="0.35">
      <c r="A103" s="120">
        <v>39083</v>
      </c>
      <c r="B103" s="121">
        <v>4.0640000000000001</v>
      </c>
      <c r="C103" s="121"/>
      <c r="D103" s="121"/>
      <c r="E103" s="121"/>
      <c r="F103" s="121"/>
      <c r="G103" s="121">
        <v>4.8109999999999999</v>
      </c>
      <c r="H103" s="121">
        <v>4.0519999999999996</v>
      </c>
      <c r="I103" s="121"/>
      <c r="J103" s="121">
        <v>5</v>
      </c>
      <c r="K103" s="121">
        <v>7</v>
      </c>
      <c r="L103" s="121">
        <v>6.25</v>
      </c>
      <c r="M103" s="121">
        <v>10.58</v>
      </c>
    </row>
    <row r="104" spans="1:13" x14ac:dyDescent="0.35">
      <c r="A104" s="120">
        <v>39114</v>
      </c>
      <c r="B104" s="121">
        <v>4.0940000000000003</v>
      </c>
      <c r="C104" s="121"/>
      <c r="D104" s="121"/>
      <c r="E104" s="121"/>
      <c r="F104" s="121"/>
      <c r="G104" s="121">
        <v>4.8899999999999997</v>
      </c>
      <c r="H104" s="121">
        <v>4.093</v>
      </c>
      <c r="I104" s="121"/>
      <c r="J104" s="121">
        <v>5</v>
      </c>
      <c r="K104" s="121">
        <v>7</v>
      </c>
      <c r="L104" s="121">
        <v>6.25</v>
      </c>
      <c r="M104" s="121">
        <v>10.58</v>
      </c>
    </row>
    <row r="105" spans="1:13" x14ac:dyDescent="0.35">
      <c r="A105" s="120">
        <v>39142</v>
      </c>
      <c r="B105" s="121">
        <v>4.1059999999999999</v>
      </c>
      <c r="C105" s="121"/>
      <c r="D105" s="121"/>
      <c r="E105" s="121"/>
      <c r="F105" s="121"/>
      <c r="G105" s="121">
        <v>4.9749999999999996</v>
      </c>
      <c r="H105" s="121">
        <v>4.1040000000000001</v>
      </c>
      <c r="I105" s="121"/>
      <c r="J105" s="121">
        <v>5</v>
      </c>
      <c r="K105" s="121">
        <v>7</v>
      </c>
      <c r="L105" s="121">
        <v>6.25</v>
      </c>
      <c r="M105" s="121">
        <v>10.58</v>
      </c>
    </row>
    <row r="106" spans="1:13" x14ac:dyDescent="0.35">
      <c r="A106" s="120">
        <v>39173</v>
      </c>
      <c r="B106" s="121">
        <v>4.2530000000000001</v>
      </c>
      <c r="C106" s="121"/>
      <c r="D106" s="121"/>
      <c r="E106" s="121"/>
      <c r="F106" s="121"/>
      <c r="G106" s="121">
        <v>5.008</v>
      </c>
      <c r="H106" s="121">
        <v>4.2480000000000002</v>
      </c>
      <c r="I106" s="121"/>
      <c r="J106" s="121">
        <v>5</v>
      </c>
      <c r="K106" s="121">
        <v>7</v>
      </c>
      <c r="L106" s="121">
        <v>6.25</v>
      </c>
      <c r="M106" s="121">
        <v>10.58</v>
      </c>
    </row>
    <row r="107" spans="1:13" x14ac:dyDescent="0.35">
      <c r="A107" s="120">
        <v>39203</v>
      </c>
      <c r="B107" s="121">
        <v>4.3730000000000002</v>
      </c>
      <c r="C107" s="121"/>
      <c r="D107" s="121"/>
      <c r="E107" s="121"/>
      <c r="F107" s="121"/>
      <c r="G107" s="121">
        <v>5.0919999999999996</v>
      </c>
      <c r="H107" s="121">
        <v>4.37</v>
      </c>
      <c r="I107" s="121"/>
      <c r="J107" s="121">
        <v>5</v>
      </c>
      <c r="K107" s="121">
        <v>7</v>
      </c>
      <c r="L107" s="121">
        <v>6.25</v>
      </c>
      <c r="M107" s="121">
        <v>10.58</v>
      </c>
    </row>
    <row r="108" spans="1:13" x14ac:dyDescent="0.35">
      <c r="A108" s="120">
        <v>39234</v>
      </c>
      <c r="B108" s="121">
        <v>4.5049999999999999</v>
      </c>
      <c r="C108" s="121"/>
      <c r="D108" s="121"/>
      <c r="E108" s="121"/>
      <c r="F108" s="121"/>
      <c r="G108" s="121">
        <v>5.19</v>
      </c>
      <c r="H108" s="121">
        <v>4.4980000000000002</v>
      </c>
      <c r="I108" s="121"/>
      <c r="J108" s="121">
        <v>5</v>
      </c>
      <c r="K108" s="121">
        <v>7</v>
      </c>
      <c r="L108" s="121">
        <v>6.25</v>
      </c>
      <c r="M108" s="121">
        <v>10.58</v>
      </c>
    </row>
    <row r="109" spans="1:13" x14ac:dyDescent="0.35">
      <c r="A109" s="120">
        <v>39264</v>
      </c>
      <c r="B109" s="121">
        <v>4.5640000000000001</v>
      </c>
      <c r="C109" s="121"/>
      <c r="D109" s="121"/>
      <c r="E109" s="121"/>
      <c r="F109" s="121"/>
      <c r="G109" s="121">
        <v>5.3259999999999996</v>
      </c>
      <c r="H109" s="121">
        <v>4.5629999999999997</v>
      </c>
      <c r="I109" s="121"/>
      <c r="J109" s="121">
        <v>5</v>
      </c>
      <c r="K109" s="121">
        <v>7</v>
      </c>
      <c r="L109" s="121">
        <v>6.25</v>
      </c>
      <c r="M109" s="121">
        <v>11.07</v>
      </c>
    </row>
    <row r="110" spans="1:13" x14ac:dyDescent="0.35">
      <c r="A110" s="120">
        <v>39295</v>
      </c>
      <c r="B110" s="121">
        <v>4.6660000000000004</v>
      </c>
      <c r="C110" s="121"/>
      <c r="D110" s="121"/>
      <c r="E110" s="121"/>
      <c r="F110" s="121"/>
      <c r="G110" s="121">
        <v>5.4219999999999997</v>
      </c>
      <c r="H110" s="121">
        <v>4.67</v>
      </c>
      <c r="I110" s="121"/>
      <c r="J110" s="121">
        <v>5</v>
      </c>
      <c r="K110" s="121">
        <v>7</v>
      </c>
      <c r="L110" s="121">
        <v>6.25</v>
      </c>
      <c r="M110" s="121">
        <v>11.07</v>
      </c>
    </row>
    <row r="111" spans="1:13" x14ac:dyDescent="0.35">
      <c r="A111" s="120">
        <v>39326</v>
      </c>
      <c r="B111" s="121">
        <v>4.7240000000000002</v>
      </c>
      <c r="C111" s="121"/>
      <c r="D111" s="121"/>
      <c r="E111" s="121"/>
      <c r="F111" s="121"/>
      <c r="G111" s="121">
        <v>5.4969999999999999</v>
      </c>
      <c r="H111" s="121">
        <v>4.7249999999999996</v>
      </c>
      <c r="I111" s="121"/>
      <c r="J111" s="121">
        <v>5</v>
      </c>
      <c r="K111" s="121">
        <v>7</v>
      </c>
      <c r="L111" s="121">
        <v>6.25</v>
      </c>
      <c r="M111" s="121">
        <v>11.07</v>
      </c>
    </row>
    <row r="112" spans="1:13" x14ac:dyDescent="0.35">
      <c r="A112" s="120">
        <v>39356</v>
      </c>
      <c r="B112" s="121">
        <v>4.6470000000000002</v>
      </c>
      <c r="C112" s="121"/>
      <c r="D112" s="121"/>
      <c r="E112" s="121"/>
      <c r="F112" s="121"/>
      <c r="G112" s="121">
        <v>5.5510000000000002</v>
      </c>
      <c r="H112" s="121">
        <v>4.6390000000000002</v>
      </c>
      <c r="I112" s="121"/>
      <c r="J112" s="121">
        <v>5</v>
      </c>
      <c r="K112" s="121">
        <v>7</v>
      </c>
      <c r="L112" s="121">
        <v>6.25</v>
      </c>
      <c r="M112" s="121">
        <v>11.07</v>
      </c>
    </row>
    <row r="113" spans="1:13" x14ac:dyDescent="0.35">
      <c r="A113" s="120">
        <v>39387</v>
      </c>
      <c r="B113" s="121">
        <v>4.6070000000000002</v>
      </c>
      <c r="C113" s="121"/>
      <c r="D113" s="121"/>
      <c r="E113" s="121"/>
      <c r="F113" s="121"/>
      <c r="G113" s="121">
        <v>5.585</v>
      </c>
      <c r="H113" s="121">
        <v>4.5960000000000001</v>
      </c>
      <c r="I113" s="121"/>
      <c r="J113" s="121">
        <v>5</v>
      </c>
      <c r="K113" s="121">
        <v>7</v>
      </c>
      <c r="L113" s="121">
        <v>6.25</v>
      </c>
      <c r="M113" s="121">
        <v>11.07</v>
      </c>
    </row>
    <row r="114" spans="1:13" x14ac:dyDescent="0.35">
      <c r="A114" s="120">
        <v>39417</v>
      </c>
      <c r="B114" s="121">
        <v>4.7930000000000001</v>
      </c>
      <c r="C114" s="121"/>
      <c r="D114" s="121"/>
      <c r="E114" s="121"/>
      <c r="F114" s="121"/>
      <c r="G114" s="121">
        <v>5.5620000000000003</v>
      </c>
      <c r="H114" s="121">
        <v>4.7789999999999999</v>
      </c>
      <c r="I114" s="121"/>
      <c r="J114" s="121">
        <v>5</v>
      </c>
      <c r="K114" s="121">
        <v>7</v>
      </c>
      <c r="L114" s="121">
        <v>6.25</v>
      </c>
      <c r="M114" s="121">
        <v>11.07</v>
      </c>
    </row>
    <row r="115" spans="1:13" x14ac:dyDescent="0.35">
      <c r="A115" s="120">
        <v>39448</v>
      </c>
      <c r="B115" s="121">
        <v>4.4980000000000002</v>
      </c>
      <c r="C115" s="121"/>
      <c r="D115" s="121"/>
      <c r="E115" s="121"/>
      <c r="F115" s="121"/>
      <c r="G115" s="121">
        <v>5.6109999999999998</v>
      </c>
      <c r="H115" s="121">
        <v>4.5039999999999996</v>
      </c>
      <c r="I115" s="121"/>
      <c r="J115" s="121">
        <v>5.5</v>
      </c>
      <c r="K115" s="121">
        <v>7.5</v>
      </c>
      <c r="L115" s="121">
        <v>7</v>
      </c>
      <c r="M115" s="121">
        <v>11.2</v>
      </c>
    </row>
    <row r="116" spans="1:13" x14ac:dyDescent="0.35">
      <c r="A116" s="120">
        <v>39479</v>
      </c>
      <c r="B116" s="121">
        <v>4.3490000000000002</v>
      </c>
      <c r="C116" s="121"/>
      <c r="D116" s="121"/>
      <c r="E116" s="121"/>
      <c r="F116" s="121"/>
      <c r="G116" s="121">
        <v>5.5819999999999999</v>
      </c>
      <c r="H116" s="121">
        <v>4.3419999999999996</v>
      </c>
      <c r="I116" s="121"/>
      <c r="J116" s="121">
        <v>5.5</v>
      </c>
      <c r="K116" s="121">
        <v>7.5</v>
      </c>
      <c r="L116" s="121">
        <v>7</v>
      </c>
      <c r="M116" s="121">
        <v>11.2</v>
      </c>
    </row>
    <row r="117" spans="1:13" x14ac:dyDescent="0.35">
      <c r="A117" s="120">
        <v>39508</v>
      </c>
      <c r="B117" s="121">
        <v>4.59</v>
      </c>
      <c r="C117" s="121"/>
      <c r="D117" s="121"/>
      <c r="E117" s="121"/>
      <c r="F117" s="121"/>
      <c r="G117" s="121">
        <v>5.4039999999999999</v>
      </c>
      <c r="H117" s="121">
        <v>4.5810000000000004</v>
      </c>
      <c r="I117" s="121"/>
      <c r="J117" s="121">
        <v>5.5</v>
      </c>
      <c r="K117" s="121">
        <v>7.5</v>
      </c>
      <c r="L117" s="121">
        <v>7</v>
      </c>
      <c r="M117" s="121">
        <v>11.2</v>
      </c>
    </row>
    <row r="118" spans="1:13" x14ac:dyDescent="0.35">
      <c r="A118" s="120">
        <v>39539</v>
      </c>
      <c r="B118" s="121">
        <v>4.82</v>
      </c>
      <c r="C118" s="121"/>
      <c r="D118" s="121"/>
      <c r="E118" s="121"/>
      <c r="F118" s="121"/>
      <c r="G118" s="121">
        <v>5.4180000000000001</v>
      </c>
      <c r="H118" s="121">
        <v>4.8049999999999997</v>
      </c>
      <c r="I118" s="121"/>
      <c r="J118" s="121">
        <v>5.5</v>
      </c>
      <c r="K118" s="121">
        <v>7.5</v>
      </c>
      <c r="L118" s="121">
        <v>7</v>
      </c>
      <c r="M118" s="121">
        <v>11.2</v>
      </c>
    </row>
    <row r="119" spans="1:13" x14ac:dyDescent="0.35">
      <c r="A119" s="120">
        <v>39569</v>
      </c>
      <c r="B119" s="121">
        <v>4.9939999999999998</v>
      </c>
      <c r="C119" s="121"/>
      <c r="D119" s="121"/>
      <c r="E119" s="121"/>
      <c r="F119" s="121"/>
      <c r="G119" s="121">
        <v>5.5869999999999997</v>
      </c>
      <c r="H119" s="121">
        <v>4.976</v>
      </c>
      <c r="I119" s="121"/>
      <c r="J119" s="121">
        <v>5.5</v>
      </c>
      <c r="K119" s="121">
        <v>7.5</v>
      </c>
      <c r="L119" s="121">
        <v>7</v>
      </c>
      <c r="M119" s="121">
        <v>11.2</v>
      </c>
    </row>
    <row r="120" spans="1:13" x14ac:dyDescent="0.35">
      <c r="A120" s="120">
        <v>39600</v>
      </c>
      <c r="B120" s="121">
        <v>5.3609999999999998</v>
      </c>
      <c r="C120" s="121"/>
      <c r="D120" s="121"/>
      <c r="E120" s="121"/>
      <c r="F120" s="121"/>
      <c r="G120" s="121">
        <v>5.7939999999999996</v>
      </c>
      <c r="H120" s="121">
        <v>5.3380000000000001</v>
      </c>
      <c r="I120" s="121"/>
      <c r="J120" s="121">
        <v>5.5</v>
      </c>
      <c r="K120" s="121">
        <v>7.5</v>
      </c>
      <c r="L120" s="121">
        <v>7</v>
      </c>
      <c r="M120" s="121">
        <v>11.2</v>
      </c>
    </row>
    <row r="121" spans="1:13" x14ac:dyDescent="0.35">
      <c r="A121" s="120">
        <v>39630</v>
      </c>
      <c r="B121" s="121">
        <v>5.3929999999999998</v>
      </c>
      <c r="C121" s="121"/>
      <c r="D121" s="121"/>
      <c r="E121" s="121"/>
      <c r="F121" s="121"/>
      <c r="G121" s="121">
        <v>6.0060000000000002</v>
      </c>
      <c r="H121" s="121">
        <v>5.3609999999999998</v>
      </c>
      <c r="I121" s="121"/>
      <c r="J121" s="121">
        <v>5.5</v>
      </c>
      <c r="K121" s="121">
        <v>7.5</v>
      </c>
      <c r="L121" s="121">
        <v>7</v>
      </c>
      <c r="M121" s="121">
        <v>11.07</v>
      </c>
    </row>
    <row r="122" spans="1:13" x14ac:dyDescent="0.35">
      <c r="A122" s="120">
        <v>39661</v>
      </c>
      <c r="B122" s="121">
        <v>5.3230000000000004</v>
      </c>
      <c r="C122" s="121"/>
      <c r="D122" s="121"/>
      <c r="E122" s="121"/>
      <c r="F122" s="121"/>
      <c r="G122" s="121">
        <v>6.218</v>
      </c>
      <c r="H122" s="121">
        <v>5.2919999999999998</v>
      </c>
      <c r="I122" s="121"/>
      <c r="J122" s="121">
        <v>5.5</v>
      </c>
      <c r="K122" s="121">
        <v>7.5</v>
      </c>
      <c r="L122" s="121">
        <v>7</v>
      </c>
      <c r="M122" s="121">
        <v>11.07</v>
      </c>
    </row>
    <row r="123" spans="1:13" x14ac:dyDescent="0.35">
      <c r="A123" s="120">
        <v>39692</v>
      </c>
      <c r="B123" s="121">
        <v>5.3840000000000003</v>
      </c>
      <c r="C123" s="121"/>
      <c r="D123" s="121"/>
      <c r="E123" s="121"/>
      <c r="F123" s="121"/>
      <c r="G123" s="121">
        <v>6.2649999999999997</v>
      </c>
      <c r="H123" s="121">
        <v>5.3339999999999996</v>
      </c>
      <c r="I123" s="121"/>
      <c r="J123" s="121">
        <v>5.5</v>
      </c>
      <c r="K123" s="121">
        <v>7.5</v>
      </c>
      <c r="L123" s="121">
        <v>7</v>
      </c>
      <c r="M123" s="121">
        <v>11.07</v>
      </c>
    </row>
    <row r="124" spans="1:13" x14ac:dyDescent="0.35">
      <c r="A124" s="120">
        <v>39722</v>
      </c>
      <c r="B124" s="121">
        <v>5.2480000000000002</v>
      </c>
      <c r="C124" s="121"/>
      <c r="D124" s="121"/>
      <c r="E124" s="121"/>
      <c r="F124" s="121"/>
      <c r="G124" s="121">
        <v>6.2530000000000001</v>
      </c>
      <c r="H124" s="121">
        <v>5.2770000000000001</v>
      </c>
      <c r="I124" s="121"/>
      <c r="J124" s="121">
        <v>5.5</v>
      </c>
      <c r="K124" s="121">
        <v>7.5</v>
      </c>
      <c r="L124" s="121">
        <v>7</v>
      </c>
      <c r="M124" s="121">
        <v>11.07</v>
      </c>
    </row>
    <row r="125" spans="1:13" x14ac:dyDescent="0.35">
      <c r="A125" s="120">
        <v>39753</v>
      </c>
      <c r="B125" s="121">
        <v>4.3499999999999996</v>
      </c>
      <c r="C125" s="121"/>
      <c r="D125" s="121"/>
      <c r="E125" s="121"/>
      <c r="F125" s="121"/>
      <c r="G125" s="121">
        <v>6.258</v>
      </c>
      <c r="H125" s="121">
        <v>4.4240000000000004</v>
      </c>
      <c r="I125" s="121"/>
      <c r="J125" s="121">
        <v>5.5</v>
      </c>
      <c r="K125" s="121">
        <v>7.5</v>
      </c>
      <c r="L125" s="121">
        <v>7</v>
      </c>
      <c r="M125" s="121">
        <v>11.07</v>
      </c>
    </row>
    <row r="126" spans="1:13" x14ac:dyDescent="0.35">
      <c r="A126" s="120">
        <v>39783</v>
      </c>
      <c r="B126" s="121">
        <v>3.452</v>
      </c>
      <c r="C126" s="121"/>
      <c r="D126" s="121"/>
      <c r="E126" s="121"/>
      <c r="F126" s="121"/>
      <c r="G126" s="121">
        <v>5.891</v>
      </c>
      <c r="H126" s="121">
        <v>3.4550000000000001</v>
      </c>
      <c r="I126" s="121"/>
      <c r="J126" s="121">
        <v>5.5</v>
      </c>
      <c r="K126" s="121">
        <v>7.5</v>
      </c>
      <c r="L126" s="121">
        <v>7</v>
      </c>
      <c r="M126" s="121">
        <v>11.07</v>
      </c>
    </row>
    <row r="127" spans="1:13" x14ac:dyDescent="0.35">
      <c r="A127" s="120">
        <v>39814</v>
      </c>
      <c r="B127" s="121">
        <v>2.6219999999999999</v>
      </c>
      <c r="C127" s="121"/>
      <c r="D127" s="121"/>
      <c r="E127" s="121"/>
      <c r="F127" s="121"/>
      <c r="G127" s="121">
        <v>4.9829999999999997</v>
      </c>
      <c r="H127" s="121">
        <v>2.625</v>
      </c>
      <c r="I127" s="121"/>
      <c r="J127" s="121">
        <v>5.5</v>
      </c>
      <c r="K127" s="121">
        <v>7.5</v>
      </c>
      <c r="L127" s="121">
        <v>7</v>
      </c>
      <c r="M127" s="121">
        <v>9.5</v>
      </c>
    </row>
    <row r="128" spans="1:13" x14ac:dyDescent="0.35">
      <c r="A128" s="120">
        <v>39845</v>
      </c>
      <c r="B128" s="121">
        <v>2.1349999999999998</v>
      </c>
      <c r="C128" s="121"/>
      <c r="D128" s="121"/>
      <c r="E128" s="121"/>
      <c r="F128" s="121"/>
      <c r="G128" s="121">
        <v>4.3239999999999998</v>
      </c>
      <c r="H128" s="121">
        <v>2.1339999999999999</v>
      </c>
      <c r="I128" s="121"/>
      <c r="J128" s="121">
        <v>5.5</v>
      </c>
      <c r="K128" s="121">
        <v>7.5</v>
      </c>
      <c r="L128" s="121">
        <v>7</v>
      </c>
      <c r="M128" s="121">
        <v>9.5</v>
      </c>
    </row>
    <row r="129" spans="1:13" x14ac:dyDescent="0.35">
      <c r="A129" s="120">
        <v>39873</v>
      </c>
      <c r="B129" s="121">
        <v>1.909</v>
      </c>
      <c r="C129" s="121"/>
      <c r="D129" s="121"/>
      <c r="E129" s="121"/>
      <c r="F129" s="121"/>
      <c r="G129" s="121">
        <v>3.8210000000000002</v>
      </c>
      <c r="H129" s="121">
        <v>1.9079999999999999</v>
      </c>
      <c r="I129" s="121"/>
      <c r="J129" s="121">
        <v>5.5</v>
      </c>
      <c r="K129" s="121">
        <v>7.5</v>
      </c>
      <c r="L129" s="121">
        <v>7</v>
      </c>
      <c r="M129" s="121">
        <v>9.5</v>
      </c>
    </row>
    <row r="130" spans="1:13" x14ac:dyDescent="0.35">
      <c r="A130" s="120">
        <v>39904</v>
      </c>
      <c r="B130" s="121">
        <v>1.7709999999999999</v>
      </c>
      <c r="C130" s="121"/>
      <c r="D130" s="121"/>
      <c r="E130" s="121"/>
      <c r="F130" s="121"/>
      <c r="G130" s="121">
        <v>3.573</v>
      </c>
      <c r="H130" s="121">
        <v>1.7709999999999999</v>
      </c>
      <c r="I130" s="121"/>
      <c r="J130" s="121">
        <v>4</v>
      </c>
      <c r="K130" s="121">
        <v>6</v>
      </c>
      <c r="L130" s="121">
        <v>5</v>
      </c>
      <c r="M130" s="121">
        <v>9.5</v>
      </c>
    </row>
    <row r="131" spans="1:13" x14ac:dyDescent="0.35">
      <c r="A131" s="120">
        <v>39934</v>
      </c>
      <c r="B131" s="121">
        <v>1.6439999999999999</v>
      </c>
      <c r="C131" s="121"/>
      <c r="D131" s="121"/>
      <c r="E131" s="121"/>
      <c r="F131" s="121"/>
      <c r="G131" s="121">
        <v>3.411</v>
      </c>
      <c r="H131" s="121">
        <v>1.6439999999999999</v>
      </c>
      <c r="I131" s="121"/>
      <c r="J131" s="121">
        <v>4</v>
      </c>
      <c r="K131" s="121">
        <v>6</v>
      </c>
      <c r="L131" s="121">
        <v>5</v>
      </c>
      <c r="M131" s="121">
        <v>9.5</v>
      </c>
    </row>
    <row r="132" spans="1:13" x14ac:dyDescent="0.35">
      <c r="A132" s="120">
        <v>39965</v>
      </c>
      <c r="B132" s="121">
        <v>1.61</v>
      </c>
      <c r="C132" s="121"/>
      <c r="D132" s="121"/>
      <c r="E132" s="121"/>
      <c r="F132" s="121"/>
      <c r="G132" s="121">
        <v>3.294</v>
      </c>
      <c r="H132" s="121">
        <v>1.61</v>
      </c>
      <c r="I132" s="121"/>
      <c r="J132" s="121">
        <v>4</v>
      </c>
      <c r="K132" s="121">
        <v>6</v>
      </c>
      <c r="L132" s="121">
        <v>5</v>
      </c>
      <c r="M132" s="121">
        <v>9.5</v>
      </c>
    </row>
    <row r="133" spans="1:13" x14ac:dyDescent="0.35">
      <c r="A133" s="120">
        <v>39995</v>
      </c>
      <c r="B133" s="121">
        <v>1.4119999999999999</v>
      </c>
      <c r="C133" s="121"/>
      <c r="D133" s="121"/>
      <c r="E133" s="121"/>
      <c r="F133" s="121"/>
      <c r="G133" s="121">
        <v>3.1869999999999998</v>
      </c>
      <c r="H133" s="121">
        <v>1.4119999999999999</v>
      </c>
      <c r="I133" s="121"/>
      <c r="J133" s="121">
        <v>4</v>
      </c>
      <c r="K133" s="121">
        <v>6</v>
      </c>
      <c r="L133" s="121">
        <v>5</v>
      </c>
      <c r="M133" s="121">
        <v>8</v>
      </c>
    </row>
    <row r="134" spans="1:13" x14ac:dyDescent="0.35">
      <c r="A134" s="120">
        <v>40026</v>
      </c>
      <c r="B134" s="121">
        <v>1.3340000000000001</v>
      </c>
      <c r="C134" s="121"/>
      <c r="D134" s="121"/>
      <c r="E134" s="121"/>
      <c r="F134" s="121"/>
      <c r="G134" s="121">
        <v>3.0840000000000001</v>
      </c>
      <c r="H134" s="121">
        <v>1.3340000000000001</v>
      </c>
      <c r="I134" s="121"/>
      <c r="J134" s="121">
        <v>4</v>
      </c>
      <c r="K134" s="121">
        <v>6</v>
      </c>
      <c r="L134" s="121">
        <v>5</v>
      </c>
      <c r="M134" s="121">
        <v>8</v>
      </c>
    </row>
    <row r="135" spans="1:13" x14ac:dyDescent="0.35">
      <c r="A135" s="120">
        <v>40057</v>
      </c>
      <c r="B135" s="121">
        <v>1.2609999999999999</v>
      </c>
      <c r="C135" s="121"/>
      <c r="D135" s="121"/>
      <c r="E135" s="121"/>
      <c r="F135" s="121"/>
      <c r="G135" s="121">
        <v>2.99</v>
      </c>
      <c r="H135" s="121">
        <v>1.2609999999999999</v>
      </c>
      <c r="I135" s="121"/>
      <c r="J135" s="121">
        <v>4</v>
      </c>
      <c r="K135" s="121">
        <v>6</v>
      </c>
      <c r="L135" s="121">
        <v>5</v>
      </c>
      <c r="M135" s="121">
        <v>8</v>
      </c>
    </row>
    <row r="136" spans="1:13" x14ac:dyDescent="0.35">
      <c r="A136" s="120">
        <v>40087</v>
      </c>
      <c r="B136" s="121">
        <v>1.2430000000000001</v>
      </c>
      <c r="C136" s="121"/>
      <c r="D136" s="121"/>
      <c r="E136" s="121"/>
      <c r="F136" s="121"/>
      <c r="G136" s="121">
        <v>2.9209999999999998</v>
      </c>
      <c r="H136" s="121">
        <v>1.2430000000000001</v>
      </c>
      <c r="I136" s="121"/>
      <c r="J136" s="121">
        <v>4</v>
      </c>
      <c r="K136" s="121">
        <v>6</v>
      </c>
      <c r="L136" s="121">
        <v>5</v>
      </c>
      <c r="M136" s="121">
        <v>8</v>
      </c>
    </row>
    <row r="137" spans="1:13" x14ac:dyDescent="0.35">
      <c r="A137" s="120">
        <v>40118</v>
      </c>
      <c r="B137" s="121">
        <v>1.2310000000000001</v>
      </c>
      <c r="C137" s="121"/>
      <c r="D137" s="121"/>
      <c r="E137" s="121"/>
      <c r="F137" s="121"/>
      <c r="G137" s="121">
        <v>2.859</v>
      </c>
      <c r="H137" s="121">
        <v>1.2310000000000001</v>
      </c>
      <c r="I137" s="121"/>
      <c r="J137" s="121">
        <v>4</v>
      </c>
      <c r="K137" s="121">
        <v>6</v>
      </c>
      <c r="L137" s="121">
        <v>5</v>
      </c>
      <c r="M137" s="121">
        <v>8</v>
      </c>
    </row>
    <row r="138" spans="1:13" x14ac:dyDescent="0.35">
      <c r="A138" s="120">
        <v>40148</v>
      </c>
      <c r="B138" s="121">
        <v>1.242</v>
      </c>
      <c r="C138" s="121"/>
      <c r="D138" s="121"/>
      <c r="E138" s="121"/>
      <c r="F138" s="121"/>
      <c r="G138" s="121">
        <v>2.819</v>
      </c>
      <c r="H138" s="121">
        <v>1.2410000000000001</v>
      </c>
      <c r="I138" s="121"/>
      <c r="J138" s="121">
        <v>4</v>
      </c>
      <c r="K138" s="121">
        <v>6</v>
      </c>
      <c r="L138" s="121">
        <v>5</v>
      </c>
      <c r="M138" s="121">
        <v>8</v>
      </c>
    </row>
    <row r="139" spans="1:13" x14ac:dyDescent="0.35">
      <c r="A139" s="120">
        <v>40179</v>
      </c>
      <c r="B139" s="121">
        <v>1.232</v>
      </c>
      <c r="C139" s="121"/>
      <c r="D139" s="121"/>
      <c r="E139" s="121"/>
      <c r="F139" s="121"/>
      <c r="G139" s="121">
        <v>2.81</v>
      </c>
      <c r="H139" s="121">
        <v>1.232</v>
      </c>
      <c r="I139" s="121"/>
      <c r="J139" s="121">
        <v>4</v>
      </c>
      <c r="K139" s="121">
        <v>6</v>
      </c>
      <c r="L139" s="121">
        <v>5</v>
      </c>
      <c r="M139" s="121">
        <v>8</v>
      </c>
    </row>
    <row r="140" spans="1:13" x14ac:dyDescent="0.35">
      <c r="A140" s="120">
        <v>40210</v>
      </c>
      <c r="B140" s="121">
        <v>1.2250000000000001</v>
      </c>
      <c r="C140" s="121"/>
      <c r="D140" s="121"/>
      <c r="E140" s="121"/>
      <c r="F140" s="121"/>
      <c r="G140" s="121">
        <v>2.8130000000000002</v>
      </c>
      <c r="H140" s="121">
        <v>1.2529999999999999</v>
      </c>
      <c r="I140" s="121"/>
      <c r="J140" s="121">
        <v>4</v>
      </c>
      <c r="K140" s="121">
        <v>6</v>
      </c>
      <c r="L140" s="121">
        <v>5</v>
      </c>
      <c r="M140" s="121">
        <v>8</v>
      </c>
    </row>
    <row r="141" spans="1:13" x14ac:dyDescent="0.35">
      <c r="A141" s="120">
        <v>40238</v>
      </c>
      <c r="B141" s="121">
        <v>1.2150000000000001</v>
      </c>
      <c r="C141" s="121"/>
      <c r="D141" s="121"/>
      <c r="E141" s="121"/>
      <c r="F141" s="121"/>
      <c r="G141" s="121">
        <v>2.78</v>
      </c>
      <c r="H141" s="121">
        <v>1.1990000000000001</v>
      </c>
      <c r="I141" s="121"/>
      <c r="J141" s="121">
        <v>4</v>
      </c>
      <c r="K141" s="121">
        <v>6</v>
      </c>
      <c r="L141" s="121">
        <v>5</v>
      </c>
      <c r="M141" s="121">
        <v>8</v>
      </c>
    </row>
    <row r="142" spans="1:13" x14ac:dyDescent="0.35">
      <c r="A142" s="120">
        <v>40269</v>
      </c>
      <c r="B142" s="121">
        <v>1.2250000000000001</v>
      </c>
      <c r="C142" s="121"/>
      <c r="D142" s="121"/>
      <c r="E142" s="121"/>
      <c r="F142" s="121"/>
      <c r="G142" s="121">
        <v>2.786</v>
      </c>
      <c r="H142" s="121">
        <v>1.222</v>
      </c>
      <c r="I142" s="121"/>
      <c r="J142" s="121">
        <v>4</v>
      </c>
      <c r="K142" s="121">
        <v>6</v>
      </c>
      <c r="L142" s="121">
        <v>5</v>
      </c>
      <c r="M142" s="121">
        <v>8</v>
      </c>
    </row>
    <row r="143" spans="1:13" x14ac:dyDescent="0.35">
      <c r="A143" s="120">
        <v>40299</v>
      </c>
      <c r="B143" s="121">
        <v>1.2490000000000001</v>
      </c>
      <c r="C143" s="121"/>
      <c r="D143" s="121"/>
      <c r="E143" s="121"/>
      <c r="F143" s="121"/>
      <c r="G143" s="121">
        <v>2.6739999999999999</v>
      </c>
      <c r="H143" s="121">
        <v>1.2490000000000001</v>
      </c>
      <c r="I143" s="121"/>
      <c r="J143" s="121">
        <v>4</v>
      </c>
      <c r="K143" s="121">
        <v>6</v>
      </c>
      <c r="L143" s="121">
        <v>5</v>
      </c>
      <c r="M143" s="121">
        <v>8</v>
      </c>
    </row>
    <row r="144" spans="1:13" x14ac:dyDescent="0.35">
      <c r="A144" s="120">
        <v>40330</v>
      </c>
      <c r="B144" s="121">
        <v>1.2809999999999999</v>
      </c>
      <c r="C144" s="121"/>
      <c r="D144" s="121"/>
      <c r="E144" s="121"/>
      <c r="F144" s="121"/>
      <c r="G144" s="121">
        <v>2.7090000000000001</v>
      </c>
      <c r="H144" s="121">
        <v>1.2809999999999999</v>
      </c>
      <c r="I144" s="121"/>
      <c r="J144" s="121">
        <v>4</v>
      </c>
      <c r="K144" s="121">
        <v>6</v>
      </c>
      <c r="L144" s="121">
        <v>5</v>
      </c>
      <c r="M144" s="121">
        <v>8</v>
      </c>
    </row>
    <row r="145" spans="1:13" x14ac:dyDescent="0.35">
      <c r="A145" s="120">
        <v>40360</v>
      </c>
      <c r="B145" s="121">
        <v>1.373</v>
      </c>
      <c r="C145" s="121"/>
      <c r="D145" s="121"/>
      <c r="E145" s="121"/>
      <c r="F145" s="121"/>
      <c r="G145" s="121">
        <v>2.7050000000000001</v>
      </c>
      <c r="H145" s="121">
        <v>1.373</v>
      </c>
      <c r="I145" s="121"/>
      <c r="J145" s="121">
        <v>4</v>
      </c>
      <c r="K145" s="121">
        <v>6</v>
      </c>
      <c r="L145" s="121">
        <v>5</v>
      </c>
      <c r="M145" s="121">
        <v>8</v>
      </c>
    </row>
    <row r="146" spans="1:13" x14ac:dyDescent="0.35">
      <c r="A146" s="120">
        <v>40391</v>
      </c>
      <c r="B146" s="121">
        <v>1.421</v>
      </c>
      <c r="C146" s="121"/>
      <c r="D146" s="121"/>
      <c r="E146" s="121"/>
      <c r="F146" s="121"/>
      <c r="G146" s="121">
        <v>2.766</v>
      </c>
      <c r="H146" s="121">
        <v>1.421</v>
      </c>
      <c r="I146" s="121"/>
      <c r="J146" s="121">
        <v>4</v>
      </c>
      <c r="K146" s="121">
        <v>6</v>
      </c>
      <c r="L146" s="121">
        <v>5</v>
      </c>
      <c r="M146" s="121">
        <v>8</v>
      </c>
    </row>
    <row r="147" spans="1:13" x14ac:dyDescent="0.35">
      <c r="A147" s="120">
        <v>40422</v>
      </c>
      <c r="B147" s="121">
        <v>1.42</v>
      </c>
      <c r="C147" s="121"/>
      <c r="D147" s="121"/>
      <c r="E147" s="121"/>
      <c r="F147" s="121"/>
      <c r="G147" s="121">
        <v>2.7989999999999999</v>
      </c>
      <c r="H147" s="121">
        <v>1.4179999999999999</v>
      </c>
      <c r="I147" s="121"/>
      <c r="J147" s="121">
        <v>4</v>
      </c>
      <c r="K147" s="121">
        <v>6</v>
      </c>
      <c r="L147" s="121">
        <v>5</v>
      </c>
      <c r="M147" s="121">
        <v>8</v>
      </c>
    </row>
    <row r="148" spans="1:13" x14ac:dyDescent="0.35">
      <c r="A148" s="120">
        <v>40452</v>
      </c>
      <c r="B148" s="121">
        <v>1.4950000000000001</v>
      </c>
      <c r="C148" s="121"/>
      <c r="D148" s="121"/>
      <c r="E148" s="121"/>
      <c r="F148" s="121"/>
      <c r="G148" s="121">
        <v>2.7949999999999999</v>
      </c>
      <c r="H148" s="121">
        <v>1.4910000000000001</v>
      </c>
      <c r="I148" s="121"/>
      <c r="J148" s="121">
        <v>4</v>
      </c>
      <c r="K148" s="121">
        <v>6</v>
      </c>
      <c r="L148" s="121">
        <v>5</v>
      </c>
      <c r="M148" s="121">
        <v>8</v>
      </c>
    </row>
    <row r="149" spans="1:13" x14ac:dyDescent="0.35">
      <c r="A149" s="120">
        <v>40483</v>
      </c>
      <c r="B149" s="121">
        <v>1.54</v>
      </c>
      <c r="C149" s="121"/>
      <c r="D149" s="121"/>
      <c r="E149" s="121"/>
      <c r="F149" s="121"/>
      <c r="G149" s="121">
        <v>2.8250000000000002</v>
      </c>
      <c r="H149" s="121">
        <v>1.5409999999999999</v>
      </c>
      <c r="I149" s="121"/>
      <c r="J149" s="121">
        <v>4</v>
      </c>
      <c r="K149" s="121">
        <v>6</v>
      </c>
      <c r="L149" s="121">
        <v>5</v>
      </c>
      <c r="M149" s="121">
        <v>8</v>
      </c>
    </row>
    <row r="150" spans="1:13" x14ac:dyDescent="0.35">
      <c r="A150" s="120">
        <v>40513</v>
      </c>
      <c r="B150" s="121">
        <v>1.526</v>
      </c>
      <c r="C150" s="121"/>
      <c r="D150" s="121"/>
      <c r="E150" s="121"/>
      <c r="F150" s="121"/>
      <c r="G150" s="121">
        <v>2.774</v>
      </c>
      <c r="H150" s="121">
        <v>1.5249999999999999</v>
      </c>
      <c r="I150" s="121"/>
      <c r="J150" s="121">
        <v>4</v>
      </c>
      <c r="K150" s="121">
        <v>6</v>
      </c>
      <c r="L150" s="121">
        <v>5</v>
      </c>
      <c r="M150" s="121">
        <v>8</v>
      </c>
    </row>
    <row r="151" spans="1:13" x14ac:dyDescent="0.35">
      <c r="A151" s="120">
        <v>40544</v>
      </c>
      <c r="B151" s="121">
        <v>1.55</v>
      </c>
      <c r="C151" s="121"/>
      <c r="D151" s="121"/>
      <c r="E151" s="121"/>
      <c r="F151" s="121"/>
      <c r="G151" s="121">
        <v>2.9180000000000001</v>
      </c>
      <c r="H151" s="121">
        <v>1.55</v>
      </c>
      <c r="I151" s="121"/>
      <c r="J151" s="121">
        <v>4</v>
      </c>
      <c r="K151" s="121">
        <v>6</v>
      </c>
      <c r="L151" s="121">
        <v>5</v>
      </c>
      <c r="M151" s="121">
        <v>8</v>
      </c>
    </row>
    <row r="152" spans="1:13" x14ac:dyDescent="0.35">
      <c r="A152" s="120">
        <v>40575</v>
      </c>
      <c r="B152" s="121">
        <v>1.714</v>
      </c>
      <c r="C152" s="121"/>
      <c r="D152" s="121"/>
      <c r="E152" s="121"/>
      <c r="F152" s="121"/>
      <c r="G152" s="121">
        <v>2.9620000000000002</v>
      </c>
      <c r="H152" s="121">
        <v>1.714</v>
      </c>
      <c r="I152" s="121"/>
      <c r="J152" s="121">
        <v>4</v>
      </c>
      <c r="K152" s="121">
        <v>6</v>
      </c>
      <c r="L152" s="121">
        <v>5</v>
      </c>
      <c r="M152" s="121">
        <v>8</v>
      </c>
    </row>
    <row r="153" spans="1:13" x14ac:dyDescent="0.35">
      <c r="A153" s="120">
        <v>40603</v>
      </c>
      <c r="B153" s="121">
        <v>1.9239999999999999</v>
      </c>
      <c r="C153" s="121"/>
      <c r="D153" s="121"/>
      <c r="E153" s="121"/>
      <c r="F153" s="121"/>
      <c r="G153" s="121">
        <v>3.12</v>
      </c>
      <c r="H153" s="121">
        <v>1.9239999999999999</v>
      </c>
      <c r="I153" s="121"/>
      <c r="J153" s="121">
        <v>4</v>
      </c>
      <c r="K153" s="121">
        <v>6</v>
      </c>
      <c r="L153" s="121">
        <v>5</v>
      </c>
      <c r="M153" s="121">
        <v>8</v>
      </c>
    </row>
    <row r="154" spans="1:13" x14ac:dyDescent="0.35">
      <c r="A154" s="120">
        <v>40634</v>
      </c>
      <c r="B154" s="121">
        <v>2.0859999999999999</v>
      </c>
      <c r="C154" s="121"/>
      <c r="D154" s="121"/>
      <c r="E154" s="121"/>
      <c r="F154" s="121"/>
      <c r="G154" s="121">
        <v>3.226</v>
      </c>
      <c r="H154" s="121">
        <v>2.085</v>
      </c>
      <c r="I154" s="121"/>
      <c r="J154" s="121">
        <v>4</v>
      </c>
      <c r="K154" s="121">
        <v>6</v>
      </c>
      <c r="L154" s="121">
        <v>5</v>
      </c>
      <c r="M154" s="121">
        <v>8</v>
      </c>
    </row>
    <row r="155" spans="1:13" x14ac:dyDescent="0.35">
      <c r="A155" s="120">
        <v>40664</v>
      </c>
      <c r="B155" s="121">
        <v>2.1469999999999998</v>
      </c>
      <c r="C155" s="121"/>
      <c r="D155" s="121"/>
      <c r="E155" s="121"/>
      <c r="F155" s="121"/>
      <c r="G155" s="121">
        <v>3.355</v>
      </c>
      <c r="H155" s="121">
        <v>2.1539999999999999</v>
      </c>
      <c r="I155" s="121"/>
      <c r="J155" s="121">
        <v>4</v>
      </c>
      <c r="K155" s="121">
        <v>6</v>
      </c>
      <c r="L155" s="121">
        <v>5</v>
      </c>
      <c r="M155" s="121">
        <v>8</v>
      </c>
    </row>
    <row r="156" spans="1:13" x14ac:dyDescent="0.35">
      <c r="A156" s="120">
        <v>40695</v>
      </c>
      <c r="B156" s="121">
        <v>2.1440000000000001</v>
      </c>
      <c r="C156" s="121"/>
      <c r="D156" s="121"/>
      <c r="E156" s="121"/>
      <c r="F156" s="121"/>
      <c r="G156" s="121">
        <v>3.4580000000000002</v>
      </c>
      <c r="H156" s="121">
        <v>2.1440000000000001</v>
      </c>
      <c r="I156" s="121"/>
      <c r="J156" s="121">
        <v>4</v>
      </c>
      <c r="K156" s="121">
        <v>6</v>
      </c>
      <c r="L156" s="121">
        <v>5</v>
      </c>
      <c r="M156" s="121">
        <v>8</v>
      </c>
    </row>
    <row r="157" spans="1:13" x14ac:dyDescent="0.35">
      <c r="A157" s="120">
        <v>40725</v>
      </c>
      <c r="B157" s="121">
        <v>2.1829999999999998</v>
      </c>
      <c r="C157" s="121"/>
      <c r="D157" s="121"/>
      <c r="E157" s="121"/>
      <c r="F157" s="121"/>
      <c r="G157" s="121">
        <v>3.54</v>
      </c>
      <c r="H157" s="121">
        <v>2.226</v>
      </c>
      <c r="I157" s="121"/>
      <c r="J157" s="121">
        <v>4</v>
      </c>
      <c r="K157" s="121">
        <v>6</v>
      </c>
      <c r="L157" s="121">
        <v>5</v>
      </c>
      <c r="M157" s="121">
        <v>8.25</v>
      </c>
    </row>
    <row r="158" spans="1:13" x14ac:dyDescent="0.35">
      <c r="A158" s="120">
        <v>40756</v>
      </c>
      <c r="B158" s="121">
        <v>2.097</v>
      </c>
      <c r="C158" s="121"/>
      <c r="D158" s="121"/>
      <c r="E158" s="121"/>
      <c r="F158" s="121"/>
      <c r="G158" s="121">
        <v>3.5329999999999999</v>
      </c>
      <c r="H158" s="121">
        <v>2.137</v>
      </c>
      <c r="I158" s="121"/>
      <c r="J158" s="121">
        <v>4</v>
      </c>
      <c r="K158" s="121">
        <v>6</v>
      </c>
      <c r="L158" s="121">
        <v>5</v>
      </c>
      <c r="M158" s="121">
        <v>8.25</v>
      </c>
    </row>
    <row r="159" spans="1:13" x14ac:dyDescent="0.35">
      <c r="A159" s="120">
        <v>40787</v>
      </c>
      <c r="B159" s="121">
        <v>2.0670000000000002</v>
      </c>
      <c r="C159" s="121"/>
      <c r="D159" s="121"/>
      <c r="E159" s="121"/>
      <c r="F159" s="121"/>
      <c r="G159" s="121">
        <v>3.57</v>
      </c>
      <c r="H159" s="121">
        <v>2.2080000000000002</v>
      </c>
      <c r="I159" s="121"/>
      <c r="J159" s="121">
        <v>4</v>
      </c>
      <c r="K159" s="121">
        <v>6</v>
      </c>
      <c r="L159" s="121">
        <v>5</v>
      </c>
      <c r="M159" s="121">
        <v>8.25</v>
      </c>
    </row>
    <row r="160" spans="1:13" x14ac:dyDescent="0.35">
      <c r="A160" s="120">
        <v>40817</v>
      </c>
      <c r="B160" s="121">
        <v>2.11</v>
      </c>
      <c r="C160" s="121"/>
      <c r="D160" s="121"/>
      <c r="E160" s="121"/>
      <c r="F160" s="121"/>
      <c r="G160" s="121">
        <v>3.5859999999999999</v>
      </c>
      <c r="H160" s="121">
        <v>2.11</v>
      </c>
      <c r="I160" s="121"/>
      <c r="J160" s="121">
        <v>4</v>
      </c>
      <c r="K160" s="121">
        <v>6</v>
      </c>
      <c r="L160" s="121">
        <v>5</v>
      </c>
      <c r="M160" s="121">
        <v>8.25</v>
      </c>
    </row>
    <row r="161" spans="1:13" x14ac:dyDescent="0.35">
      <c r="A161" s="120">
        <v>40848</v>
      </c>
      <c r="B161" s="121">
        <v>2.044</v>
      </c>
      <c r="C161" s="121"/>
      <c r="D161" s="121"/>
      <c r="E161" s="121"/>
      <c r="F161" s="121"/>
      <c r="G161" s="121">
        <v>3.6960000000000002</v>
      </c>
      <c r="H161" s="121">
        <v>2.0920000000000001</v>
      </c>
      <c r="I161" s="121"/>
      <c r="J161" s="121">
        <v>4</v>
      </c>
      <c r="K161" s="121">
        <v>6</v>
      </c>
      <c r="L161" s="121">
        <v>5</v>
      </c>
      <c r="M161" s="121">
        <v>8.25</v>
      </c>
    </row>
    <row r="162" spans="1:13" x14ac:dyDescent="0.35">
      <c r="A162" s="120">
        <v>40878</v>
      </c>
      <c r="B162" s="121">
        <v>2.004</v>
      </c>
      <c r="C162" s="121"/>
      <c r="D162" s="121"/>
      <c r="E162" s="121"/>
      <c r="F162" s="121"/>
      <c r="G162" s="121">
        <v>3.6259999999999999</v>
      </c>
      <c r="H162" s="121">
        <v>2.004</v>
      </c>
      <c r="I162" s="121"/>
      <c r="J162" s="121">
        <v>4</v>
      </c>
      <c r="K162" s="121">
        <v>6</v>
      </c>
      <c r="L162" s="121">
        <v>5</v>
      </c>
      <c r="M162" s="121">
        <v>8.25</v>
      </c>
    </row>
    <row r="163" spans="1:13" x14ac:dyDescent="0.35">
      <c r="A163" s="120">
        <v>40909</v>
      </c>
      <c r="B163" s="121">
        <v>1.837</v>
      </c>
      <c r="C163" s="121"/>
      <c r="D163" s="121"/>
      <c r="E163" s="121"/>
      <c r="F163" s="121"/>
      <c r="G163" s="121">
        <v>3.7160000000000002</v>
      </c>
      <c r="H163" s="121">
        <v>1.837</v>
      </c>
      <c r="I163" s="121"/>
      <c r="J163" s="121">
        <v>4</v>
      </c>
      <c r="K163" s="121">
        <v>6</v>
      </c>
      <c r="L163" s="121">
        <v>5</v>
      </c>
      <c r="M163" s="121">
        <v>8</v>
      </c>
    </row>
    <row r="164" spans="1:13" x14ac:dyDescent="0.35">
      <c r="A164" s="120">
        <v>40940</v>
      </c>
      <c r="B164" s="121">
        <v>1.6779999999999999</v>
      </c>
      <c r="C164" s="121"/>
      <c r="D164" s="121"/>
      <c r="E164" s="121"/>
      <c r="F164" s="121"/>
      <c r="G164" s="121">
        <v>3.7370000000000001</v>
      </c>
      <c r="H164" s="121">
        <v>1.679</v>
      </c>
      <c r="I164" s="121"/>
      <c r="J164" s="121">
        <v>4</v>
      </c>
      <c r="K164" s="121">
        <v>6</v>
      </c>
      <c r="L164" s="121">
        <v>5</v>
      </c>
      <c r="M164" s="121">
        <v>8</v>
      </c>
    </row>
    <row r="165" spans="1:13" x14ac:dyDescent="0.35">
      <c r="A165" s="120">
        <v>40969</v>
      </c>
      <c r="B165" s="121">
        <v>1.4990000000000001</v>
      </c>
      <c r="C165" s="121"/>
      <c r="D165" s="121"/>
      <c r="E165" s="121"/>
      <c r="F165" s="121"/>
      <c r="G165" s="121">
        <v>3.6240000000000001</v>
      </c>
      <c r="H165" s="121">
        <v>1.498</v>
      </c>
      <c r="I165" s="121"/>
      <c r="J165" s="121">
        <v>4</v>
      </c>
      <c r="K165" s="121">
        <v>6</v>
      </c>
      <c r="L165" s="121">
        <v>5</v>
      </c>
      <c r="M165" s="121">
        <v>8</v>
      </c>
    </row>
    <row r="166" spans="1:13" x14ac:dyDescent="0.35">
      <c r="A166" s="120">
        <v>41000</v>
      </c>
      <c r="B166" s="121">
        <v>1.3680000000000001</v>
      </c>
      <c r="C166" s="121"/>
      <c r="D166" s="121"/>
      <c r="E166" s="121"/>
      <c r="F166" s="121"/>
      <c r="G166" s="121">
        <v>3.617</v>
      </c>
      <c r="H166" s="121">
        <v>1.3680000000000001</v>
      </c>
      <c r="I166" s="121"/>
      <c r="J166" s="121">
        <v>4</v>
      </c>
      <c r="K166" s="121">
        <v>6</v>
      </c>
      <c r="L166" s="121">
        <v>5</v>
      </c>
      <c r="M166" s="121">
        <v>8</v>
      </c>
    </row>
    <row r="167" spans="1:13" x14ac:dyDescent="0.35">
      <c r="A167" s="120">
        <v>41030</v>
      </c>
      <c r="B167" s="121">
        <v>1.266</v>
      </c>
      <c r="C167" s="121"/>
      <c r="D167" s="121"/>
      <c r="E167" s="121"/>
      <c r="F167" s="121"/>
      <c r="G167" s="121">
        <v>3.4529999999999998</v>
      </c>
      <c r="H167" s="121">
        <v>1.266</v>
      </c>
      <c r="I167" s="121"/>
      <c r="J167" s="121">
        <v>4</v>
      </c>
      <c r="K167" s="121">
        <v>6</v>
      </c>
      <c r="L167" s="121">
        <v>5</v>
      </c>
      <c r="M167" s="121">
        <v>8</v>
      </c>
    </row>
    <row r="168" spans="1:13" x14ac:dyDescent="0.35">
      <c r="A168" s="120">
        <v>41061</v>
      </c>
      <c r="B168" s="121">
        <v>1.2190000000000001</v>
      </c>
      <c r="C168" s="121"/>
      <c r="D168" s="121"/>
      <c r="E168" s="121"/>
      <c r="F168" s="121"/>
      <c r="G168" s="121">
        <v>3.4809999999999999</v>
      </c>
      <c r="H168" s="121">
        <v>1.2190000000000001</v>
      </c>
      <c r="I168" s="121"/>
      <c r="J168" s="121">
        <v>4</v>
      </c>
      <c r="K168" s="121">
        <v>6</v>
      </c>
      <c r="L168" s="121">
        <v>5</v>
      </c>
      <c r="M168" s="121">
        <v>8</v>
      </c>
    </row>
    <row r="169" spans="1:13" x14ac:dyDescent="0.35">
      <c r="A169" s="120">
        <v>41091</v>
      </c>
      <c r="B169" s="121">
        <v>1.0609999999999999</v>
      </c>
      <c r="C169" s="121"/>
      <c r="D169" s="121"/>
      <c r="E169" s="121"/>
      <c r="F169" s="121"/>
      <c r="G169" s="121">
        <v>3.488</v>
      </c>
      <c r="H169" s="121">
        <v>1.0609999999999999</v>
      </c>
      <c r="I169" s="121"/>
      <c r="J169" s="121">
        <v>4</v>
      </c>
      <c r="K169" s="121">
        <v>6</v>
      </c>
      <c r="L169" s="121">
        <v>5</v>
      </c>
      <c r="M169" s="121">
        <v>8</v>
      </c>
    </row>
    <row r="170" spans="1:13" x14ac:dyDescent="0.35">
      <c r="A170" s="120">
        <v>41122</v>
      </c>
      <c r="B170" s="121">
        <v>0.877</v>
      </c>
      <c r="C170" s="121"/>
      <c r="D170" s="121"/>
      <c r="E170" s="121"/>
      <c r="F170" s="121"/>
      <c r="G170" s="121">
        <v>3.43</v>
      </c>
      <c r="H170" s="121">
        <v>0.877</v>
      </c>
      <c r="I170" s="121"/>
      <c r="J170" s="121">
        <v>4</v>
      </c>
      <c r="K170" s="121">
        <v>6</v>
      </c>
      <c r="L170" s="121">
        <v>5</v>
      </c>
      <c r="M170" s="121">
        <v>8</v>
      </c>
    </row>
    <row r="171" spans="1:13" x14ac:dyDescent="0.35">
      <c r="A171" s="120">
        <v>41153</v>
      </c>
      <c r="B171" s="121">
        <v>0.74</v>
      </c>
      <c r="C171" s="121"/>
      <c r="D171" s="121"/>
      <c r="E171" s="121"/>
      <c r="F171" s="121"/>
      <c r="G171" s="121">
        <v>3.347</v>
      </c>
      <c r="H171" s="121">
        <v>0.74</v>
      </c>
      <c r="I171" s="121"/>
      <c r="J171" s="121">
        <v>4</v>
      </c>
      <c r="K171" s="121">
        <v>6</v>
      </c>
      <c r="L171" s="121">
        <v>5</v>
      </c>
      <c r="M171" s="121">
        <v>8</v>
      </c>
    </row>
    <row r="172" spans="1:13" x14ac:dyDescent="0.35">
      <c r="A172" s="120">
        <v>41183</v>
      </c>
      <c r="B172" s="121">
        <v>0.65</v>
      </c>
      <c r="C172" s="121"/>
      <c r="D172" s="121"/>
      <c r="E172" s="121"/>
      <c r="F172" s="121"/>
      <c r="G172" s="121">
        <v>3.0779999999999998</v>
      </c>
      <c r="H172" s="121">
        <v>0.65</v>
      </c>
      <c r="I172" s="121"/>
      <c r="J172" s="121">
        <v>4</v>
      </c>
      <c r="K172" s="121">
        <v>6</v>
      </c>
      <c r="L172" s="121">
        <v>5</v>
      </c>
      <c r="M172" s="121">
        <v>8</v>
      </c>
    </row>
    <row r="173" spans="1:13" x14ac:dyDescent="0.35">
      <c r="A173" s="120">
        <v>41214</v>
      </c>
      <c r="B173" s="121">
        <v>0.58799999999999997</v>
      </c>
      <c r="C173" s="121"/>
      <c r="D173" s="121"/>
      <c r="E173" s="121"/>
      <c r="F173" s="121"/>
      <c r="G173" s="121">
        <v>2.992</v>
      </c>
      <c r="H173" s="121">
        <v>0.58799999999999997</v>
      </c>
      <c r="I173" s="121"/>
      <c r="J173" s="121">
        <v>4</v>
      </c>
      <c r="K173" s="121">
        <v>6</v>
      </c>
      <c r="L173" s="121">
        <v>5</v>
      </c>
      <c r="M173" s="121">
        <v>8</v>
      </c>
    </row>
    <row r="174" spans="1:13" x14ac:dyDescent="0.35">
      <c r="A174" s="120">
        <v>41244</v>
      </c>
      <c r="B174" s="121">
        <v>0.54900000000000004</v>
      </c>
      <c r="C174" s="121"/>
      <c r="D174" s="121"/>
      <c r="E174" s="121"/>
      <c r="F174" s="121"/>
      <c r="G174" s="121">
        <v>3.0230000000000001</v>
      </c>
      <c r="H174" s="121">
        <v>0.54900000000000004</v>
      </c>
      <c r="I174" s="121"/>
      <c r="J174" s="121">
        <v>4</v>
      </c>
      <c r="K174" s="121">
        <v>6</v>
      </c>
      <c r="L174" s="121">
        <v>5</v>
      </c>
      <c r="M174" s="121">
        <v>8</v>
      </c>
    </row>
    <row r="175" spans="1:13" x14ac:dyDescent="0.35">
      <c r="A175" s="120">
        <v>41275</v>
      </c>
      <c r="B175" s="121">
        <v>0.57499999999999996</v>
      </c>
      <c r="C175" s="121"/>
      <c r="D175" s="121"/>
      <c r="E175" s="121"/>
      <c r="F175" s="121"/>
      <c r="G175" s="121">
        <v>3.2160000000000002</v>
      </c>
      <c r="H175" s="121">
        <v>0.57499999999999996</v>
      </c>
      <c r="I175" s="121"/>
      <c r="J175" s="121">
        <v>4</v>
      </c>
      <c r="K175" s="121">
        <v>6</v>
      </c>
      <c r="L175" s="121">
        <v>5</v>
      </c>
      <c r="M175" s="121">
        <v>7.75</v>
      </c>
    </row>
    <row r="176" spans="1:13" x14ac:dyDescent="0.35">
      <c r="A176" s="120">
        <v>41306</v>
      </c>
      <c r="B176" s="121">
        <v>0.59399999999999997</v>
      </c>
      <c r="C176" s="121"/>
      <c r="D176" s="121"/>
      <c r="E176" s="121"/>
      <c r="F176" s="121"/>
      <c r="G176" s="121">
        <v>3.2189999999999999</v>
      </c>
      <c r="H176" s="121">
        <v>0.59399999999999997</v>
      </c>
      <c r="I176" s="121"/>
      <c r="J176" s="121">
        <v>4</v>
      </c>
      <c r="K176" s="121">
        <v>6</v>
      </c>
      <c r="L176" s="121">
        <v>5</v>
      </c>
      <c r="M176" s="121">
        <v>7.75</v>
      </c>
    </row>
    <row r="177" spans="1:13" x14ac:dyDescent="0.35">
      <c r="A177" s="120">
        <v>41334</v>
      </c>
      <c r="B177" s="121">
        <v>0.54500000000000004</v>
      </c>
      <c r="C177" s="121"/>
      <c r="D177" s="121"/>
      <c r="E177" s="121"/>
      <c r="F177" s="121"/>
      <c r="G177" s="121">
        <v>3.415</v>
      </c>
      <c r="H177" s="121">
        <v>0.54500000000000004</v>
      </c>
      <c r="I177" s="121"/>
      <c r="J177" s="121">
        <v>4</v>
      </c>
      <c r="K177" s="121">
        <v>6</v>
      </c>
      <c r="L177" s="121">
        <v>5</v>
      </c>
      <c r="M177" s="121">
        <v>8.75</v>
      </c>
    </row>
    <row r="178" spans="1:13" x14ac:dyDescent="0.35">
      <c r="A178" s="120">
        <v>41365</v>
      </c>
      <c r="B178" s="121">
        <v>0.52800000000000002</v>
      </c>
      <c r="C178" s="121"/>
      <c r="D178" s="121"/>
      <c r="E178" s="121"/>
      <c r="F178" s="121"/>
      <c r="G178" s="121">
        <v>3.3780000000000001</v>
      </c>
      <c r="H178" s="121">
        <v>0.52800000000000002</v>
      </c>
      <c r="I178" s="121"/>
      <c r="J178" s="121">
        <v>4</v>
      </c>
      <c r="K178" s="121">
        <v>6</v>
      </c>
      <c r="L178" s="121">
        <v>5</v>
      </c>
      <c r="M178" s="121">
        <v>8.75</v>
      </c>
    </row>
    <row r="179" spans="1:13" x14ac:dyDescent="0.35">
      <c r="A179" s="120">
        <v>41395</v>
      </c>
      <c r="B179" s="121">
        <v>0.48399999999999999</v>
      </c>
      <c r="C179" s="121"/>
      <c r="D179" s="121"/>
      <c r="E179" s="121"/>
      <c r="F179" s="121"/>
      <c r="G179" s="121">
        <v>3.331</v>
      </c>
      <c r="H179" s="121">
        <v>0.48399999999999999</v>
      </c>
      <c r="I179" s="121"/>
      <c r="J179" s="121">
        <v>4</v>
      </c>
      <c r="K179" s="121">
        <v>6</v>
      </c>
      <c r="L179" s="121">
        <v>5</v>
      </c>
      <c r="M179" s="121">
        <v>8.75</v>
      </c>
    </row>
    <row r="180" spans="1:13" x14ac:dyDescent="0.35">
      <c r="A180" s="120">
        <v>41426</v>
      </c>
      <c r="B180" s="121">
        <v>0.50700000000000001</v>
      </c>
      <c r="C180" s="121"/>
      <c r="D180" s="121"/>
      <c r="E180" s="121"/>
      <c r="F180" s="121"/>
      <c r="G180" s="121">
        <v>3.363</v>
      </c>
      <c r="H180" s="121">
        <v>0.50700000000000001</v>
      </c>
      <c r="I180" s="121"/>
      <c r="J180" s="121">
        <v>4</v>
      </c>
      <c r="K180" s="121">
        <v>6</v>
      </c>
      <c r="L180" s="121">
        <v>5</v>
      </c>
      <c r="M180" s="121">
        <v>8.75</v>
      </c>
    </row>
    <row r="181" spans="1:13" x14ac:dyDescent="0.35">
      <c r="A181" s="120">
        <v>41456</v>
      </c>
      <c r="B181" s="121">
        <v>0.52500000000000002</v>
      </c>
      <c r="C181" s="121"/>
      <c r="D181" s="121"/>
      <c r="E181" s="121"/>
      <c r="F181" s="121"/>
      <c r="G181" s="121">
        <v>3.4380000000000002</v>
      </c>
      <c r="H181" s="121">
        <v>0.52600000000000002</v>
      </c>
      <c r="I181" s="121"/>
      <c r="J181" s="121">
        <v>4</v>
      </c>
      <c r="K181" s="121">
        <v>6</v>
      </c>
      <c r="L181" s="121">
        <v>5</v>
      </c>
      <c r="M181" s="121">
        <v>8.5</v>
      </c>
    </row>
    <row r="182" spans="1:13" x14ac:dyDescent="0.35">
      <c r="A182" s="120">
        <v>41487</v>
      </c>
      <c r="B182" s="121">
        <v>0.54200000000000004</v>
      </c>
      <c r="C182" s="121"/>
      <c r="D182" s="121"/>
      <c r="E182" s="121"/>
      <c r="F182" s="121"/>
      <c r="G182" s="121">
        <v>3.4740000000000002</v>
      </c>
      <c r="H182" s="121">
        <v>0.54200000000000004</v>
      </c>
      <c r="I182" s="121"/>
      <c r="J182" s="121">
        <v>4</v>
      </c>
      <c r="K182" s="121">
        <v>6</v>
      </c>
      <c r="L182" s="121">
        <v>5</v>
      </c>
      <c r="M182" s="121">
        <v>8.5</v>
      </c>
    </row>
    <row r="183" spans="1:13" x14ac:dyDescent="0.35">
      <c r="A183" s="120">
        <v>41518</v>
      </c>
      <c r="B183" s="121">
        <v>0.54300000000000004</v>
      </c>
      <c r="C183" s="121"/>
      <c r="D183" s="121"/>
      <c r="E183" s="121"/>
      <c r="F183" s="121"/>
      <c r="G183" s="121">
        <v>3.4670000000000001</v>
      </c>
      <c r="H183" s="121">
        <v>0.54300000000000004</v>
      </c>
      <c r="I183" s="121"/>
      <c r="J183" s="121">
        <v>4</v>
      </c>
      <c r="K183" s="121">
        <v>6</v>
      </c>
      <c r="L183" s="121">
        <v>5</v>
      </c>
      <c r="M183" s="121">
        <v>8.5</v>
      </c>
    </row>
    <row r="184" spans="1:13" x14ac:dyDescent="0.35">
      <c r="A184" s="120">
        <v>41548</v>
      </c>
      <c r="B184" s="121">
        <v>0.54100000000000004</v>
      </c>
      <c r="C184" s="121"/>
      <c r="D184" s="121"/>
      <c r="E184" s="121"/>
      <c r="F184" s="121"/>
      <c r="G184" s="121">
        <v>3.2519999999999998</v>
      </c>
      <c r="H184" s="121">
        <v>0.54100000000000004</v>
      </c>
      <c r="I184" s="121"/>
      <c r="J184" s="121">
        <v>4</v>
      </c>
      <c r="K184" s="121">
        <v>6</v>
      </c>
      <c r="L184" s="121">
        <v>5</v>
      </c>
      <c r="M184" s="121">
        <v>8.5</v>
      </c>
    </row>
    <row r="185" spans="1:13" x14ac:dyDescent="0.35">
      <c r="A185" s="120">
        <v>41579</v>
      </c>
      <c r="B185" s="121">
        <v>0.50600000000000001</v>
      </c>
      <c r="C185" s="121"/>
      <c r="D185" s="121"/>
      <c r="E185" s="121"/>
      <c r="F185" s="121"/>
      <c r="G185" s="121">
        <v>3.3929999999999998</v>
      </c>
      <c r="H185" s="121">
        <v>0.50600000000000001</v>
      </c>
      <c r="I185" s="121"/>
      <c r="J185" s="121">
        <v>4</v>
      </c>
      <c r="K185" s="121">
        <v>6</v>
      </c>
      <c r="L185" s="121">
        <v>5</v>
      </c>
      <c r="M185" s="121">
        <v>8.5</v>
      </c>
    </row>
    <row r="186" spans="1:13" x14ac:dyDescent="0.35">
      <c r="A186" s="120">
        <v>41609</v>
      </c>
      <c r="B186" s="121">
        <v>0.54300000000000004</v>
      </c>
      <c r="C186" s="121"/>
      <c r="D186" s="121"/>
      <c r="E186" s="121"/>
      <c r="F186" s="121"/>
      <c r="G186" s="121">
        <v>3.2869999999999999</v>
      </c>
      <c r="H186" s="121">
        <v>0.54300000000000004</v>
      </c>
      <c r="I186" s="121"/>
      <c r="J186" s="121">
        <v>4</v>
      </c>
      <c r="K186" s="121">
        <v>6</v>
      </c>
      <c r="L186" s="121">
        <v>5</v>
      </c>
      <c r="M186" s="121">
        <v>8.5</v>
      </c>
    </row>
    <row r="187" spans="1:13" x14ac:dyDescent="0.35">
      <c r="A187" s="120">
        <v>41640</v>
      </c>
      <c r="B187" s="121">
        <v>0.56200000000000006</v>
      </c>
      <c r="C187" s="121"/>
      <c r="D187" s="121"/>
      <c r="E187" s="121"/>
      <c r="F187" s="121"/>
      <c r="G187" s="121">
        <v>3.274</v>
      </c>
      <c r="H187" s="121">
        <v>0.56200000000000006</v>
      </c>
      <c r="I187" s="121"/>
      <c r="J187" s="121">
        <v>4</v>
      </c>
      <c r="K187" s="121">
        <v>6</v>
      </c>
      <c r="L187" s="121">
        <v>5</v>
      </c>
      <c r="M187" s="121">
        <v>8.25</v>
      </c>
    </row>
    <row r="188" spans="1:13" x14ac:dyDescent="0.35">
      <c r="A188" s="120">
        <v>41671</v>
      </c>
      <c r="B188" s="121">
        <v>0.54900000000000004</v>
      </c>
      <c r="C188" s="121"/>
      <c r="D188" s="121"/>
      <c r="E188" s="121"/>
      <c r="F188" s="121"/>
      <c r="G188" s="121">
        <v>3.1989999999999998</v>
      </c>
      <c r="H188" s="121">
        <v>0.54900000000000004</v>
      </c>
      <c r="I188" s="121"/>
      <c r="J188" s="121">
        <v>4</v>
      </c>
      <c r="K188" s="121">
        <v>6</v>
      </c>
      <c r="L188" s="121">
        <v>5</v>
      </c>
      <c r="M188" s="121">
        <v>8.25</v>
      </c>
    </row>
    <row r="189" spans="1:13" x14ac:dyDescent="0.35">
      <c r="A189" s="120">
        <v>41699</v>
      </c>
      <c r="B189" s="121">
        <v>0.57699999999999996</v>
      </c>
      <c r="C189" s="121"/>
      <c r="D189" s="121"/>
      <c r="E189" s="121"/>
      <c r="F189" s="121"/>
      <c r="G189" s="121">
        <v>3.177</v>
      </c>
      <c r="H189" s="121">
        <v>0.57699999999999996</v>
      </c>
      <c r="I189" s="121"/>
      <c r="J189" s="121">
        <v>4</v>
      </c>
      <c r="K189" s="121">
        <v>6</v>
      </c>
      <c r="L189" s="121">
        <v>5</v>
      </c>
      <c r="M189" s="121">
        <v>8.25</v>
      </c>
    </row>
    <row r="190" spans="1:13" x14ac:dyDescent="0.35">
      <c r="A190" s="120">
        <v>41730</v>
      </c>
      <c r="B190" s="121">
        <v>0.60399999999999998</v>
      </c>
      <c r="C190" s="121"/>
      <c r="D190" s="121"/>
      <c r="E190" s="121"/>
      <c r="F190" s="121"/>
      <c r="G190" s="121">
        <v>3.181</v>
      </c>
      <c r="H190" s="121">
        <v>0.60399999999999998</v>
      </c>
      <c r="I190" s="121"/>
      <c r="J190" s="121">
        <v>4</v>
      </c>
      <c r="K190" s="121">
        <v>6</v>
      </c>
      <c r="L190" s="121">
        <v>5</v>
      </c>
      <c r="M190" s="121">
        <v>8.25</v>
      </c>
    </row>
    <row r="191" spans="1:13" x14ac:dyDescent="0.35">
      <c r="A191" s="120">
        <v>41760</v>
      </c>
      <c r="B191" s="121">
        <v>0.59199999999999997</v>
      </c>
      <c r="C191" s="121"/>
      <c r="D191" s="121"/>
      <c r="E191" s="121"/>
      <c r="F191" s="121"/>
      <c r="G191" s="121">
        <v>3.1640000000000001</v>
      </c>
      <c r="H191" s="121">
        <v>0.59199999999999997</v>
      </c>
      <c r="I191" s="121"/>
      <c r="J191" s="121">
        <v>4</v>
      </c>
      <c r="K191" s="121">
        <v>6</v>
      </c>
      <c r="L191" s="121">
        <v>5</v>
      </c>
      <c r="M191" s="121">
        <v>8.25</v>
      </c>
    </row>
    <row r="192" spans="1:13" x14ac:dyDescent="0.35">
      <c r="A192" s="120">
        <v>41791</v>
      </c>
      <c r="B192" s="121">
        <v>0.51300000000000001</v>
      </c>
      <c r="C192" s="121"/>
      <c r="D192" s="121"/>
      <c r="E192" s="121"/>
      <c r="F192" s="121"/>
      <c r="G192" s="121">
        <v>3.0640000000000001</v>
      </c>
      <c r="H192" s="121">
        <v>0.51300000000000001</v>
      </c>
      <c r="I192" s="121"/>
      <c r="J192" s="121">
        <v>4</v>
      </c>
      <c r="K192" s="121">
        <v>6</v>
      </c>
      <c r="L192" s="121">
        <v>5</v>
      </c>
      <c r="M192" s="121">
        <v>8.25</v>
      </c>
    </row>
    <row r="193" spans="1:13" x14ac:dyDescent="0.35">
      <c r="A193" s="120">
        <v>41821</v>
      </c>
      <c r="B193" s="121">
        <v>0.48799999999999999</v>
      </c>
      <c r="C193" s="121"/>
      <c r="D193" s="121"/>
      <c r="E193" s="121"/>
      <c r="F193" s="121"/>
      <c r="G193" s="121">
        <v>3.0329999999999999</v>
      </c>
      <c r="H193" s="121">
        <v>0.48799999999999999</v>
      </c>
      <c r="I193" s="121"/>
      <c r="J193" s="121">
        <v>4</v>
      </c>
      <c r="K193" s="121">
        <v>6</v>
      </c>
      <c r="L193" s="121">
        <v>5</v>
      </c>
      <c r="M193" s="121">
        <v>8.15</v>
      </c>
    </row>
    <row r="194" spans="1:13" x14ac:dyDescent="0.35">
      <c r="A194" s="120">
        <v>41852</v>
      </c>
      <c r="B194" s="121">
        <v>0.46899999999999997</v>
      </c>
      <c r="C194" s="121"/>
      <c r="D194" s="121"/>
      <c r="E194" s="121"/>
      <c r="F194" s="121"/>
      <c r="G194" s="121">
        <v>3.0209999999999999</v>
      </c>
      <c r="H194" s="121">
        <v>0.46899999999999997</v>
      </c>
      <c r="I194" s="121"/>
      <c r="J194" s="121">
        <v>4</v>
      </c>
      <c r="K194" s="121">
        <v>6</v>
      </c>
      <c r="L194" s="121">
        <v>5</v>
      </c>
      <c r="M194" s="121">
        <v>8.15</v>
      </c>
    </row>
    <row r="195" spans="1:13" x14ac:dyDescent="0.35">
      <c r="A195" s="120">
        <v>41883</v>
      </c>
      <c r="B195" s="121">
        <v>0.36199999999999999</v>
      </c>
      <c r="C195" s="121"/>
      <c r="D195" s="121"/>
      <c r="E195" s="121"/>
      <c r="F195" s="121"/>
      <c r="G195" s="121">
        <v>2.9489999999999998</v>
      </c>
      <c r="H195" s="121">
        <v>0.36199999999999999</v>
      </c>
      <c r="I195" s="121"/>
      <c r="J195" s="121">
        <v>4</v>
      </c>
      <c r="K195" s="121">
        <v>6</v>
      </c>
      <c r="L195" s="121">
        <v>5</v>
      </c>
      <c r="M195" s="121">
        <v>8.15</v>
      </c>
    </row>
    <row r="196" spans="1:13" x14ac:dyDescent="0.35">
      <c r="A196" s="120">
        <v>41913</v>
      </c>
      <c r="B196" s="121">
        <v>0.33800000000000002</v>
      </c>
      <c r="C196" s="121"/>
      <c r="D196" s="121"/>
      <c r="E196" s="121"/>
      <c r="F196" s="121"/>
      <c r="G196" s="121">
        <v>2.819</v>
      </c>
      <c r="H196" s="121">
        <v>0.33800000000000002</v>
      </c>
      <c r="I196" s="121"/>
      <c r="J196" s="121">
        <v>4</v>
      </c>
      <c r="K196" s="121">
        <v>6</v>
      </c>
      <c r="L196" s="121">
        <v>5</v>
      </c>
      <c r="M196" s="121">
        <v>8.15</v>
      </c>
    </row>
    <row r="197" spans="1:13" x14ac:dyDescent="0.35">
      <c r="A197" s="120">
        <v>41944</v>
      </c>
      <c r="B197" s="121">
        <v>0.33500000000000002</v>
      </c>
      <c r="C197" s="121"/>
      <c r="D197" s="121"/>
      <c r="E197" s="121"/>
      <c r="F197" s="121"/>
      <c r="G197" s="121">
        <v>2.6059999999999999</v>
      </c>
      <c r="H197" s="121">
        <v>0.33500000000000002</v>
      </c>
      <c r="I197" s="121"/>
      <c r="J197" s="121">
        <v>4</v>
      </c>
      <c r="K197" s="121">
        <v>6</v>
      </c>
      <c r="L197" s="121">
        <v>5</v>
      </c>
      <c r="M197" s="121">
        <v>8.15</v>
      </c>
    </row>
    <row r="198" spans="1:13" x14ac:dyDescent="0.35">
      <c r="A198" s="120">
        <v>41974</v>
      </c>
      <c r="B198" s="121">
        <v>0.32900000000000001</v>
      </c>
      <c r="C198" s="121"/>
      <c r="D198" s="121"/>
      <c r="E198" s="121"/>
      <c r="F198" s="121"/>
      <c r="G198" s="121">
        <v>2.5569999999999999</v>
      </c>
      <c r="H198" s="121">
        <v>0.32900000000000001</v>
      </c>
      <c r="I198" s="121"/>
      <c r="J198" s="121">
        <v>4</v>
      </c>
      <c r="K198" s="121">
        <v>6</v>
      </c>
      <c r="L198" s="121">
        <v>5</v>
      </c>
      <c r="M198" s="121">
        <v>8.15</v>
      </c>
    </row>
    <row r="199" spans="1:13" x14ac:dyDescent="0.35">
      <c r="A199" s="120">
        <v>42005</v>
      </c>
      <c r="B199" s="121">
        <v>0.29799999999999999</v>
      </c>
      <c r="C199" s="121"/>
      <c r="D199" s="121"/>
      <c r="E199" s="121"/>
      <c r="F199" s="121"/>
      <c r="G199" s="121">
        <v>2.4359999999999999</v>
      </c>
      <c r="H199" s="121">
        <v>0.29799999999999999</v>
      </c>
      <c r="I199" s="121"/>
      <c r="J199" s="121">
        <v>3.5</v>
      </c>
      <c r="K199" s="121">
        <v>5.5</v>
      </c>
      <c r="L199" s="121">
        <v>4.375</v>
      </c>
      <c r="M199" s="121">
        <v>8.0500000000000007</v>
      </c>
    </row>
    <row r="200" spans="1:13" x14ac:dyDescent="0.35">
      <c r="A200" s="120">
        <v>42036</v>
      </c>
      <c r="B200" s="121">
        <v>0.255</v>
      </c>
      <c r="C200" s="121"/>
      <c r="D200" s="121"/>
      <c r="E200" s="121"/>
      <c r="F200" s="121"/>
      <c r="G200" s="121">
        <v>2.4569999999999999</v>
      </c>
      <c r="H200" s="121">
        <v>0.255</v>
      </c>
      <c r="I200" s="121"/>
      <c r="J200" s="121">
        <v>3.5</v>
      </c>
      <c r="K200" s="121">
        <v>5.5</v>
      </c>
      <c r="L200" s="121">
        <v>4.375</v>
      </c>
      <c r="M200" s="121">
        <v>8.0500000000000007</v>
      </c>
    </row>
    <row r="201" spans="1:13" x14ac:dyDescent="0.35">
      <c r="A201" s="120">
        <v>42064</v>
      </c>
      <c r="B201" s="121">
        <v>0.21199999999999999</v>
      </c>
      <c r="C201" s="121"/>
      <c r="D201" s="121"/>
      <c r="E201" s="121"/>
      <c r="F201" s="121"/>
      <c r="G201" s="121">
        <v>2.3239999999999998</v>
      </c>
      <c r="H201" s="121">
        <v>0.21199999999999999</v>
      </c>
      <c r="I201" s="121"/>
      <c r="J201" s="121">
        <v>3.5</v>
      </c>
      <c r="K201" s="121">
        <v>5.5</v>
      </c>
      <c r="L201" s="121">
        <v>4.375</v>
      </c>
      <c r="M201" s="121">
        <v>8.0500000000000007</v>
      </c>
    </row>
    <row r="202" spans="1:13" x14ac:dyDescent="0.35">
      <c r="A202" s="120">
        <v>42095</v>
      </c>
      <c r="B202" s="121">
        <v>0.18</v>
      </c>
      <c r="C202" s="121"/>
      <c r="D202" s="121"/>
      <c r="E202" s="121"/>
      <c r="F202" s="121"/>
      <c r="G202" s="121">
        <v>2.2509999999999999</v>
      </c>
      <c r="H202" s="121">
        <v>0.18</v>
      </c>
      <c r="I202" s="121"/>
      <c r="J202" s="121">
        <v>3.5</v>
      </c>
      <c r="K202" s="121">
        <v>5.5</v>
      </c>
      <c r="L202" s="121">
        <v>4.375</v>
      </c>
      <c r="M202" s="121">
        <v>8.0500000000000007</v>
      </c>
    </row>
    <row r="203" spans="1:13" x14ac:dyDescent="0.35">
      <c r="A203" s="120">
        <v>42125</v>
      </c>
      <c r="B203" s="121">
        <v>0.16500000000000001</v>
      </c>
      <c r="C203" s="121"/>
      <c r="D203" s="121"/>
      <c r="E203" s="121"/>
      <c r="F203" s="121"/>
      <c r="G203" s="121">
        <v>2.1560000000000001</v>
      </c>
      <c r="H203" s="121">
        <v>0.16500000000000001</v>
      </c>
      <c r="I203" s="121"/>
      <c r="J203" s="121">
        <v>3.5</v>
      </c>
      <c r="K203" s="121">
        <v>5.5</v>
      </c>
      <c r="L203" s="121">
        <v>4.375</v>
      </c>
      <c r="M203" s="121">
        <v>8.0500000000000007</v>
      </c>
    </row>
    <row r="204" spans="1:13" x14ac:dyDescent="0.35">
      <c r="A204" s="120">
        <v>42156</v>
      </c>
      <c r="B204" s="121">
        <v>0.16300000000000001</v>
      </c>
      <c r="C204" s="121"/>
      <c r="D204" s="121"/>
      <c r="E204" s="121"/>
      <c r="F204" s="121"/>
      <c r="G204" s="121">
        <v>2.161</v>
      </c>
      <c r="H204" s="121">
        <v>0.16300000000000001</v>
      </c>
      <c r="I204" s="121"/>
      <c r="J204" s="121">
        <v>3.5</v>
      </c>
      <c r="K204" s="121">
        <v>5.5</v>
      </c>
      <c r="L204" s="121">
        <v>4.375</v>
      </c>
      <c r="M204" s="121">
        <v>8.0500000000000007</v>
      </c>
    </row>
    <row r="205" spans="1:13" x14ac:dyDescent="0.35">
      <c r="A205" s="120">
        <v>42186</v>
      </c>
      <c r="B205" s="121">
        <v>0.16700000000000001</v>
      </c>
      <c r="C205" s="121"/>
      <c r="D205" s="121"/>
      <c r="E205" s="121"/>
      <c r="F205" s="121"/>
      <c r="G205" s="121">
        <v>2.1520000000000001</v>
      </c>
      <c r="H205" s="121">
        <v>0.16700000000000001</v>
      </c>
      <c r="I205" s="121"/>
      <c r="J205" s="121">
        <v>3.5</v>
      </c>
      <c r="K205" s="121">
        <v>5.5</v>
      </c>
      <c r="L205" s="121">
        <v>4.375</v>
      </c>
      <c r="M205" s="121">
        <v>8.0500000000000007</v>
      </c>
    </row>
    <row r="206" spans="1:13" x14ac:dyDescent="0.35">
      <c r="A206" s="120">
        <v>42217</v>
      </c>
      <c r="B206" s="121">
        <v>0.161</v>
      </c>
      <c r="C206" s="121"/>
      <c r="D206" s="121"/>
      <c r="E206" s="121"/>
      <c r="F206" s="121"/>
      <c r="G206" s="121">
        <v>2.1819999999999999</v>
      </c>
      <c r="H206" s="121">
        <v>0.161</v>
      </c>
      <c r="I206" s="121"/>
      <c r="J206" s="121">
        <v>3.5</v>
      </c>
      <c r="K206" s="121">
        <v>5.5</v>
      </c>
      <c r="L206" s="121">
        <v>4.375</v>
      </c>
      <c r="M206" s="121">
        <v>8.0500000000000007</v>
      </c>
    </row>
    <row r="207" spans="1:13" x14ac:dyDescent="0.35">
      <c r="A207" s="120">
        <v>42248</v>
      </c>
      <c r="B207" s="121">
        <v>0.154</v>
      </c>
      <c r="C207" s="121"/>
      <c r="D207" s="121"/>
      <c r="E207" s="121"/>
      <c r="F207" s="121"/>
      <c r="G207" s="121">
        <v>2.117</v>
      </c>
      <c r="H207" s="121">
        <v>0.154</v>
      </c>
      <c r="I207" s="121"/>
      <c r="J207" s="121">
        <v>3.5</v>
      </c>
      <c r="K207" s="121">
        <v>5.5</v>
      </c>
      <c r="L207" s="121">
        <v>4.375</v>
      </c>
      <c r="M207" s="121">
        <v>8.0500000000000007</v>
      </c>
    </row>
    <row r="208" spans="1:13" x14ac:dyDescent="0.35">
      <c r="A208" s="120">
        <v>42278</v>
      </c>
      <c r="B208" s="121">
        <v>0.128</v>
      </c>
      <c r="C208" s="121"/>
      <c r="D208" s="121"/>
      <c r="E208" s="121"/>
      <c r="F208" s="121"/>
      <c r="G208" s="121">
        <v>2.1269999999999998</v>
      </c>
      <c r="H208" s="121">
        <v>0.128</v>
      </c>
      <c r="I208" s="121"/>
      <c r="J208" s="121">
        <v>3.5</v>
      </c>
      <c r="K208" s="121">
        <v>5.5</v>
      </c>
      <c r="L208" s="121">
        <v>4.375</v>
      </c>
      <c r="M208" s="121">
        <v>8.0500000000000007</v>
      </c>
    </row>
    <row r="209" spans="1:13" x14ac:dyDescent="0.35">
      <c r="A209" s="120">
        <v>42309</v>
      </c>
      <c r="B209" s="121">
        <v>7.9000000000000001E-2</v>
      </c>
      <c r="C209" s="121"/>
      <c r="D209" s="121"/>
      <c r="E209" s="121"/>
      <c r="F209" s="121"/>
      <c r="G209" s="121">
        <v>2.1320000000000001</v>
      </c>
      <c r="H209" s="121">
        <v>7.9000000000000001E-2</v>
      </c>
      <c r="I209" s="121"/>
      <c r="J209" s="121">
        <v>3.5</v>
      </c>
      <c r="K209" s="121">
        <v>5.5</v>
      </c>
      <c r="L209" s="121">
        <v>4.375</v>
      </c>
      <c r="M209" s="121">
        <v>8.0500000000000007</v>
      </c>
    </row>
    <row r="210" spans="1:13" x14ac:dyDescent="0.35">
      <c r="A210" s="120">
        <v>42339</v>
      </c>
      <c r="B210" s="121">
        <v>5.8999999999999997E-2</v>
      </c>
      <c r="C210" s="121"/>
      <c r="D210" s="121"/>
      <c r="E210" s="121"/>
      <c r="F210" s="121"/>
      <c r="G210" s="121">
        <v>2.0539999999999998</v>
      </c>
      <c r="H210" s="121">
        <v>5.8999999999999997E-2</v>
      </c>
      <c r="I210" s="121"/>
      <c r="J210" s="121">
        <v>3.5</v>
      </c>
      <c r="K210" s="121">
        <v>5.5</v>
      </c>
      <c r="L210" s="121">
        <v>4.375</v>
      </c>
      <c r="M210" s="121">
        <v>8.0500000000000007</v>
      </c>
    </row>
    <row r="211" spans="1:13" x14ac:dyDescent="0.35">
      <c r="A211" s="120">
        <v>42370</v>
      </c>
      <c r="B211" s="121">
        <v>4.2000000000000003E-2</v>
      </c>
      <c r="C211" s="121"/>
      <c r="D211" s="121"/>
      <c r="E211" s="121"/>
      <c r="F211" s="121"/>
      <c r="G211" s="121">
        <v>2.0139999999999998</v>
      </c>
      <c r="H211" s="121">
        <v>4.2000000000000003E-2</v>
      </c>
      <c r="I211" s="121"/>
      <c r="J211" s="121">
        <v>3</v>
      </c>
      <c r="K211" s="121">
        <v>5</v>
      </c>
      <c r="L211" s="121">
        <v>3.75</v>
      </c>
      <c r="M211" s="121">
        <v>8.0500000000000007</v>
      </c>
    </row>
    <row r="212" spans="1:13" x14ac:dyDescent="0.35">
      <c r="A212" s="120">
        <v>42401</v>
      </c>
      <c r="B212" s="121">
        <v>-8.0000000000000002E-3</v>
      </c>
      <c r="C212" s="121"/>
      <c r="D212" s="121"/>
      <c r="E212" s="121"/>
      <c r="F212" s="121"/>
      <c r="G212" s="121">
        <v>2.0070000000000001</v>
      </c>
      <c r="H212" s="121">
        <v>-8.0000000000000002E-3</v>
      </c>
      <c r="I212" s="121"/>
      <c r="J212" s="121">
        <v>3</v>
      </c>
      <c r="K212" s="121">
        <v>5</v>
      </c>
      <c r="L212" s="121">
        <v>3.75</v>
      </c>
      <c r="M212" s="121">
        <v>8.0500000000000007</v>
      </c>
    </row>
    <row r="213" spans="1:13" x14ac:dyDescent="0.35">
      <c r="A213" s="120">
        <v>42430</v>
      </c>
      <c r="B213" s="121">
        <v>-1.2E-2</v>
      </c>
      <c r="C213" s="121"/>
      <c r="D213" s="121"/>
      <c r="E213" s="121"/>
      <c r="F213" s="121"/>
      <c r="G213" s="121">
        <v>1.919</v>
      </c>
      <c r="H213" s="121">
        <v>-1.2E-2</v>
      </c>
      <c r="I213" s="121"/>
      <c r="J213" s="121">
        <v>3</v>
      </c>
      <c r="K213" s="121">
        <v>5</v>
      </c>
      <c r="L213" s="121">
        <v>3.75</v>
      </c>
      <c r="M213" s="121">
        <v>8.0500000000000007</v>
      </c>
    </row>
    <row r="214" spans="1:13" x14ac:dyDescent="0.35">
      <c r="A214" s="120">
        <v>42461</v>
      </c>
      <c r="B214" s="121">
        <v>-0.01</v>
      </c>
      <c r="C214" s="121"/>
      <c r="D214" s="121"/>
      <c r="E214" s="121"/>
      <c r="F214" s="121"/>
      <c r="G214" s="121">
        <v>2.0299999999999998</v>
      </c>
      <c r="H214" s="121">
        <v>-0.01</v>
      </c>
      <c r="I214" s="121"/>
      <c r="J214" s="121">
        <v>3</v>
      </c>
      <c r="K214" s="121">
        <v>5</v>
      </c>
      <c r="L214" s="121">
        <v>3.75</v>
      </c>
      <c r="M214" s="121">
        <v>8.0500000000000007</v>
      </c>
    </row>
    <row r="215" spans="1:13" x14ac:dyDescent="0.35">
      <c r="A215" s="120">
        <v>42491</v>
      </c>
      <c r="B215" s="121">
        <v>-1.2999999999999999E-2</v>
      </c>
      <c r="C215" s="121"/>
      <c r="D215" s="121"/>
      <c r="E215" s="121"/>
      <c r="F215" s="121"/>
      <c r="G215" s="121">
        <v>1.89</v>
      </c>
      <c r="H215" s="121">
        <v>-1.2999999999999999E-2</v>
      </c>
      <c r="I215" s="121"/>
      <c r="J215" s="121">
        <v>3</v>
      </c>
      <c r="K215" s="121">
        <v>5</v>
      </c>
      <c r="L215" s="121">
        <v>3.75</v>
      </c>
      <c r="M215" s="121">
        <v>8.0500000000000007</v>
      </c>
    </row>
    <row r="216" spans="1:13" x14ac:dyDescent="0.35">
      <c r="A216" s="120">
        <v>42522</v>
      </c>
      <c r="B216" s="121">
        <v>-2.8000000000000001E-2</v>
      </c>
      <c r="C216" s="121"/>
      <c r="D216" s="121"/>
      <c r="E216" s="121"/>
      <c r="F216" s="121"/>
      <c r="G216" s="121">
        <v>1.97</v>
      </c>
      <c r="H216" s="121">
        <v>-2.8000000000000001E-2</v>
      </c>
      <c r="I216" s="121"/>
      <c r="J216" s="121">
        <v>3</v>
      </c>
      <c r="K216" s="121">
        <v>5</v>
      </c>
      <c r="L216" s="121">
        <v>3.75</v>
      </c>
      <c r="M216" s="121">
        <v>8.0500000000000007</v>
      </c>
    </row>
    <row r="217" spans="1:13" x14ac:dyDescent="0.35">
      <c r="A217" s="120">
        <v>42552</v>
      </c>
      <c r="B217" s="121">
        <v>-5.6000000000000001E-2</v>
      </c>
      <c r="C217" s="121"/>
      <c r="D217" s="121"/>
      <c r="E217" s="121"/>
      <c r="F217" s="121"/>
      <c r="G217" s="121">
        <v>2.0070000000000001</v>
      </c>
      <c r="H217" s="121">
        <v>-5.6000000000000001E-2</v>
      </c>
      <c r="I217" s="121"/>
      <c r="J217" s="121">
        <v>3</v>
      </c>
      <c r="K217" s="121">
        <v>5</v>
      </c>
      <c r="L217" s="121">
        <v>3.75</v>
      </c>
      <c r="M217" s="121">
        <v>8</v>
      </c>
    </row>
    <row r="218" spans="1:13" x14ac:dyDescent="0.35">
      <c r="A218" s="120">
        <v>42583</v>
      </c>
      <c r="B218" s="121">
        <v>-4.8000000000000001E-2</v>
      </c>
      <c r="C218" s="121"/>
      <c r="D218" s="121"/>
      <c r="E218" s="121"/>
      <c r="F218" s="121"/>
      <c r="G218" s="121">
        <v>1.9570000000000001</v>
      </c>
      <c r="H218" s="121">
        <v>-4.8000000000000001E-2</v>
      </c>
      <c r="I218" s="121"/>
      <c r="J218" s="121">
        <v>3</v>
      </c>
      <c r="K218" s="121">
        <v>5</v>
      </c>
      <c r="L218" s="121">
        <v>3.75</v>
      </c>
      <c r="M218" s="121">
        <v>8</v>
      </c>
    </row>
    <row r="219" spans="1:13" x14ac:dyDescent="0.35">
      <c r="A219" s="120">
        <v>42614</v>
      </c>
      <c r="B219" s="121">
        <v>-5.7000000000000002E-2</v>
      </c>
      <c r="C219" s="121"/>
      <c r="D219" s="121"/>
      <c r="E219" s="121"/>
      <c r="F219" s="121"/>
      <c r="G219" s="121">
        <v>1.903</v>
      </c>
      <c r="H219" s="121">
        <v>-5.7000000000000002E-2</v>
      </c>
      <c r="I219" s="121"/>
      <c r="J219" s="121">
        <v>3</v>
      </c>
      <c r="K219" s="121">
        <v>5</v>
      </c>
      <c r="L219" s="121">
        <v>3.75</v>
      </c>
      <c r="M219" s="121">
        <v>8</v>
      </c>
    </row>
    <row r="220" spans="1:13" x14ac:dyDescent="0.35">
      <c r="A220" s="120">
        <v>42644</v>
      </c>
      <c r="B220" s="121">
        <v>-6.9000000000000006E-2</v>
      </c>
      <c r="C220" s="121"/>
      <c r="D220" s="121"/>
      <c r="E220" s="121"/>
      <c r="F220" s="121"/>
      <c r="G220" s="121">
        <v>1.921</v>
      </c>
      <c r="H220" s="121">
        <v>-6.9000000000000006E-2</v>
      </c>
      <c r="I220" s="121"/>
      <c r="J220" s="121">
        <v>3</v>
      </c>
      <c r="K220" s="121">
        <v>5</v>
      </c>
      <c r="L220" s="121">
        <v>3.75</v>
      </c>
      <c r="M220" s="121">
        <v>8</v>
      </c>
    </row>
    <row r="221" spans="1:13" x14ac:dyDescent="0.35">
      <c r="A221" s="120">
        <v>42675</v>
      </c>
      <c r="B221" s="121">
        <v>-7.3999999999999996E-2</v>
      </c>
      <c r="C221" s="121"/>
      <c r="D221" s="121"/>
      <c r="E221" s="121"/>
      <c r="F221" s="121"/>
      <c r="G221" s="121">
        <v>1.9359999999999999</v>
      </c>
      <c r="H221" s="121">
        <v>-7.3999999999999996E-2</v>
      </c>
      <c r="I221" s="121"/>
      <c r="J221" s="121">
        <v>3</v>
      </c>
      <c r="K221" s="121">
        <v>5</v>
      </c>
      <c r="L221" s="121">
        <v>3.75</v>
      </c>
      <c r="M221" s="121">
        <v>8</v>
      </c>
    </row>
    <row r="222" spans="1:13" x14ac:dyDescent="0.35">
      <c r="A222" s="120">
        <v>42705</v>
      </c>
      <c r="B222" s="121">
        <v>-0.08</v>
      </c>
      <c r="C222" s="121"/>
      <c r="D222" s="121"/>
      <c r="E222" s="121"/>
      <c r="F222" s="121"/>
      <c r="G222" s="121">
        <v>1.8740000000000001</v>
      </c>
      <c r="H222" s="121">
        <v>-0.08</v>
      </c>
      <c r="I222" s="121"/>
      <c r="J222" s="121">
        <v>3</v>
      </c>
      <c r="K222" s="121">
        <v>5</v>
      </c>
      <c r="L222" s="121">
        <v>3.75</v>
      </c>
      <c r="M222" s="121">
        <v>8</v>
      </c>
    </row>
    <row r="223" spans="1:13" x14ac:dyDescent="0.35">
      <c r="A223" s="120">
        <v>42736</v>
      </c>
      <c r="B223" s="121">
        <v>-9.5000000000000001E-2</v>
      </c>
      <c r="C223" s="121"/>
      <c r="D223" s="121"/>
      <c r="E223" s="121"/>
      <c r="F223" s="121"/>
      <c r="G223" s="121">
        <v>1.9279999999999999</v>
      </c>
      <c r="H223" s="121">
        <v>-9.5000000000000001E-2</v>
      </c>
      <c r="I223" s="121"/>
      <c r="J223" s="121">
        <v>3</v>
      </c>
      <c r="K223" s="121">
        <v>5</v>
      </c>
      <c r="L223" s="121">
        <v>3.75</v>
      </c>
      <c r="M223" s="121">
        <v>8</v>
      </c>
    </row>
    <row r="224" spans="1:13" x14ac:dyDescent="0.35">
      <c r="A224" s="120">
        <v>42767</v>
      </c>
      <c r="B224" s="121">
        <v>-0.106</v>
      </c>
      <c r="C224" s="121"/>
      <c r="D224" s="121"/>
      <c r="E224" s="121"/>
      <c r="F224" s="121"/>
      <c r="G224" s="121">
        <v>1.881</v>
      </c>
      <c r="H224" s="121">
        <v>-0.106</v>
      </c>
      <c r="I224" s="121"/>
      <c r="J224" s="121">
        <v>3</v>
      </c>
      <c r="K224" s="121">
        <v>5</v>
      </c>
      <c r="L224" s="121">
        <v>3.75</v>
      </c>
      <c r="M224" s="121">
        <v>8</v>
      </c>
    </row>
    <row r="225" spans="1:13" x14ac:dyDescent="0.35">
      <c r="A225" s="120">
        <v>42795</v>
      </c>
      <c r="B225" s="121">
        <v>-0.11</v>
      </c>
      <c r="C225" s="121"/>
      <c r="D225" s="121"/>
      <c r="E225" s="121"/>
      <c r="F225" s="121"/>
      <c r="G225" s="121">
        <v>1.879</v>
      </c>
      <c r="H225" s="121">
        <v>-0.11</v>
      </c>
      <c r="I225" s="121"/>
      <c r="J225" s="121">
        <v>3</v>
      </c>
      <c r="K225" s="121">
        <v>5</v>
      </c>
      <c r="L225" s="121">
        <v>3.75</v>
      </c>
      <c r="M225" s="121">
        <v>8</v>
      </c>
    </row>
    <row r="226" spans="1:13" x14ac:dyDescent="0.35">
      <c r="A226" s="120">
        <v>42826</v>
      </c>
      <c r="B226" s="121">
        <v>-0.11899999999999999</v>
      </c>
      <c r="C226" s="121"/>
      <c r="D226" s="121"/>
      <c r="E226" s="121"/>
      <c r="F226" s="121"/>
      <c r="G226" s="121">
        <v>1.9059999999999999</v>
      </c>
      <c r="H226" s="121">
        <v>-0.11899999999999999</v>
      </c>
      <c r="I226" s="121"/>
      <c r="J226" s="121">
        <v>3</v>
      </c>
      <c r="K226" s="121">
        <v>5</v>
      </c>
      <c r="L226" s="121">
        <v>3.75</v>
      </c>
      <c r="M226" s="121">
        <v>8</v>
      </c>
    </row>
    <row r="227" spans="1:13" x14ac:dyDescent="0.35">
      <c r="A227" s="120">
        <v>42856</v>
      </c>
      <c r="B227" s="121">
        <v>-0.127</v>
      </c>
      <c r="C227" s="121"/>
      <c r="D227" s="121"/>
      <c r="E227" s="121"/>
      <c r="F227" s="121"/>
      <c r="G227" s="121">
        <v>1.9470000000000001</v>
      </c>
      <c r="H227" s="121">
        <v>-0.127</v>
      </c>
      <c r="I227" s="121"/>
      <c r="J227" s="121">
        <v>3</v>
      </c>
      <c r="K227" s="121">
        <v>5</v>
      </c>
      <c r="L227" s="121">
        <v>3.75</v>
      </c>
      <c r="M227" s="121">
        <v>8</v>
      </c>
    </row>
    <row r="228" spans="1:13" x14ac:dyDescent="0.35">
      <c r="A228" s="120">
        <v>42887</v>
      </c>
      <c r="B228" s="121">
        <v>-0.14899999999999999</v>
      </c>
      <c r="C228" s="121"/>
      <c r="D228" s="121"/>
      <c r="E228" s="121"/>
      <c r="F228" s="121"/>
      <c r="G228" s="121">
        <v>1.913</v>
      </c>
      <c r="H228" s="121">
        <v>-0.14899999999999999</v>
      </c>
      <c r="I228" s="121"/>
      <c r="J228" s="121">
        <v>3</v>
      </c>
      <c r="K228" s="121">
        <v>5</v>
      </c>
      <c r="L228" s="121">
        <v>3.75</v>
      </c>
      <c r="M228" s="121">
        <v>8</v>
      </c>
    </row>
    <row r="229" spans="1:13" x14ac:dyDescent="0.35">
      <c r="A229" s="120">
        <v>42917</v>
      </c>
      <c r="B229" s="121">
        <v>-0.154</v>
      </c>
      <c r="C229" s="121"/>
      <c r="D229" s="121"/>
      <c r="E229" s="121"/>
      <c r="F229" s="121"/>
      <c r="G229" s="121">
        <v>1.929</v>
      </c>
      <c r="H229" s="121">
        <v>-0.154</v>
      </c>
      <c r="I229" s="121"/>
      <c r="J229" s="121">
        <v>3</v>
      </c>
      <c r="K229" s="121">
        <v>5</v>
      </c>
      <c r="L229" s="121">
        <v>3.75</v>
      </c>
      <c r="M229" s="121">
        <v>8</v>
      </c>
    </row>
    <row r="230" spans="1:13" x14ac:dyDescent="0.35">
      <c r="A230" s="120">
        <v>42948</v>
      </c>
      <c r="B230" s="121">
        <v>-0.156</v>
      </c>
      <c r="C230" s="121"/>
      <c r="D230" s="121"/>
      <c r="E230" s="121"/>
      <c r="F230" s="121"/>
      <c r="G230" s="121">
        <v>1.9530000000000001</v>
      </c>
      <c r="H230" s="121">
        <v>-0.156</v>
      </c>
      <c r="I230" s="121"/>
      <c r="J230" s="121">
        <v>3</v>
      </c>
      <c r="K230" s="121">
        <v>5</v>
      </c>
      <c r="L230" s="121">
        <v>3.75</v>
      </c>
      <c r="M230" s="121">
        <v>8</v>
      </c>
    </row>
    <row r="231" spans="1:13" x14ac:dyDescent="0.35">
      <c r="A231" s="120">
        <v>42979</v>
      </c>
      <c r="B231" s="121">
        <v>-0.16800000000000001</v>
      </c>
      <c r="C231" s="121"/>
      <c r="D231" s="121"/>
      <c r="E231" s="121"/>
      <c r="F231" s="121"/>
      <c r="G231" s="121">
        <v>1.873</v>
      </c>
      <c r="H231" s="121">
        <v>-0.16800000000000001</v>
      </c>
      <c r="I231" s="121"/>
      <c r="J231" s="121">
        <v>3</v>
      </c>
      <c r="K231" s="121">
        <v>5</v>
      </c>
      <c r="L231" s="121">
        <v>3.75</v>
      </c>
      <c r="M231" s="121">
        <v>8</v>
      </c>
    </row>
    <row r="232" spans="1:13" x14ac:dyDescent="0.35">
      <c r="A232" s="120">
        <v>43009</v>
      </c>
      <c r="B232" s="121">
        <v>-0.18</v>
      </c>
      <c r="C232" s="121"/>
      <c r="D232" s="121"/>
      <c r="E232" s="121"/>
      <c r="F232" s="121"/>
      <c r="G232" s="121">
        <v>1.9039999999999999</v>
      </c>
      <c r="H232" s="121">
        <v>-0.18</v>
      </c>
      <c r="I232" s="121"/>
      <c r="J232" s="121">
        <v>3</v>
      </c>
      <c r="K232" s="121">
        <v>5</v>
      </c>
      <c r="L232" s="121">
        <v>3.75</v>
      </c>
      <c r="M232" s="121">
        <v>8</v>
      </c>
    </row>
    <row r="233" spans="1:13" x14ac:dyDescent="0.35">
      <c r="A233" s="120">
        <v>43040</v>
      </c>
      <c r="B233" s="121">
        <v>-0.189</v>
      </c>
      <c r="C233" s="121"/>
      <c r="D233" s="121"/>
      <c r="E233" s="121"/>
      <c r="F233" s="121"/>
      <c r="G233" s="121">
        <v>1.91</v>
      </c>
      <c r="H233" s="121">
        <v>-0.189</v>
      </c>
      <c r="I233" s="121"/>
      <c r="J233" s="121">
        <v>3</v>
      </c>
      <c r="K233" s="121">
        <v>5</v>
      </c>
      <c r="L233" s="121">
        <v>3.75</v>
      </c>
      <c r="M233" s="121">
        <v>8</v>
      </c>
    </row>
    <row r="234" spans="1:13" x14ac:dyDescent="0.35">
      <c r="A234" s="120">
        <v>43070</v>
      </c>
      <c r="B234" s="121">
        <v>-0.19</v>
      </c>
      <c r="C234" s="121"/>
      <c r="D234" s="121"/>
      <c r="E234" s="121"/>
      <c r="F234" s="121"/>
      <c r="G234" s="121">
        <v>1.9019999999999999</v>
      </c>
      <c r="H234" s="121">
        <v>-0.19</v>
      </c>
      <c r="I234" s="121"/>
      <c r="J234" s="121">
        <v>3</v>
      </c>
      <c r="K234" s="121">
        <v>5</v>
      </c>
      <c r="L234" s="121">
        <v>3.75</v>
      </c>
      <c r="M234" s="121">
        <v>8</v>
      </c>
    </row>
    <row r="235" spans="1:13" x14ac:dyDescent="0.35">
      <c r="A235" s="120">
        <v>43101</v>
      </c>
      <c r="B235" s="121">
        <v>-0.189</v>
      </c>
      <c r="C235" s="121"/>
      <c r="D235" s="121"/>
      <c r="E235" s="121"/>
      <c r="F235" s="121"/>
      <c r="G235" s="121">
        <v>1.9379999999999999</v>
      </c>
      <c r="H235" s="121">
        <v>-0.189</v>
      </c>
      <c r="I235" s="121"/>
      <c r="J235" s="121">
        <v>3</v>
      </c>
      <c r="K235" s="121">
        <v>5</v>
      </c>
      <c r="L235" s="121">
        <v>3.75</v>
      </c>
      <c r="M235" s="121">
        <v>8</v>
      </c>
    </row>
    <row r="236" spans="1:13" x14ac:dyDescent="0.35">
      <c r="A236" s="120">
        <v>43132</v>
      </c>
      <c r="B236" s="121">
        <v>-0.191</v>
      </c>
      <c r="C236" s="121"/>
      <c r="D236" s="121"/>
      <c r="E236" s="121"/>
      <c r="F236" s="121"/>
      <c r="G236" s="121">
        <v>1.9</v>
      </c>
      <c r="H236" s="121">
        <v>-0.191</v>
      </c>
      <c r="I236" s="121"/>
      <c r="J236" s="121">
        <v>3</v>
      </c>
      <c r="K236" s="121">
        <v>5</v>
      </c>
      <c r="L236" s="121">
        <v>3.75</v>
      </c>
      <c r="M236" s="121">
        <v>8</v>
      </c>
    </row>
    <row r="237" spans="1:13" x14ac:dyDescent="0.35">
      <c r="A237" s="120">
        <v>43160</v>
      </c>
      <c r="B237" s="121">
        <v>-0.191</v>
      </c>
      <c r="C237" s="121"/>
      <c r="D237" s="121"/>
      <c r="E237" s="121"/>
      <c r="F237" s="121"/>
      <c r="G237" s="121">
        <v>1.895</v>
      </c>
      <c r="H237" s="121">
        <v>-0.191</v>
      </c>
      <c r="I237" s="121"/>
      <c r="J237" s="121">
        <v>3</v>
      </c>
      <c r="K237" s="121">
        <v>5</v>
      </c>
      <c r="L237" s="121">
        <v>3.75</v>
      </c>
      <c r="M237" s="121">
        <v>8</v>
      </c>
    </row>
    <row r="238" spans="1:13" x14ac:dyDescent="0.35">
      <c r="A238" s="120">
        <v>43191</v>
      </c>
      <c r="B238" s="121">
        <v>-0.19</v>
      </c>
      <c r="C238" s="121"/>
      <c r="D238" s="121"/>
      <c r="E238" s="121"/>
      <c r="F238" s="121"/>
      <c r="G238" s="121">
        <v>1.905</v>
      </c>
      <c r="H238" s="121">
        <v>-0.19</v>
      </c>
      <c r="I238" s="121"/>
      <c r="J238" s="121">
        <v>3</v>
      </c>
      <c r="K238" s="121">
        <v>5</v>
      </c>
      <c r="L238" s="121">
        <v>3.75</v>
      </c>
      <c r="M238" s="121">
        <v>8</v>
      </c>
    </row>
    <row r="239" spans="1:13" x14ac:dyDescent="0.35">
      <c r="A239" s="120">
        <v>43221</v>
      </c>
      <c r="B239" s="121">
        <v>-0.188</v>
      </c>
      <c r="C239" s="121"/>
      <c r="D239" s="121"/>
      <c r="E239" s="121"/>
      <c r="F239" s="121"/>
      <c r="G239" s="121">
        <v>1.8919999999999999</v>
      </c>
      <c r="H239" s="121">
        <v>-0.188</v>
      </c>
      <c r="I239" s="121"/>
      <c r="J239" s="121">
        <v>3</v>
      </c>
      <c r="K239" s="121">
        <v>5</v>
      </c>
      <c r="L239" s="121">
        <v>3.75</v>
      </c>
      <c r="M239" s="121">
        <v>8</v>
      </c>
    </row>
    <row r="240" spans="1:13" x14ac:dyDescent="0.35">
      <c r="A240" s="120">
        <v>43252</v>
      </c>
      <c r="B240" s="121">
        <v>-0.18099999999999999</v>
      </c>
      <c r="C240" s="121"/>
      <c r="D240" s="121"/>
      <c r="E240" s="121"/>
      <c r="F240" s="121"/>
      <c r="G240" s="121">
        <v>1.8620000000000001</v>
      </c>
      <c r="H240" s="121">
        <v>-0.18099999999999999</v>
      </c>
      <c r="I240" s="121"/>
      <c r="J240" s="121">
        <v>3</v>
      </c>
      <c r="K240" s="121">
        <v>5</v>
      </c>
      <c r="L240" s="121">
        <v>3.75</v>
      </c>
      <c r="M240" s="121">
        <v>8</v>
      </c>
    </row>
    <row r="241" spans="1:13" x14ac:dyDescent="0.35">
      <c r="A241" s="120">
        <v>43282</v>
      </c>
      <c r="B241" s="121">
        <v>-0.18</v>
      </c>
      <c r="C241" s="121"/>
      <c r="D241" s="121"/>
      <c r="E241" s="121"/>
      <c r="F241" s="121"/>
      <c r="G241" s="121">
        <v>1.8540000000000001</v>
      </c>
      <c r="H241" s="121">
        <v>-0.18</v>
      </c>
      <c r="I241" s="121"/>
      <c r="J241" s="121">
        <v>3</v>
      </c>
      <c r="K241" s="121">
        <v>5</v>
      </c>
      <c r="L241" s="121">
        <v>3.75</v>
      </c>
      <c r="M241" s="121">
        <v>8</v>
      </c>
    </row>
    <row r="242" spans="1:13" x14ac:dyDescent="0.35">
      <c r="A242" s="120">
        <v>43313</v>
      </c>
      <c r="B242" s="121">
        <v>-0.16900000000000001</v>
      </c>
      <c r="C242" s="121"/>
      <c r="D242" s="121"/>
      <c r="E242" s="121"/>
      <c r="F242" s="121"/>
      <c r="G242" s="121">
        <v>1.9319999999999999</v>
      </c>
      <c r="H242" s="121">
        <v>-0.16900000000000001</v>
      </c>
      <c r="I242" s="121"/>
      <c r="J242" s="121">
        <v>3</v>
      </c>
      <c r="K242" s="121">
        <v>5</v>
      </c>
      <c r="L242" s="121">
        <v>3.75</v>
      </c>
      <c r="M242" s="121">
        <v>8</v>
      </c>
    </row>
    <row r="243" spans="1:13" x14ac:dyDescent="0.35">
      <c r="A243" s="120">
        <v>43344</v>
      </c>
      <c r="B243" s="121">
        <v>-0.16600000000000001</v>
      </c>
      <c r="C243" s="121"/>
      <c r="D243" s="121"/>
      <c r="E243" s="121"/>
      <c r="F243" s="121"/>
      <c r="G243" s="121">
        <v>1.891</v>
      </c>
      <c r="H243" s="121">
        <v>-0.16600000000000001</v>
      </c>
      <c r="I243" s="121"/>
      <c r="J243" s="121">
        <v>3</v>
      </c>
      <c r="K243" s="121">
        <v>5</v>
      </c>
      <c r="L243" s="121">
        <v>3.75</v>
      </c>
      <c r="M243" s="121">
        <v>8</v>
      </c>
    </row>
    <row r="244" spans="1:13" x14ac:dyDescent="0.35">
      <c r="A244" s="120">
        <v>43374</v>
      </c>
      <c r="B244" s="121">
        <v>-0.154</v>
      </c>
      <c r="C244" s="121"/>
      <c r="D244" s="121"/>
      <c r="E244" s="121"/>
      <c r="F244" s="121"/>
      <c r="G244" s="121">
        <v>1.9319999999999999</v>
      </c>
      <c r="H244" s="121">
        <v>-0.154</v>
      </c>
      <c r="I244" s="121"/>
      <c r="J244" s="121">
        <v>3</v>
      </c>
      <c r="K244" s="121">
        <v>5</v>
      </c>
      <c r="L244" s="121">
        <v>3.75</v>
      </c>
      <c r="M244" s="121">
        <v>8</v>
      </c>
    </row>
    <row r="245" spans="1:13" x14ac:dyDescent="0.35">
      <c r="A245" s="120">
        <v>43405</v>
      </c>
      <c r="B245" s="121">
        <v>-0.14699999999999999</v>
      </c>
      <c r="C245" s="121"/>
      <c r="D245" s="121"/>
      <c r="E245" s="121"/>
      <c r="F245" s="121"/>
      <c r="G245" s="121">
        <v>2.0089999999999999</v>
      </c>
      <c r="H245" s="121">
        <v>-0.14699999999999999</v>
      </c>
      <c r="I245" s="121"/>
      <c r="J245" s="121">
        <v>3</v>
      </c>
      <c r="K245" s="121">
        <v>5</v>
      </c>
      <c r="L245" s="121">
        <v>3.75</v>
      </c>
      <c r="M245" s="121">
        <v>8</v>
      </c>
    </row>
    <row r="246" spans="1:13" x14ac:dyDescent="0.35">
      <c r="A246" s="120">
        <v>43435</v>
      </c>
      <c r="B246" s="121">
        <v>-0.129</v>
      </c>
      <c r="C246" s="121"/>
      <c r="D246" s="121"/>
      <c r="E246" s="121"/>
      <c r="F246" s="121"/>
      <c r="G246" s="121">
        <v>2.0369999999999999</v>
      </c>
      <c r="H246" s="121">
        <v>-0.129</v>
      </c>
      <c r="I246" s="121"/>
      <c r="J246" s="121">
        <v>3</v>
      </c>
      <c r="K246" s="121">
        <v>5</v>
      </c>
      <c r="L246" s="121">
        <v>3.75</v>
      </c>
      <c r="M246" s="121">
        <v>8</v>
      </c>
    </row>
    <row r="247" spans="1:13" x14ac:dyDescent="0.35">
      <c r="A247" s="120">
        <v>43466</v>
      </c>
      <c r="B247" s="121">
        <v>-0.11600000000000001</v>
      </c>
      <c r="C247" s="121"/>
      <c r="D247" s="121"/>
      <c r="E247" s="121"/>
      <c r="F247" s="121"/>
      <c r="G247" s="121">
        <v>2.0219999999999998</v>
      </c>
      <c r="H247" s="121">
        <v>-0.11600000000000001</v>
      </c>
      <c r="I247" s="121"/>
      <c r="J247" s="121">
        <v>3</v>
      </c>
      <c r="K247" s="121">
        <v>5</v>
      </c>
      <c r="L247" s="121">
        <v>3.75</v>
      </c>
      <c r="M247" s="121">
        <v>8</v>
      </c>
    </row>
    <row r="248" spans="1:13" x14ac:dyDescent="0.35">
      <c r="A248" s="120">
        <v>43497</v>
      </c>
      <c r="B248" s="121">
        <v>-0.108</v>
      </c>
      <c r="C248" s="121"/>
      <c r="D248" s="121"/>
      <c r="E248" s="121"/>
      <c r="F248" s="121"/>
      <c r="G248" s="121">
        <v>2.056</v>
      </c>
      <c r="H248" s="121">
        <v>-0.108</v>
      </c>
      <c r="I248" s="121"/>
      <c r="J248" s="121">
        <v>3</v>
      </c>
      <c r="K248" s="121">
        <v>5</v>
      </c>
      <c r="L248" s="121">
        <v>3.75</v>
      </c>
      <c r="M248" s="121">
        <v>8</v>
      </c>
    </row>
    <row r="249" spans="1:13" x14ac:dyDescent="0.35">
      <c r="A249" s="120">
        <v>43525</v>
      </c>
      <c r="B249" s="121">
        <v>-0.109</v>
      </c>
      <c r="C249" s="121"/>
      <c r="D249" s="121"/>
      <c r="E249" s="121"/>
      <c r="F249" s="121"/>
      <c r="G249" s="121">
        <v>2.0390000000000001</v>
      </c>
      <c r="H249" s="121">
        <v>-0.109</v>
      </c>
      <c r="I249" s="121"/>
      <c r="J249" s="121">
        <v>3</v>
      </c>
      <c r="K249" s="121">
        <v>5</v>
      </c>
      <c r="L249" s="121">
        <v>3.75</v>
      </c>
      <c r="M249" s="121">
        <v>8</v>
      </c>
    </row>
    <row r="250" spans="1:13" x14ac:dyDescent="0.35">
      <c r="A250" s="120">
        <v>43556</v>
      </c>
      <c r="B250" s="121">
        <v>-0.112</v>
      </c>
      <c r="C250" s="121"/>
      <c r="D250" s="121"/>
      <c r="E250" s="121"/>
      <c r="F250" s="121"/>
      <c r="G250" s="121">
        <v>2.0169999999999999</v>
      </c>
      <c r="H250" s="121">
        <v>-0.112</v>
      </c>
      <c r="I250" s="121"/>
      <c r="J250" s="121">
        <v>3</v>
      </c>
      <c r="K250" s="121">
        <v>5</v>
      </c>
      <c r="L250" s="121">
        <v>3.75</v>
      </c>
      <c r="M250" s="121">
        <v>8</v>
      </c>
    </row>
    <row r="251" spans="1:13" x14ac:dyDescent="0.35">
      <c r="A251" s="120">
        <v>43586</v>
      </c>
      <c r="B251" s="121">
        <v>-0.13400000000000001</v>
      </c>
      <c r="C251" s="121"/>
      <c r="D251" s="121"/>
      <c r="E251" s="121"/>
      <c r="F251" s="121"/>
      <c r="G251" s="121">
        <v>2.052</v>
      </c>
      <c r="H251" s="121">
        <v>-0.13400000000000001</v>
      </c>
      <c r="I251" s="121"/>
      <c r="J251" s="121">
        <v>3</v>
      </c>
      <c r="K251" s="121">
        <v>5</v>
      </c>
      <c r="L251" s="121">
        <v>3.75</v>
      </c>
      <c r="M251" s="121">
        <v>8</v>
      </c>
    </row>
    <row r="252" spans="1:13" x14ac:dyDescent="0.35">
      <c r="A252" s="120">
        <v>43617</v>
      </c>
      <c r="B252" s="121">
        <v>-0.19</v>
      </c>
      <c r="C252" s="121"/>
      <c r="D252" s="121"/>
      <c r="E252" s="121"/>
      <c r="F252" s="121"/>
      <c r="G252" s="121">
        <v>2.0409999999999999</v>
      </c>
      <c r="H252" s="121">
        <v>-0.19</v>
      </c>
      <c r="I252" s="121"/>
      <c r="J252" s="121">
        <v>3</v>
      </c>
      <c r="K252" s="121">
        <v>5</v>
      </c>
      <c r="L252" s="121">
        <v>3.75</v>
      </c>
      <c r="M252" s="121">
        <v>8</v>
      </c>
    </row>
    <row r="253" spans="1:13" x14ac:dyDescent="0.35">
      <c r="A253" s="120">
        <v>43647</v>
      </c>
      <c r="B253" s="121">
        <v>-0.28299999999999997</v>
      </c>
      <c r="C253" s="121"/>
      <c r="D253" s="121"/>
      <c r="E253" s="121"/>
      <c r="F253" s="121"/>
      <c r="G253" s="121">
        <v>1.8360000000000001</v>
      </c>
      <c r="H253" s="121">
        <v>-0.28299999999999997</v>
      </c>
      <c r="I253" s="121"/>
      <c r="J253" s="121">
        <v>3</v>
      </c>
      <c r="K253" s="121">
        <v>5</v>
      </c>
      <c r="L253" s="121">
        <v>3.75</v>
      </c>
      <c r="M253" s="121">
        <v>8</v>
      </c>
    </row>
    <row r="254" spans="1:13" x14ac:dyDescent="0.35">
      <c r="A254" s="120">
        <v>43678</v>
      </c>
      <c r="B254" s="121">
        <v>-0.35599999999999998</v>
      </c>
      <c r="C254" s="121"/>
      <c r="D254" s="121"/>
      <c r="E254" s="121"/>
      <c r="F254" s="121"/>
      <c r="G254" s="121">
        <v>1.913</v>
      </c>
      <c r="H254" s="121">
        <v>-0.35599999999999998</v>
      </c>
      <c r="I254" s="121"/>
      <c r="J254" s="121">
        <v>3</v>
      </c>
      <c r="K254" s="121">
        <v>5</v>
      </c>
      <c r="L254" s="121">
        <v>3.75</v>
      </c>
      <c r="M254" s="121">
        <v>8</v>
      </c>
    </row>
    <row r="255" spans="1:13" x14ac:dyDescent="0.35">
      <c r="A255" s="120">
        <v>43709</v>
      </c>
      <c r="B255" s="121">
        <v>-0.33900000000000002</v>
      </c>
      <c r="C255" s="121"/>
      <c r="D255" s="121"/>
      <c r="E255" s="121"/>
      <c r="F255" s="121"/>
      <c r="G255" s="121">
        <v>1.825</v>
      </c>
      <c r="H255" s="121">
        <v>-0.33900000000000002</v>
      </c>
      <c r="I255" s="121"/>
      <c r="J255" s="121">
        <v>3</v>
      </c>
      <c r="K255" s="121">
        <v>5</v>
      </c>
      <c r="L255" s="121">
        <v>3.75</v>
      </c>
      <c r="M255" s="121">
        <v>8</v>
      </c>
    </row>
    <row r="256" spans="1:13" x14ac:dyDescent="0.35">
      <c r="A256" s="120">
        <v>43739</v>
      </c>
      <c r="B256" s="121">
        <v>-0.30399999999999999</v>
      </c>
      <c r="C256" s="121"/>
      <c r="D256" s="121"/>
      <c r="E256" s="121"/>
      <c r="F256" s="121"/>
      <c r="G256" s="121">
        <v>1.806</v>
      </c>
      <c r="H256" s="121">
        <v>-0.30399999999999999</v>
      </c>
      <c r="I256" s="121"/>
      <c r="J256" s="121">
        <v>3</v>
      </c>
      <c r="K256" s="121">
        <v>5</v>
      </c>
      <c r="L256" s="121">
        <v>3.75</v>
      </c>
      <c r="M256" s="121">
        <v>8</v>
      </c>
    </row>
    <row r="257" spans="1:13" x14ac:dyDescent="0.35">
      <c r="A257" s="120">
        <v>43770</v>
      </c>
      <c r="B257" s="121">
        <v>-0.27200000000000002</v>
      </c>
      <c r="C257" s="121"/>
      <c r="D257" s="121"/>
      <c r="E257" s="121"/>
      <c r="F257" s="121"/>
      <c r="G257" s="121">
        <v>1.8029999999999999</v>
      </c>
      <c r="H257" s="121">
        <v>-0.27200000000000002</v>
      </c>
      <c r="I257" s="121"/>
      <c r="J257" s="121">
        <v>3</v>
      </c>
      <c r="K257" s="121">
        <v>5</v>
      </c>
      <c r="L257" s="121">
        <v>3.75</v>
      </c>
      <c r="M257" s="121">
        <v>8</v>
      </c>
    </row>
    <row r="258" spans="1:13" x14ac:dyDescent="0.35">
      <c r="A258" s="120">
        <v>43800</v>
      </c>
      <c r="B258" s="121">
        <v>-0.26100000000000001</v>
      </c>
      <c r="C258" s="121"/>
      <c r="D258" s="121"/>
      <c r="E258" s="121"/>
      <c r="F258" s="121"/>
      <c r="G258" s="121">
        <v>1.8069999999999999</v>
      </c>
      <c r="H258" s="121">
        <v>-0.26100000000000001</v>
      </c>
      <c r="I258" s="121"/>
      <c r="J258" s="121">
        <v>3</v>
      </c>
      <c r="K258" s="121">
        <v>5</v>
      </c>
      <c r="L258" s="121">
        <v>3.75</v>
      </c>
      <c r="M258" s="121">
        <v>8</v>
      </c>
    </row>
    <row r="259" spans="1:13" x14ac:dyDescent="0.35">
      <c r="A259" s="120">
        <v>43831</v>
      </c>
      <c r="B259" s="121">
        <v>-0.253</v>
      </c>
      <c r="C259" s="121"/>
      <c r="D259" s="121"/>
      <c r="E259" s="121"/>
      <c r="F259" s="121"/>
      <c r="G259" s="121">
        <v>1.825</v>
      </c>
      <c r="H259" s="121">
        <v>-0.253</v>
      </c>
      <c r="I259" s="121"/>
      <c r="J259" s="121">
        <v>3</v>
      </c>
      <c r="K259" s="121">
        <v>5</v>
      </c>
      <c r="L259" s="121">
        <v>3.75</v>
      </c>
      <c r="M259" s="121">
        <v>8</v>
      </c>
    </row>
    <row r="260" spans="1:13" x14ac:dyDescent="0.35">
      <c r="A260" s="120">
        <v>43862</v>
      </c>
      <c r="B260" s="121">
        <v>-0.28799999999999998</v>
      </c>
      <c r="C260" s="121"/>
      <c r="D260" s="121"/>
      <c r="E260" s="121"/>
      <c r="F260" s="121"/>
      <c r="G260" s="121">
        <v>1.8160000000000001</v>
      </c>
      <c r="H260" s="121">
        <v>-0.28799999999999998</v>
      </c>
      <c r="I260" s="121"/>
      <c r="J260" s="121">
        <v>3</v>
      </c>
      <c r="K260" s="121">
        <v>5</v>
      </c>
      <c r="L260" s="121">
        <v>3.75</v>
      </c>
      <c r="M260" s="121">
        <v>8</v>
      </c>
    </row>
    <row r="261" spans="1:13" x14ac:dyDescent="0.35">
      <c r="A261" s="120">
        <v>43891</v>
      </c>
      <c r="B261" s="121">
        <v>-0.26600000000000001</v>
      </c>
      <c r="C261" s="121"/>
      <c r="D261" s="121"/>
      <c r="E261" s="121"/>
      <c r="F261" s="121"/>
      <c r="G261" s="121">
        <v>1.7649999999999999</v>
      </c>
      <c r="H261" s="121">
        <v>-0.26600000000000001</v>
      </c>
      <c r="I261" s="121"/>
      <c r="J261" s="121">
        <v>3</v>
      </c>
      <c r="K261" s="121">
        <v>5</v>
      </c>
      <c r="L261" s="121">
        <v>3.75</v>
      </c>
      <c r="M261" s="121">
        <v>8</v>
      </c>
    </row>
    <row r="262" spans="1:13" x14ac:dyDescent="0.35">
      <c r="A262" s="120">
        <v>43922</v>
      </c>
      <c r="B262" s="121">
        <v>-0.108</v>
      </c>
      <c r="C262" s="121"/>
      <c r="D262" s="121"/>
      <c r="E262" s="121"/>
      <c r="F262" s="121"/>
      <c r="G262" s="121">
        <v>1.754</v>
      </c>
      <c r="H262" s="121">
        <v>-0.108</v>
      </c>
      <c r="I262" s="121"/>
      <c r="J262" s="121">
        <v>3</v>
      </c>
      <c r="K262" s="121">
        <v>5</v>
      </c>
      <c r="L262" s="121">
        <v>3.75</v>
      </c>
      <c r="M262" s="121">
        <v>8</v>
      </c>
    </row>
    <row r="263" spans="1:13" x14ac:dyDescent="0.35">
      <c r="A263" s="120">
        <v>43952</v>
      </c>
      <c r="B263" s="121">
        <v>-8.1000000000000003E-2</v>
      </c>
      <c r="C263" s="121"/>
      <c r="D263" s="121"/>
      <c r="E263" s="121"/>
      <c r="F263" s="121"/>
      <c r="G263" s="121">
        <v>1.7450000000000001</v>
      </c>
      <c r="H263" s="121">
        <v>-8.1000000000000003E-2</v>
      </c>
      <c r="I263" s="121"/>
      <c r="J263" s="121">
        <v>3</v>
      </c>
      <c r="K263" s="121">
        <v>5</v>
      </c>
      <c r="L263" s="121">
        <v>3.75</v>
      </c>
      <c r="M263" s="121">
        <v>8</v>
      </c>
    </row>
    <row r="264" spans="1:13" x14ac:dyDescent="0.35">
      <c r="A264" s="120">
        <v>43983</v>
      </c>
      <c r="B264" s="121">
        <v>-0.14699999999999999</v>
      </c>
      <c r="C264" s="121"/>
      <c r="D264" s="121"/>
      <c r="E264" s="121"/>
      <c r="F264" s="121"/>
      <c r="G264" s="121">
        <v>1.744</v>
      </c>
      <c r="H264" s="121">
        <v>-0.14699999999999999</v>
      </c>
      <c r="I264" s="121"/>
      <c r="J264" s="121">
        <v>3</v>
      </c>
      <c r="K264" s="121">
        <v>5</v>
      </c>
      <c r="L264" s="121">
        <v>3.75</v>
      </c>
      <c r="M264" s="121">
        <v>8</v>
      </c>
    </row>
    <row r="265" spans="1:13" x14ac:dyDescent="0.35">
      <c r="A265" s="120">
        <v>44013</v>
      </c>
      <c r="B265" s="121">
        <v>-0.27900000000000003</v>
      </c>
      <c r="C265" s="121"/>
      <c r="D265" s="121"/>
      <c r="E265" s="121"/>
      <c r="F265" s="121"/>
      <c r="G265" s="121">
        <v>1.7450000000000001</v>
      </c>
      <c r="H265" s="121">
        <v>-0.27900000000000003</v>
      </c>
      <c r="I265" s="121"/>
      <c r="J265" s="121">
        <v>3</v>
      </c>
      <c r="K265" s="121">
        <v>5</v>
      </c>
      <c r="L265" s="121">
        <v>3.75</v>
      </c>
      <c r="M265" s="121">
        <v>8</v>
      </c>
    </row>
    <row r="266" spans="1:13" x14ac:dyDescent="0.35">
      <c r="A266" s="120">
        <v>44044</v>
      </c>
      <c r="B266" s="121">
        <v>-0.35899999999999999</v>
      </c>
      <c r="C266" s="121"/>
      <c r="D266" s="121"/>
      <c r="E266" s="121"/>
      <c r="F266" s="121"/>
      <c r="G266" s="121">
        <v>1.7430000000000001</v>
      </c>
      <c r="H266" s="121">
        <v>-0.35899999999999999</v>
      </c>
      <c r="I266" s="121"/>
      <c r="J266" s="121">
        <v>3</v>
      </c>
      <c r="K266" s="121">
        <v>5</v>
      </c>
      <c r="L266" s="121">
        <v>3.75</v>
      </c>
      <c r="M266" s="121">
        <v>8</v>
      </c>
    </row>
    <row r="267" spans="1:13" x14ac:dyDescent="0.35">
      <c r="A267" s="120">
        <v>44075</v>
      </c>
      <c r="B267" s="121">
        <v>-0.41499999999999998</v>
      </c>
      <c r="C267" s="121"/>
      <c r="D267" s="121"/>
      <c r="E267" s="121"/>
      <c r="F267" s="121"/>
      <c r="G267" s="121">
        <v>1.7</v>
      </c>
      <c r="H267" s="121">
        <v>-0.41499999999999998</v>
      </c>
      <c r="I267" s="121"/>
      <c r="J267" s="121">
        <v>3</v>
      </c>
      <c r="K267" s="121">
        <v>5</v>
      </c>
      <c r="L267" s="121">
        <v>3.75</v>
      </c>
      <c r="M267" s="121">
        <v>8</v>
      </c>
    </row>
    <row r="268" spans="1:13" x14ac:dyDescent="0.35">
      <c r="A268" s="120">
        <v>44105</v>
      </c>
      <c r="B268" s="121">
        <v>-0.46600000000000003</v>
      </c>
      <c r="C268" s="121"/>
      <c r="D268" s="121"/>
      <c r="E268" s="121"/>
      <c r="F268" s="121"/>
      <c r="G268" s="121">
        <v>1.663</v>
      </c>
      <c r="H268" s="121">
        <v>-0.46600000000000003</v>
      </c>
      <c r="I268" s="121">
        <v>-0.55300000000000005</v>
      </c>
      <c r="J268" s="121">
        <v>3</v>
      </c>
      <c r="K268" s="121">
        <v>5</v>
      </c>
      <c r="L268" s="121">
        <v>3.75</v>
      </c>
      <c r="M268" s="121">
        <v>8</v>
      </c>
    </row>
    <row r="269" spans="1:13" x14ac:dyDescent="0.35">
      <c r="A269" s="120">
        <v>44136</v>
      </c>
      <c r="B269" s="121">
        <v>-0.48099999999999998</v>
      </c>
      <c r="C269" s="121"/>
      <c r="D269" s="121"/>
      <c r="E269" s="121"/>
      <c r="F269" s="121"/>
      <c r="G269" s="121">
        <v>1.661</v>
      </c>
      <c r="H269" s="121">
        <v>-0.48099999999999998</v>
      </c>
      <c r="I269" s="121">
        <v>-0.55600000000000005</v>
      </c>
      <c r="J269" s="121">
        <v>3</v>
      </c>
      <c r="K269" s="121">
        <v>5</v>
      </c>
      <c r="L269" s="121">
        <v>3.75</v>
      </c>
      <c r="M269" s="121">
        <v>8</v>
      </c>
    </row>
    <row r="270" spans="1:13" x14ac:dyDescent="0.35">
      <c r="A270" s="120">
        <v>44166</v>
      </c>
      <c r="B270" s="121">
        <v>-0.497</v>
      </c>
      <c r="C270" s="121"/>
      <c r="D270" s="121"/>
      <c r="E270" s="121"/>
      <c r="F270" s="121"/>
      <c r="G270" s="121">
        <v>1.5629999999999999</v>
      </c>
      <c r="H270" s="121">
        <v>-0.497</v>
      </c>
      <c r="I270" s="121">
        <v>-0.55500000000000005</v>
      </c>
      <c r="J270" s="121">
        <v>3</v>
      </c>
      <c r="K270" s="121">
        <v>5</v>
      </c>
      <c r="L270" s="121">
        <v>3.75</v>
      </c>
      <c r="M270" s="121">
        <v>8</v>
      </c>
    </row>
    <row r="271" spans="1:13" x14ac:dyDescent="0.35">
      <c r="A271" s="120">
        <v>44197</v>
      </c>
      <c r="B271" s="121">
        <v>-0.505</v>
      </c>
      <c r="C271" s="121">
        <v>-0.52900000000000003</v>
      </c>
      <c r="D271" s="121">
        <v>-0.54700000000000004</v>
      </c>
      <c r="E271" s="121">
        <v>-0.56200000000000006</v>
      </c>
      <c r="F271" s="121">
        <v>-0.56799999999999995</v>
      </c>
      <c r="G271" s="121">
        <v>1.5580000000000001</v>
      </c>
      <c r="H271" s="121">
        <v>-0.505</v>
      </c>
      <c r="I271" s="121">
        <v>-0.56100000000000005</v>
      </c>
      <c r="J271" s="121">
        <v>3</v>
      </c>
      <c r="K271" s="121">
        <v>5</v>
      </c>
      <c r="L271" s="121">
        <v>3.75</v>
      </c>
      <c r="M271" s="121">
        <v>8</v>
      </c>
    </row>
    <row r="272" spans="1:13" x14ac:dyDescent="0.35">
      <c r="A272" s="120">
        <v>44228</v>
      </c>
      <c r="B272" s="121">
        <v>-0.501</v>
      </c>
      <c r="C272" s="121">
        <v>-0.52100000000000002</v>
      </c>
      <c r="D272" s="121">
        <v>-0.54100000000000004</v>
      </c>
      <c r="E272" s="121">
        <v>-0.55300000000000005</v>
      </c>
      <c r="F272" s="121">
        <v>-0.56599999999999995</v>
      </c>
      <c r="G272" s="121">
        <v>1.5649999999999999</v>
      </c>
      <c r="H272" s="121">
        <v>-0.501</v>
      </c>
      <c r="I272" s="121">
        <v>-0.56399999999999995</v>
      </c>
      <c r="J272" s="121">
        <v>3</v>
      </c>
      <c r="K272" s="121">
        <v>5</v>
      </c>
      <c r="L272" s="121">
        <v>3.75</v>
      </c>
      <c r="M272" s="121">
        <v>8</v>
      </c>
    </row>
    <row r="273" spans="1:13" x14ac:dyDescent="0.35">
      <c r="A273" s="120">
        <v>44256</v>
      </c>
      <c r="B273" s="121">
        <v>-0.48699999999999999</v>
      </c>
      <c r="C273" s="121">
        <v>-0.51600000000000001</v>
      </c>
      <c r="D273" s="121">
        <v>-0.53900000000000003</v>
      </c>
      <c r="E273" s="121">
        <v>-0.55300000000000005</v>
      </c>
      <c r="F273" s="121">
        <v>-0.56499999999999995</v>
      </c>
      <c r="G273" s="121">
        <v>1.571</v>
      </c>
      <c r="H273" s="121">
        <v>-0.48699999999999999</v>
      </c>
      <c r="I273" s="121">
        <v>-0.56699999999999995</v>
      </c>
      <c r="J273" s="121">
        <v>3</v>
      </c>
      <c r="K273" s="121">
        <v>5</v>
      </c>
      <c r="L273" s="121">
        <v>3.75</v>
      </c>
      <c r="M273" s="121">
        <v>8</v>
      </c>
    </row>
    <row r="274" spans="1:13" x14ac:dyDescent="0.35">
      <c r="A274" s="120">
        <v>44287</v>
      </c>
      <c r="B274" s="121">
        <v>-0.48399999999999999</v>
      </c>
      <c r="C274" s="121">
        <v>-0.51600000000000001</v>
      </c>
      <c r="D274" s="121">
        <v>-0.53800000000000003</v>
      </c>
      <c r="E274" s="121">
        <v>-0.55500000000000005</v>
      </c>
      <c r="F274" s="121">
        <v>-0.56399999999999995</v>
      </c>
      <c r="G274" s="121">
        <v>1.48</v>
      </c>
      <c r="H274" s="121">
        <v>-0.48399999999999999</v>
      </c>
      <c r="I274" s="121"/>
      <c r="J274" s="121">
        <v>3</v>
      </c>
      <c r="K274" s="121">
        <v>5</v>
      </c>
      <c r="L274" s="121">
        <v>3.75</v>
      </c>
      <c r="M274" s="121">
        <v>8</v>
      </c>
    </row>
    <row r="275" spans="1:13" x14ac:dyDescent="0.35">
      <c r="A275" s="120">
        <v>44317</v>
      </c>
      <c r="B275" s="121">
        <v>-0.48099999999999998</v>
      </c>
      <c r="C275" s="121">
        <v>-0.51300000000000001</v>
      </c>
      <c r="D275" s="121">
        <v>-0.54</v>
      </c>
      <c r="E275" s="121">
        <v>-0.55800000000000005</v>
      </c>
      <c r="F275" s="121">
        <v>-0.56499999999999995</v>
      </c>
      <c r="G275" s="121">
        <v>1.5069999999999999</v>
      </c>
      <c r="H275" s="121">
        <v>-0.48099999999999998</v>
      </c>
      <c r="I275" s="121">
        <v>-0.56499999999999995</v>
      </c>
      <c r="J275" s="121">
        <v>3</v>
      </c>
      <c r="K275" s="121">
        <v>5</v>
      </c>
      <c r="L275" s="121">
        <v>3.75</v>
      </c>
      <c r="M275" s="121">
        <v>8</v>
      </c>
    </row>
    <row r="276" spans="1:13" x14ac:dyDescent="0.35">
      <c r="A276" s="120">
        <v>44348</v>
      </c>
      <c r="B276" s="121">
        <v>-0.48399999999999999</v>
      </c>
      <c r="C276" s="121">
        <v>-0.51500000000000001</v>
      </c>
      <c r="D276" s="121">
        <v>-0.54300000000000004</v>
      </c>
      <c r="E276" s="121">
        <v>-0.55500000000000005</v>
      </c>
      <c r="F276" s="121">
        <v>-0.56699999999999995</v>
      </c>
      <c r="G276" s="121">
        <v>1.5269999999999999</v>
      </c>
      <c r="H276" s="121">
        <v>-0.48399999999999999</v>
      </c>
      <c r="I276" s="121">
        <v>-0.56499999999999995</v>
      </c>
      <c r="J276" s="121">
        <v>3</v>
      </c>
      <c r="K276" s="121">
        <v>5</v>
      </c>
      <c r="L276" s="121">
        <v>3.75</v>
      </c>
      <c r="M276" s="121">
        <v>8</v>
      </c>
    </row>
    <row r="277" spans="1:13" x14ac:dyDescent="0.35">
      <c r="A277" s="120">
        <v>44378</v>
      </c>
      <c r="B277" s="121">
        <v>-0.49099999999999999</v>
      </c>
      <c r="C277" s="121">
        <v>-0.51600000000000001</v>
      </c>
      <c r="D277" s="121">
        <v>-0.54500000000000004</v>
      </c>
      <c r="E277" s="121">
        <v>-0.55600000000000005</v>
      </c>
      <c r="F277" s="121">
        <v>-0.56599999999999995</v>
      </c>
      <c r="G277" s="121">
        <v>1.4850000000000001</v>
      </c>
      <c r="H277" s="121">
        <v>-0.49099999999999999</v>
      </c>
      <c r="I277" s="121">
        <v>-0.56599999999999995</v>
      </c>
      <c r="J277" s="121">
        <v>3</v>
      </c>
      <c r="K277" s="121">
        <v>5</v>
      </c>
      <c r="L277" s="121">
        <v>3.75</v>
      </c>
      <c r="M277" s="121">
        <v>8</v>
      </c>
    </row>
    <row r="278" spans="1:13" x14ac:dyDescent="0.35">
      <c r="A278" s="120">
        <v>44409</v>
      </c>
      <c r="B278" s="121">
        <v>-0.498</v>
      </c>
      <c r="C278" s="121">
        <v>-0.52700000000000002</v>
      </c>
      <c r="D278" s="121">
        <v>-0.54800000000000004</v>
      </c>
      <c r="E278" s="121">
        <v>-0.56000000000000005</v>
      </c>
      <c r="F278" s="121">
        <v>-0.57099999999999995</v>
      </c>
      <c r="G278" s="121">
        <v>1.5289999999999999</v>
      </c>
      <c r="H278" s="121">
        <v>-0.498</v>
      </c>
      <c r="I278" s="121">
        <v>-0.56799999999999995</v>
      </c>
      <c r="J278" s="121">
        <v>3</v>
      </c>
      <c r="K278" s="121">
        <v>5</v>
      </c>
      <c r="L278" s="121">
        <v>3.75</v>
      </c>
      <c r="M278" s="121">
        <v>8</v>
      </c>
    </row>
    <row r="279" spans="1:13" x14ac:dyDescent="0.35">
      <c r="A279" s="120">
        <v>44440</v>
      </c>
      <c r="B279" s="121">
        <v>-0.49199999999999999</v>
      </c>
      <c r="C279" s="121">
        <v>-0.52200000000000002</v>
      </c>
      <c r="D279" s="121">
        <v>-0.54500000000000004</v>
      </c>
      <c r="E279" s="121">
        <v>-0.55800000000000005</v>
      </c>
      <c r="F279" s="121">
        <v>-0.56999999999999995</v>
      </c>
      <c r="G279" s="121">
        <v>1.4890000000000001</v>
      </c>
      <c r="H279" s="121">
        <v>-0.49199999999999999</v>
      </c>
      <c r="I279" s="121">
        <v>-0.56999999999999995</v>
      </c>
      <c r="J279" s="121">
        <v>3</v>
      </c>
      <c r="K279" s="121">
        <v>5</v>
      </c>
      <c r="L279" s="121">
        <v>3.75</v>
      </c>
      <c r="M279" s="121">
        <v>8</v>
      </c>
    </row>
    <row r="280" spans="1:13" x14ac:dyDescent="0.35">
      <c r="A280" s="120">
        <v>44470</v>
      </c>
      <c r="B280" s="121">
        <v>-0.47699999999999998</v>
      </c>
      <c r="C280" s="121">
        <v>-0.52700000000000002</v>
      </c>
      <c r="D280" s="121">
        <v>-0.55000000000000004</v>
      </c>
      <c r="E280" s="121">
        <v>-0.56000000000000005</v>
      </c>
      <c r="F280" s="121">
        <v>-0.56999999999999995</v>
      </c>
      <c r="G280" s="121">
        <v>1.4670000000000001</v>
      </c>
      <c r="H280" s="121">
        <v>-0.47699999999999998</v>
      </c>
      <c r="I280" s="121">
        <v>-0.57099999999999995</v>
      </c>
      <c r="J280" s="121">
        <v>3</v>
      </c>
      <c r="K280" s="121">
        <v>5</v>
      </c>
      <c r="L280" s="121">
        <v>3.75</v>
      </c>
      <c r="M280" s="121">
        <v>8</v>
      </c>
    </row>
    <row r="281" spans="1:13" x14ac:dyDescent="0.35">
      <c r="A281" s="120">
        <v>44501</v>
      </c>
      <c r="B281" s="121">
        <v>-0.48699999999999999</v>
      </c>
      <c r="C281" s="121">
        <v>-0.53400000000000003</v>
      </c>
      <c r="D281" s="121">
        <v>-0.56699999999999995</v>
      </c>
      <c r="E281" s="121">
        <v>-0.56499999999999995</v>
      </c>
      <c r="F281" s="121">
        <v>-0.57299999999999995</v>
      </c>
      <c r="G281" s="121">
        <v>1.4119999999999999</v>
      </c>
      <c r="H281" s="121">
        <v>-0.48699999999999999</v>
      </c>
      <c r="I281" s="121">
        <v>-0.57299999999999995</v>
      </c>
      <c r="J281" s="121">
        <v>3</v>
      </c>
      <c r="K281" s="121">
        <v>5</v>
      </c>
      <c r="L281" s="121">
        <v>3.75</v>
      </c>
      <c r="M281" s="121">
        <v>8</v>
      </c>
    </row>
    <row r="282" spans="1:13" x14ac:dyDescent="0.35">
      <c r="A282" s="120">
        <v>44531</v>
      </c>
      <c r="B282" s="121">
        <v>-0.502</v>
      </c>
      <c r="C282" s="121">
        <v>-0.54500000000000004</v>
      </c>
      <c r="D282" s="121">
        <v>-0.58199999999999996</v>
      </c>
      <c r="E282" s="121">
        <v>-0.59599999999999997</v>
      </c>
      <c r="F282" s="121">
        <v>-0.57999999999999996</v>
      </c>
      <c r="G282" s="121">
        <v>1.448</v>
      </c>
      <c r="H282" s="121">
        <v>-0.502</v>
      </c>
      <c r="I282" s="121">
        <v>-0.57799999999999996</v>
      </c>
      <c r="J282" s="121">
        <v>3</v>
      </c>
      <c r="K282" s="121">
        <v>5</v>
      </c>
      <c r="L282" s="121">
        <v>3.75</v>
      </c>
      <c r="M282" s="121">
        <v>8</v>
      </c>
    </row>
    <row r="283" spans="1:13" x14ac:dyDescent="0.35">
      <c r="A283" s="120">
        <v>44562</v>
      </c>
      <c r="B283" s="121">
        <v>-0.47699999999999998</v>
      </c>
      <c r="C283" s="121">
        <v>-0.52700000000000002</v>
      </c>
      <c r="D283" s="121">
        <v>-0.56000000000000005</v>
      </c>
      <c r="E283" s="121">
        <v>-0.56499999999999995</v>
      </c>
      <c r="F283" s="121">
        <v>-0.57599999999999996</v>
      </c>
      <c r="G283" s="121">
        <v>1.4850000000000001</v>
      </c>
      <c r="H283" s="121">
        <v>-0.47699999999999998</v>
      </c>
      <c r="I283" s="121">
        <v>-0.57499999999999996</v>
      </c>
      <c r="J283" s="121">
        <v>3</v>
      </c>
      <c r="K283" s="121">
        <v>5</v>
      </c>
      <c r="L283" s="121">
        <v>3.75</v>
      </c>
      <c r="M283" s="121">
        <v>8</v>
      </c>
    </row>
    <row r="284" spans="1:13" x14ac:dyDescent="0.35">
      <c r="A284" s="120">
        <v>44593</v>
      </c>
      <c r="B284" s="121">
        <v>-0.33500000000000002</v>
      </c>
      <c r="C284" s="121">
        <v>-0.47599999999999998</v>
      </c>
      <c r="D284" s="121">
        <v>-0.53200000000000003</v>
      </c>
      <c r="E284" s="121">
        <v>-0.55300000000000005</v>
      </c>
      <c r="F284" s="121">
        <v>-0.57099999999999995</v>
      </c>
      <c r="G284" s="121">
        <v>1.4810000000000001</v>
      </c>
      <c r="H284" s="121">
        <v>-0.33500000000000002</v>
      </c>
      <c r="I284" s="121">
        <v>-0.57499999999999996</v>
      </c>
      <c r="J284" s="121">
        <v>3</v>
      </c>
      <c r="K284" s="121">
        <v>5</v>
      </c>
      <c r="L284" s="121">
        <v>3.75</v>
      </c>
      <c r="M284" s="121">
        <v>8</v>
      </c>
    </row>
    <row r="285" spans="1:13" x14ac:dyDescent="0.35">
      <c r="A285" s="120">
        <v>44621</v>
      </c>
      <c r="B285" s="121">
        <v>-0.23699999999999999</v>
      </c>
      <c r="C285" s="121">
        <v>-0.41799999999999998</v>
      </c>
      <c r="D285" s="121">
        <v>-0.495</v>
      </c>
      <c r="E285" s="121">
        <v>-0.54400000000000004</v>
      </c>
      <c r="F285" s="121">
        <v>-0.56899999999999995</v>
      </c>
      <c r="G285" s="121">
        <v>1.5129999999999999</v>
      </c>
      <c r="H285" s="121">
        <v>-0.23699999999999999</v>
      </c>
      <c r="I285" s="121">
        <v>-0.57999999999999996</v>
      </c>
      <c r="J285" s="121">
        <v>3</v>
      </c>
      <c r="K285" s="121">
        <v>5</v>
      </c>
      <c r="L285" s="121">
        <v>3.75</v>
      </c>
      <c r="M285" s="121">
        <v>8</v>
      </c>
    </row>
    <row r="286" spans="1:13" x14ac:dyDescent="0.35">
      <c r="A286" s="120">
        <v>44652</v>
      </c>
      <c r="B286" s="121">
        <v>1.2999999999999999E-2</v>
      </c>
      <c r="C286" s="121">
        <v>-0.311</v>
      </c>
      <c r="D286" s="121">
        <v>-0.44800000000000001</v>
      </c>
      <c r="E286" s="121">
        <v>-0.53700000000000003</v>
      </c>
      <c r="F286" s="121">
        <v>-0.56899999999999995</v>
      </c>
      <c r="G286" s="121">
        <v>1.54</v>
      </c>
      <c r="H286" s="121">
        <v>1.2999999999999999E-2</v>
      </c>
      <c r="I286" s="121">
        <v>-0.58299999999999996</v>
      </c>
      <c r="J286" s="121">
        <v>3</v>
      </c>
      <c r="K286" s="121">
        <v>5</v>
      </c>
      <c r="L286" s="121">
        <v>3.75</v>
      </c>
      <c r="M286" s="121">
        <v>8</v>
      </c>
    </row>
    <row r="287" spans="1:13" x14ac:dyDescent="0.35">
      <c r="A287" s="120">
        <v>44682</v>
      </c>
      <c r="B287" s="121">
        <v>0.28699999999999998</v>
      </c>
      <c r="C287" s="121">
        <v>-0.14399999999999999</v>
      </c>
      <c r="D287" s="121">
        <v>-0.38600000000000001</v>
      </c>
      <c r="E287" s="121">
        <v>-0.54600000000000004</v>
      </c>
      <c r="F287" s="121">
        <v>-0.56799999999999995</v>
      </c>
      <c r="G287" s="121">
        <v>1.6240000000000001</v>
      </c>
      <c r="H287" s="121">
        <v>0.28699999999999998</v>
      </c>
      <c r="I287" s="121">
        <v>-0.58599999999999997</v>
      </c>
      <c r="J287" s="121">
        <v>3</v>
      </c>
      <c r="K287" s="121">
        <v>5</v>
      </c>
      <c r="L287" s="121">
        <v>3.75</v>
      </c>
      <c r="M287" s="121">
        <v>8</v>
      </c>
    </row>
    <row r="288" spans="1:13" x14ac:dyDescent="0.35">
      <c r="A288" s="120">
        <v>44713</v>
      </c>
      <c r="B288" s="121">
        <v>0.85199999999999998</v>
      </c>
      <c r="C288" s="121">
        <v>0.16200000000000001</v>
      </c>
      <c r="D288" s="121">
        <v>-0.23899999999999999</v>
      </c>
      <c r="E288" s="121">
        <v>-0.52500000000000002</v>
      </c>
      <c r="F288" s="121">
        <v>-0.56999999999999995</v>
      </c>
      <c r="G288" s="121">
        <v>1.7989999999999999</v>
      </c>
      <c r="H288" s="121">
        <v>0.85199999999999998</v>
      </c>
      <c r="I288" s="121">
        <v>-0.57899999999999996</v>
      </c>
      <c r="J288" s="121">
        <v>3</v>
      </c>
      <c r="K288" s="121">
        <v>5</v>
      </c>
      <c r="L288" s="121">
        <v>3.75</v>
      </c>
      <c r="M288" s="121">
        <v>8</v>
      </c>
    </row>
    <row r="289" spans="1:13" x14ac:dyDescent="0.35">
      <c r="A289" s="120">
        <v>44743</v>
      </c>
      <c r="B289" s="121">
        <v>0.99199999999999999</v>
      </c>
      <c r="C289" s="121">
        <v>0.46600000000000003</v>
      </c>
      <c r="D289" s="121">
        <v>3.6999999999999998E-2</v>
      </c>
      <c r="E289" s="121">
        <v>-0.30599999999999999</v>
      </c>
      <c r="F289" s="121">
        <v>-0.45700000000000002</v>
      </c>
      <c r="G289" s="121">
        <v>1.986</v>
      </c>
      <c r="H289" s="121">
        <v>0.99199999999999999</v>
      </c>
      <c r="I289" s="121">
        <v>-0.44</v>
      </c>
      <c r="J289" s="121">
        <v>3</v>
      </c>
      <c r="K289" s="121">
        <v>5</v>
      </c>
      <c r="L289" s="121">
        <v>3.75</v>
      </c>
      <c r="M289" s="121">
        <v>8</v>
      </c>
    </row>
    <row r="290" spans="1:13" x14ac:dyDescent="0.35">
      <c r="A290" s="120">
        <v>44774</v>
      </c>
      <c r="B290" s="121">
        <v>1.2490000000000001</v>
      </c>
      <c r="C290" s="121">
        <v>0.83699999999999997</v>
      </c>
      <c r="D290" s="121">
        <v>0.39500000000000002</v>
      </c>
      <c r="E290" s="121">
        <v>2.1999999999999999E-2</v>
      </c>
      <c r="F290" s="121">
        <v>-7.0999999999999994E-2</v>
      </c>
      <c r="G290" s="121">
        <v>2.198</v>
      </c>
      <c r="H290" s="121">
        <v>1.2490000000000001</v>
      </c>
      <c r="I290" s="121">
        <v>-8.1000000000000003E-2</v>
      </c>
      <c r="J290" s="121">
        <v>3</v>
      </c>
      <c r="K290" s="121">
        <v>5</v>
      </c>
      <c r="L290" s="121">
        <v>3.75</v>
      </c>
      <c r="M290" s="121">
        <v>8</v>
      </c>
    </row>
    <row r="291" spans="1:13" x14ac:dyDescent="0.35">
      <c r="A291" s="120">
        <v>44805</v>
      </c>
      <c r="B291" s="121">
        <v>2.2330000000000001</v>
      </c>
      <c r="C291" s="121">
        <v>1.5960000000000001</v>
      </c>
      <c r="D291" s="121">
        <v>1.0109999999999999</v>
      </c>
      <c r="E291" s="121">
        <v>0.57399999999999995</v>
      </c>
      <c r="F291" s="121">
        <v>0.42399999999999999</v>
      </c>
      <c r="G291" s="121">
        <v>2.41</v>
      </c>
      <c r="H291" s="121">
        <v>2.2330000000000001</v>
      </c>
      <c r="I291" s="121">
        <v>0.66200000000000003</v>
      </c>
      <c r="J291" s="121">
        <v>3</v>
      </c>
      <c r="K291" s="121">
        <v>5</v>
      </c>
      <c r="L291" s="121">
        <v>3.75</v>
      </c>
      <c r="M291" s="121">
        <v>8</v>
      </c>
    </row>
    <row r="292" spans="1:13" x14ac:dyDescent="0.35">
      <c r="A292" s="120">
        <v>44835</v>
      </c>
      <c r="B292" s="121">
        <v>2.629</v>
      </c>
      <c r="C292" s="121">
        <v>1.9970000000000001</v>
      </c>
      <c r="D292" s="121">
        <v>1.4279999999999999</v>
      </c>
      <c r="E292" s="121">
        <v>0.91500000000000004</v>
      </c>
      <c r="F292" s="121">
        <v>0.69599999999999995</v>
      </c>
      <c r="G292" s="121">
        <v>2.6659999999999999</v>
      </c>
      <c r="H292" s="121">
        <v>2.629</v>
      </c>
      <c r="I292" s="121">
        <v>0.65600000000000003</v>
      </c>
      <c r="J292" s="121">
        <v>3</v>
      </c>
      <c r="K292" s="121">
        <v>5</v>
      </c>
      <c r="L292" s="121">
        <v>3.75</v>
      </c>
      <c r="M292" s="121">
        <v>8</v>
      </c>
    </row>
    <row r="293" spans="1:13" x14ac:dyDescent="0.35">
      <c r="A293" s="120">
        <v>44866</v>
      </c>
      <c r="B293" s="121">
        <v>2.8279999999999998</v>
      </c>
      <c r="C293" s="121">
        <v>2.3210000000000002</v>
      </c>
      <c r="D293" s="121">
        <v>1.825</v>
      </c>
      <c r="E293" s="121">
        <v>1.423</v>
      </c>
      <c r="F293" s="121">
        <v>1.375</v>
      </c>
      <c r="G293" s="121">
        <v>2.8769999999999998</v>
      </c>
      <c r="H293" s="121">
        <v>2.8279999999999998</v>
      </c>
      <c r="I293" s="121">
        <v>1.4039999999999999</v>
      </c>
      <c r="J293" s="121">
        <v>3</v>
      </c>
      <c r="K293" s="121">
        <v>5</v>
      </c>
      <c r="L293" s="121">
        <v>3.75</v>
      </c>
      <c r="M293" s="121">
        <v>8</v>
      </c>
    </row>
    <row r="294" spans="1:13" x14ac:dyDescent="0.35">
      <c r="A294" s="120">
        <v>44896</v>
      </c>
      <c r="B294" s="121">
        <v>3.0179999999999998</v>
      </c>
      <c r="C294" s="121">
        <v>2.56</v>
      </c>
      <c r="D294" s="121">
        <v>2.0630000000000002</v>
      </c>
      <c r="E294" s="121">
        <v>1.724</v>
      </c>
      <c r="F294" s="121">
        <v>1.595</v>
      </c>
      <c r="G294" s="121">
        <v>3.1160000000000001</v>
      </c>
      <c r="H294" s="121">
        <v>3.0179999999999998</v>
      </c>
      <c r="I294" s="121">
        <v>1.907</v>
      </c>
      <c r="J294" s="121">
        <v>3</v>
      </c>
      <c r="K294" s="121">
        <v>5</v>
      </c>
      <c r="L294" s="121">
        <v>3.75</v>
      </c>
      <c r="M294" s="121">
        <v>8</v>
      </c>
    </row>
    <row r="295" spans="1:13" x14ac:dyDescent="0.35">
      <c r="A295" s="120">
        <v>44927</v>
      </c>
      <c r="B295" s="121">
        <v>3.3370000000000002</v>
      </c>
      <c r="C295" s="121">
        <v>2.8580000000000001</v>
      </c>
      <c r="D295" s="121">
        <v>2.3450000000000002</v>
      </c>
      <c r="E295" s="121">
        <v>1.9810000000000001</v>
      </c>
      <c r="F295" s="121">
        <v>1.8879999999999999</v>
      </c>
      <c r="G295" s="121">
        <v>3.3450000000000002</v>
      </c>
      <c r="H295" s="121">
        <v>3.3370000000000002</v>
      </c>
      <c r="I295" s="121">
        <v>1.905</v>
      </c>
      <c r="J295" s="121">
        <v>3.25</v>
      </c>
      <c r="K295" s="121">
        <v>5.25</v>
      </c>
      <c r="L295" s="121">
        <v>4.0625</v>
      </c>
      <c r="M295" s="121">
        <v>10.5</v>
      </c>
    </row>
    <row r="296" spans="1:13" x14ac:dyDescent="0.35">
      <c r="A296" s="120">
        <v>44958</v>
      </c>
      <c r="B296" s="121">
        <v>3.5339999999999998</v>
      </c>
      <c r="C296" s="121">
        <v>3.1349999999999998</v>
      </c>
      <c r="D296" s="121">
        <v>2.64</v>
      </c>
      <c r="E296" s="121">
        <v>2.3690000000000002</v>
      </c>
      <c r="F296" s="121">
        <v>2.2970000000000002</v>
      </c>
      <c r="G296" s="121">
        <v>3.585</v>
      </c>
      <c r="H296" s="121">
        <v>3.5339999999999998</v>
      </c>
      <c r="I296" s="121">
        <v>2.399</v>
      </c>
      <c r="J296" s="121">
        <v>3.25</v>
      </c>
      <c r="K296" s="121">
        <v>5.25</v>
      </c>
      <c r="L296" s="121">
        <v>4.0625</v>
      </c>
      <c r="M296" s="121">
        <v>10.5</v>
      </c>
    </row>
    <row r="297" spans="1:13" x14ac:dyDescent="0.35">
      <c r="A297" s="120">
        <v>44986</v>
      </c>
      <c r="B297" s="121">
        <v>3.6469999999999998</v>
      </c>
      <c r="C297" s="121">
        <v>3.2669999999999999</v>
      </c>
      <c r="D297" s="121">
        <v>2.911</v>
      </c>
      <c r="E297" s="121">
        <v>2.71</v>
      </c>
      <c r="F297" s="121">
        <v>2.573</v>
      </c>
      <c r="G297" s="121">
        <v>3.6640000000000001</v>
      </c>
      <c r="H297" s="121">
        <v>3.6469999999999998</v>
      </c>
      <c r="I297" s="121">
        <v>2.8980000000000001</v>
      </c>
      <c r="J297" s="121">
        <v>3.25</v>
      </c>
      <c r="K297" s="121">
        <v>5.25</v>
      </c>
      <c r="L297" s="121">
        <v>4.0625</v>
      </c>
      <c r="M297" s="121">
        <v>10.5</v>
      </c>
    </row>
    <row r="298" spans="1:13" x14ac:dyDescent="0.35">
      <c r="A298" s="120">
        <v>45017</v>
      </c>
      <c r="B298" s="121">
        <v>3.7570000000000001</v>
      </c>
      <c r="C298" s="121">
        <v>3.516</v>
      </c>
      <c r="D298" s="121">
        <v>3.1789999999999998</v>
      </c>
      <c r="E298" s="121">
        <v>2.9609999999999999</v>
      </c>
      <c r="F298" s="121">
        <v>2.883</v>
      </c>
      <c r="G298" s="121">
        <v>3.6829999999999998</v>
      </c>
      <c r="H298" s="121">
        <v>3.7570000000000001</v>
      </c>
      <c r="I298" s="121">
        <v>2.9020000000000001</v>
      </c>
      <c r="J298" s="121">
        <v>3.25</v>
      </c>
      <c r="K298" s="121">
        <v>5.25</v>
      </c>
      <c r="L298" s="121">
        <v>4.0625</v>
      </c>
      <c r="M298" s="121">
        <v>10.5</v>
      </c>
    </row>
    <row r="299" spans="1:13" x14ac:dyDescent="0.35">
      <c r="A299" s="120">
        <v>45047</v>
      </c>
      <c r="B299" s="121">
        <v>3.8620000000000001</v>
      </c>
      <c r="C299" s="121">
        <v>3.6819999999999999</v>
      </c>
      <c r="D299" s="121">
        <v>3.3719999999999999</v>
      </c>
      <c r="E299" s="121">
        <v>3.1520000000000001</v>
      </c>
      <c r="F299" s="121">
        <v>3.085</v>
      </c>
      <c r="G299" s="121">
        <v>3.9670000000000001</v>
      </c>
      <c r="H299" s="121">
        <v>3.8620000000000001</v>
      </c>
      <c r="I299" s="121">
        <v>3.15</v>
      </c>
      <c r="J299" s="121">
        <v>3.25</v>
      </c>
      <c r="K299" s="121">
        <v>5.25</v>
      </c>
      <c r="L299" s="121">
        <v>4.0625</v>
      </c>
      <c r="M299" s="121">
        <v>10.5</v>
      </c>
    </row>
    <row r="300" spans="1:13" x14ac:dyDescent="0.35">
      <c r="A300" s="120">
        <v>45078</v>
      </c>
      <c r="B300" s="121">
        <v>4.0069999999999997</v>
      </c>
      <c r="C300" s="121">
        <v>3.8250000000000002</v>
      </c>
      <c r="D300" s="121">
        <v>3.536</v>
      </c>
      <c r="E300" s="121">
        <v>3.343</v>
      </c>
      <c r="F300" s="121">
        <v>3.2480000000000002</v>
      </c>
      <c r="G300" s="121">
        <v>4.0449999999999999</v>
      </c>
      <c r="H300" s="121">
        <v>4.0069999999999997</v>
      </c>
      <c r="I300" s="121">
        <v>3.4</v>
      </c>
      <c r="J300" s="121">
        <v>3.25</v>
      </c>
      <c r="K300" s="121">
        <v>5.25</v>
      </c>
      <c r="L300" s="121">
        <v>4.0625</v>
      </c>
      <c r="M300" s="121">
        <v>10.5</v>
      </c>
    </row>
    <row r="301" spans="1:13" x14ac:dyDescent="0.35">
      <c r="A301" s="120">
        <v>45108</v>
      </c>
      <c r="B301" s="121">
        <v>4.149</v>
      </c>
      <c r="C301" s="121">
        <v>3.9420000000000002</v>
      </c>
      <c r="D301" s="121">
        <v>3.6720000000000002</v>
      </c>
      <c r="E301" s="121">
        <v>3.4689999999999999</v>
      </c>
      <c r="F301" s="121">
        <v>3.399</v>
      </c>
      <c r="G301" s="121">
        <v>4.1859999999999999</v>
      </c>
      <c r="H301" s="121">
        <v>4.149</v>
      </c>
      <c r="I301" s="121">
        <v>3.4049999999999998</v>
      </c>
      <c r="J301" s="121">
        <v>3.25</v>
      </c>
      <c r="K301" s="121">
        <v>5.25</v>
      </c>
      <c r="L301" s="121">
        <v>4.0625</v>
      </c>
      <c r="M301" s="121">
        <v>12</v>
      </c>
    </row>
    <row r="302" spans="1:13" x14ac:dyDescent="0.35">
      <c r="A302" s="120">
        <v>45139</v>
      </c>
      <c r="B302" s="121">
        <v>4.0730000000000004</v>
      </c>
      <c r="C302" s="121">
        <v>3.944</v>
      </c>
      <c r="D302" s="121">
        <v>3.78</v>
      </c>
      <c r="E302" s="121">
        <v>3.6269999999999998</v>
      </c>
      <c r="F302" s="121">
        <v>3.6320000000000001</v>
      </c>
      <c r="G302" s="121">
        <v>4.2370000000000001</v>
      </c>
      <c r="H302" s="121">
        <v>4.0730000000000004</v>
      </c>
      <c r="I302" s="121">
        <v>3.6520000000000001</v>
      </c>
      <c r="J302" s="121">
        <v>3.25</v>
      </c>
      <c r="K302" s="121">
        <v>5.25</v>
      </c>
      <c r="L302" s="121">
        <v>4.0625</v>
      </c>
      <c r="M302" s="121">
        <v>12</v>
      </c>
    </row>
    <row r="303" spans="1:13" x14ac:dyDescent="0.35">
      <c r="A303" s="120">
        <v>45170</v>
      </c>
      <c r="B303" s="121">
        <v>4.149</v>
      </c>
      <c r="C303" s="121">
        <v>4.03</v>
      </c>
      <c r="D303" s="121">
        <v>3.88</v>
      </c>
      <c r="E303" s="121">
        <v>3.758</v>
      </c>
      <c r="F303" s="121">
        <v>3.746</v>
      </c>
      <c r="G303" s="121">
        <v>4.3049999999999997</v>
      </c>
      <c r="H303" s="121">
        <v>4.149</v>
      </c>
      <c r="I303" s="121">
        <v>3.9060000000000001</v>
      </c>
      <c r="J303" s="121">
        <v>3.25</v>
      </c>
      <c r="K303" s="121">
        <v>5.25</v>
      </c>
      <c r="L303" s="121">
        <v>4.0625</v>
      </c>
      <c r="M303" s="121">
        <v>12</v>
      </c>
    </row>
    <row r="304" spans="1:13" x14ac:dyDescent="0.35">
      <c r="A304" s="120">
        <v>45200</v>
      </c>
      <c r="B304" s="121">
        <v>4.16</v>
      </c>
      <c r="C304" s="121">
        <v>4.1150000000000002</v>
      </c>
      <c r="D304" s="121">
        <v>3.968</v>
      </c>
      <c r="E304" s="121">
        <v>3.8610000000000002</v>
      </c>
      <c r="F304" s="121">
        <v>3.8820000000000001</v>
      </c>
      <c r="G304" s="121">
        <v>4.33</v>
      </c>
      <c r="H304" s="121">
        <v>4.16</v>
      </c>
      <c r="I304" s="121">
        <v>3.903</v>
      </c>
      <c r="J304" s="121">
        <v>3.25</v>
      </c>
      <c r="K304" s="121">
        <v>5.25</v>
      </c>
      <c r="L304" s="121">
        <v>4.0625</v>
      </c>
      <c r="M304" s="121">
        <v>12</v>
      </c>
    </row>
    <row r="305" spans="1:13" x14ac:dyDescent="0.35">
      <c r="A305" s="120">
        <v>45231</v>
      </c>
      <c r="B305" s="121">
        <v>4.0220000000000002</v>
      </c>
      <c r="C305" s="121">
        <v>4.0650000000000004</v>
      </c>
      <c r="D305" s="121">
        <v>3.972</v>
      </c>
      <c r="E305" s="121">
        <v>3.8410000000000002</v>
      </c>
      <c r="F305" s="121">
        <v>3.8740000000000001</v>
      </c>
      <c r="G305" s="121">
        <v>4.2759999999999998</v>
      </c>
      <c r="H305" s="121">
        <v>4.0220000000000002</v>
      </c>
      <c r="I305" s="121">
        <v>3.9039999999999999</v>
      </c>
      <c r="J305" s="121">
        <v>3.25</v>
      </c>
      <c r="K305" s="121">
        <v>5.25</v>
      </c>
      <c r="L305" s="121">
        <v>4.0625</v>
      </c>
      <c r="M305" s="121">
        <v>12</v>
      </c>
    </row>
    <row r="306" spans="1:13" x14ac:dyDescent="0.35">
      <c r="A306" s="120">
        <v>45261</v>
      </c>
      <c r="B306" s="121">
        <v>3.6789999999999998</v>
      </c>
      <c r="C306" s="121">
        <v>3.927</v>
      </c>
      <c r="D306" s="121">
        <v>3.9350000000000001</v>
      </c>
      <c r="E306" s="121">
        <v>3.8580000000000001</v>
      </c>
      <c r="F306" s="121">
        <v>3.8580000000000001</v>
      </c>
      <c r="G306" s="121">
        <v>4.2190000000000003</v>
      </c>
      <c r="H306" s="121">
        <v>3.6789999999999998</v>
      </c>
      <c r="I306" s="121">
        <v>3.9</v>
      </c>
      <c r="J306" s="121">
        <v>3.25</v>
      </c>
      <c r="K306" s="121">
        <v>5.25</v>
      </c>
      <c r="L306" s="121">
        <v>4.0625</v>
      </c>
      <c r="M306" s="121">
        <v>12</v>
      </c>
    </row>
    <row r="307" spans="1:13" x14ac:dyDescent="0.35">
      <c r="A307" s="120">
        <v>45292</v>
      </c>
      <c r="B307" s="121">
        <v>3.609</v>
      </c>
      <c r="C307" s="121">
        <v>3.8919999999999999</v>
      </c>
      <c r="D307" s="121">
        <v>3.9249999999999998</v>
      </c>
      <c r="E307" s="121">
        <v>3.8690000000000002</v>
      </c>
      <c r="F307" s="121">
        <v>3.8740000000000001</v>
      </c>
      <c r="G307" s="121">
        <v>4.0620000000000003</v>
      </c>
      <c r="H307" s="121">
        <v>3.609</v>
      </c>
      <c r="I307" s="121">
        <v>3.9060000000000001</v>
      </c>
      <c r="J307" s="121">
        <v>3.25</v>
      </c>
      <c r="K307" s="121">
        <v>5.25</v>
      </c>
      <c r="L307" s="121">
        <v>4.0625</v>
      </c>
      <c r="M307" s="121">
        <v>12.5</v>
      </c>
    </row>
    <row r="308" spans="1:13" x14ac:dyDescent="0.35">
      <c r="A308" s="120">
        <v>45323</v>
      </c>
      <c r="B308" s="121">
        <v>3.6709999999999998</v>
      </c>
      <c r="C308" s="121">
        <v>3.9009999999999998</v>
      </c>
      <c r="D308" s="121">
        <v>3.923</v>
      </c>
      <c r="E308" s="121">
        <v>3.8679999999999999</v>
      </c>
      <c r="F308" s="121">
        <v>3.8780000000000001</v>
      </c>
      <c r="G308" s="121">
        <v>3.9849999999999999</v>
      </c>
      <c r="H308" s="121">
        <v>3.6709999999999998</v>
      </c>
      <c r="I308" s="121">
        <v>3.9079999999999999</v>
      </c>
      <c r="J308" s="121">
        <v>3.25</v>
      </c>
      <c r="K308" s="121">
        <v>5.25</v>
      </c>
      <c r="L308" s="121">
        <v>4.0625</v>
      </c>
      <c r="M308" s="121">
        <v>12.5</v>
      </c>
    </row>
    <row r="309" spans="1:13" x14ac:dyDescent="0.35">
      <c r="A309" s="120">
        <v>45352</v>
      </c>
      <c r="B309" s="121">
        <v>3.718</v>
      </c>
      <c r="C309" s="121">
        <v>3.895</v>
      </c>
      <c r="D309" s="121">
        <v>3.923</v>
      </c>
      <c r="E309" s="121">
        <v>3.8530000000000002</v>
      </c>
      <c r="F309" s="121">
        <v>3.8730000000000002</v>
      </c>
      <c r="G309" s="121">
        <v>3.9009999999999998</v>
      </c>
      <c r="H309" s="121">
        <v>3.718</v>
      </c>
      <c r="I309" s="121">
        <v>3.9089999999999998</v>
      </c>
      <c r="J309" s="121">
        <v>3.25</v>
      </c>
      <c r="K309" s="121">
        <v>5.25</v>
      </c>
      <c r="L309" s="121">
        <v>4.0625</v>
      </c>
      <c r="M309" s="121">
        <v>12.5</v>
      </c>
    </row>
    <row r="310" spans="1:13" x14ac:dyDescent="0.35">
      <c r="A310" s="120">
        <v>45383</v>
      </c>
      <c r="B310" s="121">
        <v>3.7029999999999998</v>
      </c>
      <c r="C310" s="121">
        <v>3.8380000000000001</v>
      </c>
      <c r="D310" s="121">
        <v>3.8849999999999998</v>
      </c>
      <c r="E310" s="121">
        <v>3.8530000000000002</v>
      </c>
      <c r="F310" s="121">
        <v>3.8679999999999999</v>
      </c>
      <c r="G310" s="121">
        <v>3.823</v>
      </c>
      <c r="H310" s="121">
        <v>3.7029999999999998</v>
      </c>
      <c r="I310" s="121">
        <v>3.9089999999999998</v>
      </c>
      <c r="J310" s="121">
        <v>3.25</v>
      </c>
      <c r="K310" s="121">
        <v>5.25</v>
      </c>
      <c r="L310" s="121">
        <v>4.0625</v>
      </c>
      <c r="M310" s="121">
        <v>12.5</v>
      </c>
    </row>
    <row r="311" spans="1:13" x14ac:dyDescent="0.35">
      <c r="A311" s="120">
        <v>45413</v>
      </c>
      <c r="B311" s="121">
        <v>3.68</v>
      </c>
      <c r="C311" s="121">
        <v>3.7869999999999999</v>
      </c>
      <c r="D311" s="121">
        <v>3.8130000000000002</v>
      </c>
      <c r="E311" s="121">
        <v>3.8159999999999998</v>
      </c>
      <c r="F311" s="121">
        <v>3.8809999999999998</v>
      </c>
      <c r="G311" s="121">
        <v>3.8610000000000002</v>
      </c>
      <c r="H311" s="121">
        <v>3.68</v>
      </c>
      <c r="I311" s="121">
        <v>3.911</v>
      </c>
      <c r="J311" s="121">
        <v>3.25</v>
      </c>
      <c r="K311" s="121">
        <v>5.25</v>
      </c>
      <c r="L311" s="121">
        <v>4.0625</v>
      </c>
      <c r="M311" s="121">
        <v>12.5</v>
      </c>
    </row>
    <row r="312" spans="1:13" x14ac:dyDescent="0.35">
      <c r="A312" s="120">
        <v>45444</v>
      </c>
      <c r="B312" s="121">
        <v>3.65</v>
      </c>
      <c r="C312" s="121">
        <v>3.7149999999999999</v>
      </c>
      <c r="D312" s="121">
        <v>3.7250000000000001</v>
      </c>
      <c r="E312" s="121">
        <v>3.6349999999999998</v>
      </c>
      <c r="F312" s="121">
        <v>3.681</v>
      </c>
      <c r="G312" s="121">
        <v>3.71</v>
      </c>
      <c r="H312" s="121">
        <v>3.65</v>
      </c>
      <c r="I312" s="121">
        <v>3.6640000000000001</v>
      </c>
      <c r="J312" s="121">
        <v>3.25</v>
      </c>
      <c r="K312" s="121">
        <v>5.25</v>
      </c>
      <c r="L312" s="121">
        <v>4.0625</v>
      </c>
      <c r="M312" s="121">
        <v>12.5</v>
      </c>
    </row>
    <row r="313" spans="1:13" x14ac:dyDescent="0.35">
      <c r="A313" s="120">
        <v>45474</v>
      </c>
      <c r="B313" s="121">
        <v>3.5259999999999998</v>
      </c>
      <c r="C313" s="121">
        <v>3.6440000000000001</v>
      </c>
      <c r="D313" s="121">
        <v>3.6850000000000001</v>
      </c>
      <c r="E313" s="121">
        <v>3.6179999999999999</v>
      </c>
      <c r="F313" s="121">
        <v>3.6110000000000002</v>
      </c>
      <c r="G313" s="121">
        <v>3.7280000000000002</v>
      </c>
      <c r="H313" s="121">
        <v>3.5259999999999998</v>
      </c>
      <c r="I313" s="121">
        <v>3.665</v>
      </c>
      <c r="J313" s="121">
        <v>3.25</v>
      </c>
      <c r="K313" s="121">
        <v>5.25</v>
      </c>
      <c r="L313" s="121">
        <v>4.0625</v>
      </c>
      <c r="M313" s="121">
        <v>12.25</v>
      </c>
    </row>
    <row r="314" spans="1:13" x14ac:dyDescent="0.35">
      <c r="A314" s="120">
        <v>45505</v>
      </c>
      <c r="B314" s="121">
        <v>3.1659999999999999</v>
      </c>
      <c r="C314" s="121">
        <v>3.4249999999999998</v>
      </c>
      <c r="D314" s="121">
        <v>3.548</v>
      </c>
      <c r="E314" s="121">
        <v>3.597</v>
      </c>
      <c r="F314" s="121">
        <v>3.6259999999999999</v>
      </c>
      <c r="G314" s="121">
        <v>3.6709999999999998</v>
      </c>
      <c r="H314" s="121">
        <v>3.1659999999999999</v>
      </c>
      <c r="I314" s="121">
        <v>3.6659999999999999</v>
      </c>
      <c r="J314" s="121">
        <v>3.25</v>
      </c>
      <c r="K314" s="121">
        <v>5.25</v>
      </c>
      <c r="L314" s="121">
        <v>4.0625</v>
      </c>
      <c r="M314" s="121">
        <v>12.25</v>
      </c>
    </row>
    <row r="315" spans="1:13" x14ac:dyDescent="0.35">
      <c r="A315" s="120">
        <v>45536</v>
      </c>
      <c r="B315" s="121">
        <v>2.9359999999999999</v>
      </c>
      <c r="C315" s="121">
        <v>3.258</v>
      </c>
      <c r="D315" s="121">
        <v>3.4340000000000002</v>
      </c>
      <c r="E315" s="121">
        <v>3.4380000000000002</v>
      </c>
      <c r="F315" s="121">
        <v>3.4910000000000001</v>
      </c>
      <c r="G315" s="121">
        <v>3.5059999999999998</v>
      </c>
      <c r="H315" s="121">
        <v>2.9359999999999999</v>
      </c>
      <c r="I315" s="121">
        <v>3.4159999999999999</v>
      </c>
      <c r="J315" s="121">
        <v>3.25</v>
      </c>
      <c r="K315" s="121">
        <v>5.25</v>
      </c>
      <c r="L315" s="121">
        <v>4.0625</v>
      </c>
      <c r="M315" s="121">
        <v>12.25</v>
      </c>
    </row>
    <row r="316" spans="1:13" x14ac:dyDescent="0.35">
      <c r="A316" s="120">
        <v>45566</v>
      </c>
      <c r="B316" s="121">
        <v>2.6909999999999998</v>
      </c>
      <c r="C316" s="121">
        <v>3.0019999999999998</v>
      </c>
      <c r="D316" s="121">
        <v>3.1669999999999998</v>
      </c>
      <c r="E316" s="121">
        <v>3.2050000000000001</v>
      </c>
      <c r="F316" s="121">
        <v>3.3079999999999998</v>
      </c>
      <c r="G316" s="121">
        <v>3.423</v>
      </c>
      <c r="H316" s="121">
        <v>2.6909999999999998</v>
      </c>
      <c r="I316" s="121">
        <v>3.1659999999999999</v>
      </c>
      <c r="J316" s="121">
        <v>3.25</v>
      </c>
      <c r="K316" s="121">
        <v>5.25</v>
      </c>
      <c r="L316" s="121">
        <v>4.0625</v>
      </c>
      <c r="M316" s="121">
        <v>12.25</v>
      </c>
    </row>
    <row r="317" spans="1:13" x14ac:dyDescent="0.35">
      <c r="A317" s="120">
        <v>45597</v>
      </c>
      <c r="B317" s="121">
        <v>2.5059999999999998</v>
      </c>
      <c r="C317" s="121">
        <v>2.7879999999999998</v>
      </c>
      <c r="D317" s="121">
        <v>3.0070000000000001</v>
      </c>
      <c r="E317" s="121">
        <v>3.0659999999999998</v>
      </c>
      <c r="F317" s="121">
        <v>3.1480000000000001</v>
      </c>
      <c r="G317" s="121">
        <v>3.206</v>
      </c>
      <c r="H317" s="121">
        <v>2.5059999999999998</v>
      </c>
      <c r="I317" s="121">
        <v>3.1669999999999998</v>
      </c>
      <c r="J317" s="121">
        <v>3.25</v>
      </c>
      <c r="K317" s="121">
        <v>5.25</v>
      </c>
      <c r="L317" s="121">
        <v>4.0625</v>
      </c>
      <c r="M317" s="121">
        <v>12.25</v>
      </c>
    </row>
    <row r="318" spans="1:13" x14ac:dyDescent="0.35">
      <c r="A318" s="120">
        <v>45627</v>
      </c>
      <c r="B318" s="121">
        <v>2.4359999999999999</v>
      </c>
      <c r="C318" s="121">
        <v>2.6320000000000001</v>
      </c>
      <c r="D318" s="121">
        <v>2.8250000000000002</v>
      </c>
      <c r="E318" s="121">
        <v>2.89</v>
      </c>
      <c r="F318" s="121">
        <v>3.0289999999999999</v>
      </c>
      <c r="G318" s="121">
        <v>3.105</v>
      </c>
      <c r="H318" s="121">
        <v>2.4359999999999999</v>
      </c>
      <c r="I318" s="121">
        <v>2.9129999999999998</v>
      </c>
      <c r="J318" s="121">
        <v>3.25</v>
      </c>
      <c r="K318" s="121">
        <v>5.25</v>
      </c>
      <c r="L318" s="121">
        <v>4.0625</v>
      </c>
      <c r="M318" s="121">
        <v>12.25</v>
      </c>
    </row>
    <row r="319" spans="1:13" x14ac:dyDescent="0.35">
      <c r="A319" s="120">
        <v>45658</v>
      </c>
      <c r="B319" s="121">
        <v>2.5249999999999999</v>
      </c>
      <c r="C319" s="121">
        <v>2.6139999999999999</v>
      </c>
      <c r="D319" s="121">
        <v>2.7040000000000002</v>
      </c>
      <c r="E319" s="121">
        <v>2.7919999999999998</v>
      </c>
      <c r="F319" s="121">
        <v>2.8980000000000001</v>
      </c>
      <c r="G319" s="121">
        <v>2.96</v>
      </c>
      <c r="H319" s="121">
        <v>2.5249999999999999</v>
      </c>
      <c r="I319" s="121">
        <v>2.9220000000000002</v>
      </c>
      <c r="J319" s="121">
        <v>3.25</v>
      </c>
      <c r="K319" s="121">
        <v>5.25</v>
      </c>
      <c r="L319" s="121">
        <v>4.0625</v>
      </c>
      <c r="M319" s="121">
        <v>11.15</v>
      </c>
    </row>
    <row r="320" spans="1:13" x14ac:dyDescent="0.35">
      <c r="A320" s="120">
        <v>45689</v>
      </c>
      <c r="B320" s="121">
        <v>2.407</v>
      </c>
      <c r="C320" s="121">
        <v>2.46</v>
      </c>
      <c r="D320" s="121">
        <v>2.5249999999999999</v>
      </c>
      <c r="E320" s="121">
        <v>2.6059999999999999</v>
      </c>
      <c r="F320" s="121">
        <v>2.6629999999999998</v>
      </c>
      <c r="G320" s="121">
        <v>2.8719999999999999</v>
      </c>
      <c r="H320" s="121">
        <v>2.407</v>
      </c>
      <c r="I320" s="121">
        <v>2.6659999999999999</v>
      </c>
      <c r="J320" s="121">
        <v>3.25</v>
      </c>
      <c r="K320" s="121">
        <v>5.25</v>
      </c>
      <c r="L320" s="121">
        <v>4.0625</v>
      </c>
      <c r="M320" s="121">
        <v>11.15</v>
      </c>
    </row>
    <row r="321" spans="1:13" x14ac:dyDescent="0.35">
      <c r="A321" s="120">
        <v>45717</v>
      </c>
      <c r="B321" s="121">
        <v>2.3980000000000001</v>
      </c>
      <c r="C321" s="121">
        <v>2.3849999999999998</v>
      </c>
      <c r="D321" s="121">
        <v>2.4420000000000002</v>
      </c>
      <c r="E321" s="121">
        <v>2.4009999999999998</v>
      </c>
      <c r="F321" s="121">
        <v>2.472</v>
      </c>
      <c r="G321" s="121">
        <v>2.923</v>
      </c>
      <c r="H321" s="121">
        <v>2.3980000000000001</v>
      </c>
      <c r="I321" s="121">
        <v>2.4180000000000001</v>
      </c>
      <c r="J321" s="121">
        <v>3.25</v>
      </c>
      <c r="K321" s="121">
        <v>5.25</v>
      </c>
      <c r="L321" s="121">
        <v>4.0625</v>
      </c>
      <c r="M321" s="121">
        <v>11.15</v>
      </c>
    </row>
    <row r="322" spans="1:13" x14ac:dyDescent="0.35">
      <c r="A322" s="120">
        <v>45748</v>
      </c>
      <c r="B322" s="121">
        <v>2.1429999999999998</v>
      </c>
      <c r="C322" s="121">
        <v>2.202</v>
      </c>
      <c r="D322" s="121">
        <v>2.2490000000000001</v>
      </c>
      <c r="E322" s="121">
        <v>2.2429999999999999</v>
      </c>
      <c r="F322" s="121">
        <v>2.3159999999999998</v>
      </c>
      <c r="G322" s="121">
        <v>2.851</v>
      </c>
      <c r="H322" s="121">
        <v>2.1429999999999998</v>
      </c>
      <c r="I322" s="121">
        <v>2.1680000000000001</v>
      </c>
      <c r="J322" s="121">
        <v>3.25</v>
      </c>
      <c r="K322" s="121">
        <v>5.25</v>
      </c>
      <c r="L322" s="121">
        <v>4.0625</v>
      </c>
      <c r="M322" s="121">
        <v>11.15</v>
      </c>
    </row>
    <row r="323" spans="1:13" x14ac:dyDescent="0.35">
      <c r="A323" s="120">
        <v>45778</v>
      </c>
      <c r="B323" s="121">
        <v>2.081</v>
      </c>
      <c r="C323" s="121">
        <v>2.1160000000000001</v>
      </c>
      <c r="D323" s="121">
        <v>2.0870000000000002</v>
      </c>
      <c r="E323" s="121">
        <v>2.0939999999999999</v>
      </c>
      <c r="F323" s="121">
        <v>2.1579999999999999</v>
      </c>
      <c r="G323" s="121">
        <v>2.8519999999999999</v>
      </c>
      <c r="H323" s="121">
        <v>2.081</v>
      </c>
      <c r="I323" s="121">
        <v>2.169</v>
      </c>
      <c r="J323" s="121">
        <v>3.25</v>
      </c>
      <c r="K323" s="121">
        <v>5.25</v>
      </c>
      <c r="L323" s="121">
        <v>4.0625</v>
      </c>
      <c r="M323" s="121">
        <v>11.15</v>
      </c>
    </row>
    <row r="324" spans="1:13" x14ac:dyDescent="0.35">
      <c r="A324" s="120">
        <v>45809</v>
      </c>
      <c r="B324" s="121">
        <v>2.081</v>
      </c>
      <c r="C324" s="121">
        <v>2.0499999999999998</v>
      </c>
      <c r="D324" s="121">
        <v>1.984</v>
      </c>
      <c r="E324" s="121">
        <v>1.929</v>
      </c>
      <c r="F324" s="121">
        <v>1.994</v>
      </c>
      <c r="G324" s="121">
        <v>2.802</v>
      </c>
      <c r="H324" s="121">
        <v>2.081</v>
      </c>
      <c r="I324" s="121">
        <v>1.927</v>
      </c>
      <c r="J324" s="121">
        <v>3.25</v>
      </c>
      <c r="K324" s="121">
        <v>5.25</v>
      </c>
      <c r="L324" s="121">
        <v>4.0625</v>
      </c>
      <c r="M324" s="121">
        <v>11.15</v>
      </c>
    </row>
    <row r="325" spans="1:13" x14ac:dyDescent="0.35">
      <c r="A325" s="120">
        <v>45839</v>
      </c>
      <c r="B325" s="121">
        <v>2.0790000000000002</v>
      </c>
      <c r="C325" s="121">
        <v>2.0550000000000002</v>
      </c>
      <c r="D325" s="121">
        <v>1.986</v>
      </c>
      <c r="E325" s="121">
        <v>1.8919999999999999</v>
      </c>
      <c r="F325" s="121">
        <v>1.907</v>
      </c>
      <c r="G325" s="121">
        <v>2.7480000000000002</v>
      </c>
      <c r="H325" s="121">
        <v>2.0790000000000002</v>
      </c>
      <c r="I325" s="121">
        <v>1.9239999999999999</v>
      </c>
      <c r="J325" s="121">
        <v>3.25</v>
      </c>
      <c r="K325" s="121">
        <v>5.25</v>
      </c>
      <c r="L325" s="121">
        <v>4.0625</v>
      </c>
      <c r="M325" s="121">
        <v>10.15</v>
      </c>
    </row>
    <row r="326" spans="1:13" x14ac:dyDescent="0.35">
      <c r="A326" s="120">
        <v>45870</v>
      </c>
      <c r="B326" s="121">
        <v>2.1139999999999999</v>
      </c>
      <c r="C326" s="121">
        <v>2.0840000000000001</v>
      </c>
      <c r="D326" s="121">
        <v>2.0209999999999999</v>
      </c>
      <c r="E326" s="121">
        <v>1.89</v>
      </c>
      <c r="F326" s="121">
        <v>1.895</v>
      </c>
      <c r="G326" s="121">
        <v>2.7909999999999999</v>
      </c>
      <c r="H326" s="121">
        <v>2.1139999999999999</v>
      </c>
      <c r="I326" s="121">
        <v>1.9259999999999999</v>
      </c>
      <c r="J326" s="121">
        <v>3.25</v>
      </c>
      <c r="K326" s="121">
        <v>5.25</v>
      </c>
      <c r="L326" s="121">
        <v>4.0625</v>
      </c>
      <c r="M326" s="121">
        <v>10.15</v>
      </c>
    </row>
    <row r="327" spans="1:13" x14ac:dyDescent="0.35">
      <c r="A327" s="120">
        <v>45901</v>
      </c>
      <c r="B327" s="121">
        <v>2.1720000000000002</v>
      </c>
      <c r="C327" s="121">
        <v>2.1019999999999999</v>
      </c>
      <c r="D327" s="121">
        <v>2.0270000000000001</v>
      </c>
      <c r="E327" s="121">
        <v>1.897</v>
      </c>
      <c r="F327" s="121">
        <v>1.8979999999999999</v>
      </c>
      <c r="G327" s="121">
        <v>2.6949999999999998</v>
      </c>
      <c r="H327" s="121">
        <v>2.1720000000000002</v>
      </c>
      <c r="I327" s="121">
        <v>1.927</v>
      </c>
      <c r="J327" s="121">
        <v>3.25</v>
      </c>
      <c r="K327" s="121">
        <v>5.25</v>
      </c>
      <c r="L327" s="121">
        <v>4.0625</v>
      </c>
      <c r="M327" s="121">
        <v>10.15</v>
      </c>
    </row>
    <row r="328" spans="1:13" x14ac:dyDescent="0.35">
      <c r="A328" s="120">
        <v>45931</v>
      </c>
      <c r="B328" s="121">
        <v>2.1869999999999998</v>
      </c>
      <c r="C328" s="121">
        <v>2.1070000000000002</v>
      </c>
      <c r="D328" s="121">
        <v>2.0339999999999998</v>
      </c>
      <c r="E328" s="121">
        <v>1.9059999999999999</v>
      </c>
      <c r="F328" s="121">
        <v>1.915</v>
      </c>
      <c r="G328" s="121">
        <v>2.7959999999999998</v>
      </c>
      <c r="H328" s="121">
        <v>2.1869999999999998</v>
      </c>
      <c r="I328" s="121">
        <v>1.93</v>
      </c>
      <c r="J328" s="121">
        <v>3.25</v>
      </c>
      <c r="K328" s="121">
        <v>5.25</v>
      </c>
      <c r="L328" s="121">
        <v>4.0625</v>
      </c>
      <c r="M328" s="121">
        <v>10.15</v>
      </c>
    </row>
    <row r="329" spans="1:13" x14ac:dyDescent="0.35">
      <c r="A329" s="120">
        <v>45962</v>
      </c>
      <c r="B329" s="121">
        <v>2.2170000000000001</v>
      </c>
      <c r="C329" s="121">
        <v>2.1309999999999998</v>
      </c>
      <c r="D329" s="121">
        <v>2.0419999999999998</v>
      </c>
      <c r="E329" s="121">
        <v>1.9059999999999999</v>
      </c>
      <c r="F329" s="121">
        <v>1.9139999999999999</v>
      </c>
      <c r="G329" s="121">
        <v>2.8069999999999999</v>
      </c>
      <c r="H329" s="121">
        <v>2.2170000000000001</v>
      </c>
      <c r="I329" s="121">
        <v>1.9259999999999999</v>
      </c>
      <c r="J329" s="121">
        <v>3.25</v>
      </c>
      <c r="K329" s="121">
        <v>5.25</v>
      </c>
      <c r="L329" s="121">
        <v>4.0625</v>
      </c>
      <c r="M329" s="121">
        <v>10.15</v>
      </c>
    </row>
    <row r="330" spans="1:13" x14ac:dyDescent="0.35">
      <c r="A330" s="120">
        <v>45992</v>
      </c>
      <c r="B330" s="121">
        <v>2.2669999999999999</v>
      </c>
      <c r="C330" s="121">
        <v>2.1389999999999998</v>
      </c>
      <c r="D330" s="121">
        <v>2.048</v>
      </c>
      <c r="E330" s="121">
        <v>1.915</v>
      </c>
      <c r="F330" s="121">
        <v>1.9179999999999999</v>
      </c>
      <c r="G330" s="121">
        <v>2.7879999999999998</v>
      </c>
      <c r="H330" s="121">
        <v>2.2669999999999999</v>
      </c>
      <c r="I330" s="121">
        <v>1.9279999999999999</v>
      </c>
      <c r="J330" s="121">
        <v>3.25</v>
      </c>
      <c r="K330" s="121">
        <v>5.25</v>
      </c>
      <c r="L330" s="121">
        <v>4.0625</v>
      </c>
      <c r="M330" s="121">
        <v>10.15</v>
      </c>
    </row>
    <row r="331" spans="1:13" x14ac:dyDescent="0.35">
      <c r="A331" s="120">
        <v>46023</v>
      </c>
      <c r="B331" s="121">
        <v>2.2450000000000001</v>
      </c>
      <c r="C331" s="121">
        <v>2.137</v>
      </c>
      <c r="D331" s="121">
        <v>2.028</v>
      </c>
      <c r="E331" s="121">
        <v>1.9610000000000001</v>
      </c>
      <c r="F331" s="121">
        <v>1.895</v>
      </c>
      <c r="G331" s="121">
        <v>2.762</v>
      </c>
      <c r="H331" s="121">
        <v>2.2450000000000001</v>
      </c>
      <c r="I331" s="121">
        <v>1.9339999999999999</v>
      </c>
      <c r="J331" s="121">
        <v>3.25</v>
      </c>
      <c r="K331" s="121">
        <v>5.25</v>
      </c>
      <c r="L331" s="121">
        <v>4.0625</v>
      </c>
      <c r="M331" s="121">
        <v>10.15</v>
      </c>
    </row>
    <row r="332" spans="1:13" x14ac:dyDescent="0.35">
      <c r="A332" s="120">
        <v>46054</v>
      </c>
      <c r="B332" s="121">
        <v>2.2210000000000001</v>
      </c>
      <c r="C332" s="121">
        <v>2.1440000000000001</v>
      </c>
      <c r="D332" s="121">
        <v>2.0110000000000001</v>
      </c>
      <c r="E332" s="121">
        <v>1.952</v>
      </c>
      <c r="F332" s="121">
        <v>1.89</v>
      </c>
      <c r="G332" s="121">
        <v>2.819</v>
      </c>
      <c r="H332" s="121">
        <v>2.2210000000000001</v>
      </c>
      <c r="I332" s="121">
        <v>1.9330000000000001</v>
      </c>
      <c r="J332" s="121">
        <v>3.25</v>
      </c>
      <c r="K332" s="121">
        <v>5.25</v>
      </c>
      <c r="L332" s="121">
        <v>4.0625</v>
      </c>
      <c r="M332" s="121">
        <v>10.15</v>
      </c>
    </row>
    <row r="333" spans="1:13" x14ac:dyDescent="0.35">
      <c r="A333" s="120">
        <v>46082</v>
      </c>
      <c r="B333" s="121">
        <v>2.5649999999999999</v>
      </c>
      <c r="C333" s="121">
        <v>2.3220000000000001</v>
      </c>
      <c r="D333" s="121">
        <v>2.109</v>
      </c>
      <c r="E333" s="121">
        <v>1.9330000000000001</v>
      </c>
      <c r="F333" s="121">
        <v>1.9</v>
      </c>
      <c r="G333" s="121">
        <v>2.84</v>
      </c>
      <c r="H333" s="121">
        <v>2.5649999999999999</v>
      </c>
      <c r="I333" s="121">
        <v>1.931</v>
      </c>
      <c r="J333" s="121">
        <v>3.25</v>
      </c>
      <c r="K333" s="121">
        <v>5.25</v>
      </c>
      <c r="L333" s="121">
        <v>4.0625</v>
      </c>
      <c r="M333" s="121">
        <v>10.15</v>
      </c>
    </row>
    <row r="334" spans="1:13" x14ac:dyDescent="0.35">
      <c r="A334" s="120">
        <v>46113</v>
      </c>
      <c r="B334" s="121">
        <v>2.7469999999999999</v>
      </c>
      <c r="C334" s="121">
        <v>2.4540000000000002</v>
      </c>
      <c r="D334" s="121">
        <v>2.1749999999999998</v>
      </c>
      <c r="E334" s="121">
        <v>1.9710000000000001</v>
      </c>
      <c r="F334" s="121">
        <v>1.907</v>
      </c>
      <c r="G334" s="121">
        <v>2.8820000000000001</v>
      </c>
      <c r="H334" s="121">
        <v>2.7469999999999999</v>
      </c>
      <c r="I334" s="121">
        <v>1.9330000000000001</v>
      </c>
      <c r="J334" s="121">
        <v>3.25</v>
      </c>
      <c r="K334" s="121">
        <v>5.25</v>
      </c>
      <c r="L334" s="121">
        <v>4.0625</v>
      </c>
      <c r="M334" s="121">
        <v>10.15</v>
      </c>
    </row>
    <row r="335" spans="1:13" x14ac:dyDescent="0.35">
      <c r="A335" s="120">
        <v>46143</v>
      </c>
      <c r="B335" s="121">
        <v>2.8039999999999998</v>
      </c>
      <c r="C335" s="121">
        <v>2.536</v>
      </c>
      <c r="D335" s="121">
        <v>2.226</v>
      </c>
      <c r="E335" s="121">
        <v>1.9570000000000001</v>
      </c>
      <c r="F335" s="121">
        <v>1.89</v>
      </c>
      <c r="G335" s="121">
        <v>2.9860000000000002</v>
      </c>
      <c r="H335" s="121">
        <v>2.8039999999999998</v>
      </c>
      <c r="I335" s="121">
        <v>1.931</v>
      </c>
      <c r="J335" s="121">
        <v>3.25</v>
      </c>
      <c r="K335" s="121">
        <v>5.25</v>
      </c>
      <c r="L335" s="121">
        <v>4.0625</v>
      </c>
      <c r="M335" s="121">
        <v>10.15</v>
      </c>
    </row>
    <row r="336" spans="1:13" x14ac:dyDescent="0.35">
      <c r="A336" s="120">
        <v>46174</v>
      </c>
      <c r="B336" s="121">
        <v>2.798</v>
      </c>
      <c r="C336" s="121">
        <v>2.5960000000000001</v>
      </c>
      <c r="D336" s="121">
        <v>2.339</v>
      </c>
      <c r="E336" s="121">
        <v>2.1459999999999999</v>
      </c>
      <c r="F336" s="121">
        <v>1.992</v>
      </c>
      <c r="G336" s="121">
        <v>3.0489999999999999</v>
      </c>
      <c r="H336" s="121">
        <v>2.798</v>
      </c>
      <c r="I336" s="121">
        <v>2.1819999999999999</v>
      </c>
      <c r="J336" s="121">
        <v>3.25</v>
      </c>
      <c r="K336" s="121">
        <v>5.25</v>
      </c>
      <c r="L336" s="121">
        <v>4.0625</v>
      </c>
      <c r="M336" s="121">
        <v>10.15</v>
      </c>
    </row>
  </sheetData>
  <mergeCells count="3">
    <mergeCell ref="B4:K4"/>
    <mergeCell ref="A1:E1"/>
    <mergeCell ref="B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U51"/>
  <sheetViews>
    <sheetView showGridLines="0" zoomScaleNormal="100" workbookViewId="0">
      <pane xSplit="1" ySplit="6" topLeftCell="B7" activePane="bottomRight" state="frozen"/>
      <selection pane="topRight"/>
      <selection pane="bottomLeft"/>
      <selection pane="bottomRight" activeCell="C9" sqref="C9"/>
    </sheetView>
  </sheetViews>
  <sheetFormatPr defaultColWidth="9.1796875" defaultRowHeight="12" x14ac:dyDescent="0.35"/>
  <cols>
    <col min="1" max="1" width="2.54296875" style="88" customWidth="1"/>
    <col min="2" max="2" width="25.7265625" style="88" customWidth="1"/>
    <col min="3" max="3" width="13" style="88" customWidth="1"/>
    <col min="4" max="4" width="28" style="88" bestFit="1" customWidth="1"/>
    <col min="5" max="5" width="13" style="88" customWidth="1"/>
    <col min="6" max="6" width="32.54296875" style="88" bestFit="1" customWidth="1"/>
    <col min="7" max="8" width="13" style="88" customWidth="1"/>
    <col min="9" max="9" width="8.1796875" style="88" bestFit="1" customWidth="1"/>
    <col min="10" max="14" width="12.453125" style="88" customWidth="1"/>
    <col min="15" max="15" width="15" style="88" customWidth="1"/>
    <col min="16" max="16" width="16" style="88" customWidth="1"/>
    <col min="17" max="20" width="12.453125" style="88" customWidth="1"/>
    <col min="21" max="21" width="12.26953125" style="88" customWidth="1"/>
    <col min="22" max="24" width="9.1796875" style="88" customWidth="1"/>
    <col min="25" max="16384" width="9.1796875" style="88"/>
  </cols>
  <sheetData>
    <row r="2" spans="2:7" x14ac:dyDescent="0.35">
      <c r="B2" s="89" t="s">
        <v>199</v>
      </c>
      <c r="C2" s="89">
        <f>'Informe Subasta'!$D$16</f>
      </c>
      <c r="D2" s="112" t="s">
        <v>200</v>
      </c>
      <c r="E2" s="20"/>
      <c r="F2" s="113" t="s">
        <v>201</v>
      </c>
      <c r="G2" s="20"/>
    </row>
    <row r="3" spans="2:7" x14ac:dyDescent="0.35">
      <c r="B3" s="20"/>
      <c r="C3" s="20"/>
      <c r="D3" s="112" t="s">
        <v>202</v>
      </c>
      <c r="E3" s="20"/>
      <c r="F3" s="114" t="s">
        <v>203</v>
      </c>
      <c r="G3" s="20"/>
    </row>
    <row r="4" spans="2:7" x14ac:dyDescent="0.35">
      <c r="B4" s="20"/>
      <c r="C4" s="20"/>
      <c r="D4" s="112"/>
      <c r="E4" s="20"/>
      <c r="F4" s="20"/>
      <c r="G4" s="20"/>
    </row>
    <row r="5" spans="2:7" ht="14.25" customHeight="1" thickBot="1" x14ac:dyDescent="0.4">
      <c r="B5" s="20" t="s">
        <v>204</v>
      </c>
      <c r="C5" s="95">
        <f>'Informe Subasta'!$D$12</f>
      </c>
      <c r="D5" s="20"/>
      <c r="E5" s="20"/>
      <c r="F5" s="20" t="s">
        <v>205</v>
      </c>
      <c r="G5" s="94">
        <f>$C$7+$C$8+$C$5+$C$13</f>
      </c>
    </row>
    <row r="6" spans="2:7" ht="13.5" customHeight="1" thickBot="1" x14ac:dyDescent="0.4">
      <c r="B6" s="189" t="s">
        <v>206</v>
      </c>
      <c r="C6" s="190"/>
      <c r="D6" s="189" t="s">
        <v>207</v>
      </c>
      <c r="E6" s="190"/>
      <c r="F6" s="189" t="s">
        <v>208</v>
      </c>
      <c r="G6" s="190"/>
    </row>
    <row r="7" spans="2:7" x14ac:dyDescent="0.35">
      <c r="B7" s="91" t="s">
        <v>209</v>
      </c>
      <c r="C7" s="92">
        <f>'Informe Subasta'!$D$10</f>
      </c>
      <c r="D7" s="93" t="s">
        <v>8</v>
      </c>
      <c r="E7" s="94">
        <f>$D$51</f>
      </c>
      <c r="F7" s="93" t="s">
        <v>8</v>
      </c>
      <c r="G7" s="94">
        <f t="shared" ref="G7:G13" si="0">MIN(C7,E7)</f>
      </c>
    </row>
    <row r="8" spans="2:7" x14ac:dyDescent="0.35">
      <c r="B8" s="91" t="s">
        <v>210</v>
      </c>
      <c r="C8" s="95">
        <f>'Informe Subasta'!$D$11</f>
      </c>
      <c r="D8" s="93" t="s">
        <v>10</v>
      </c>
      <c r="E8" s="94">
        <f>$E$51</f>
      </c>
      <c r="F8" s="93" t="s">
        <v>10</v>
      </c>
      <c r="G8" s="94">
        <f t="shared" si="0"/>
      </c>
    </row>
    <row r="9" spans="2:7" x14ac:dyDescent="0.35">
      <c r="B9" s="91" t="s">
        <v>211</v>
      </c>
      <c r="C9" s="94">
        <f>$C$5+'Informe Subasta'!$K$11</f>
      </c>
      <c r="D9" s="93" t="s">
        <v>212</v>
      </c>
      <c r="E9" s="94">
        <f>$F$51</f>
      </c>
      <c r="F9" s="20" t="s">
        <v>212</v>
      </c>
      <c r="G9" s="94">
        <f t="shared" si="0"/>
      </c>
    </row>
    <row r="10" spans="2:7" x14ac:dyDescent="0.35">
      <c r="B10" s="96" t="s">
        <v>213</v>
      </c>
      <c r="C10" s="94">
        <f>SUM(C11:C13)</f>
      </c>
      <c r="D10" s="93" t="s">
        <v>213</v>
      </c>
      <c r="E10" s="94">
        <f>$G$51</f>
      </c>
      <c r="F10" s="93" t="s">
        <v>214</v>
      </c>
      <c r="G10" s="94">
        <f t="shared" si="0"/>
      </c>
    </row>
    <row r="11" spans="2:7" x14ac:dyDescent="0.35">
      <c r="B11" s="91" t="s">
        <v>215</v>
      </c>
      <c r="C11" s="95">
        <f>+'Informe Subasta'!$K$12</f>
      </c>
      <c r="D11" s="93" t="s">
        <v>215</v>
      </c>
      <c r="E11" s="97"/>
      <c r="F11" s="20" t="s">
        <v>215</v>
      </c>
      <c r="G11" s="94">
        <f t="shared" si="0"/>
      </c>
    </row>
    <row r="12" spans="2:7" x14ac:dyDescent="0.35">
      <c r="B12" s="91" t="s">
        <v>216</v>
      </c>
      <c r="C12" s="95"/>
      <c r="D12" s="93" t="s">
        <v>216</v>
      </c>
      <c r="E12" s="97"/>
      <c r="F12" s="20" t="s">
        <v>216</v>
      </c>
      <c r="G12" s="94">
        <f t="shared" si="0"/>
      </c>
    </row>
    <row r="13" spans="2:7" x14ac:dyDescent="0.35">
      <c r="B13" s="91" t="s">
        <v>217</v>
      </c>
      <c r="C13" s="95">
        <f>'Informe Subasta'!$D$13</f>
      </c>
      <c r="D13" s="93" t="s">
        <v>217</v>
      </c>
      <c r="E13" s="97"/>
      <c r="F13" s="20" t="s">
        <v>217</v>
      </c>
      <c r="G13" s="94">
        <f t="shared" si="0"/>
      </c>
    </row>
    <row r="14" spans="2:7" x14ac:dyDescent="0.35">
      <c r="B14" s="91" t="s">
        <v>218</v>
      </c>
      <c r="C14" s="95">
        <v>0</v>
      </c>
      <c r="D14" s="98" t="s">
        <v>218</v>
      </c>
      <c r="E14" s="94">
        <v>0</v>
      </c>
      <c r="F14" s="93" t="s">
        <v>218</v>
      </c>
      <c r="G14" s="94">
        <f>C14</f>
      </c>
    </row>
    <row r="15" spans="2:7" x14ac:dyDescent="0.35">
      <c r="B15" s="38" t="s">
        <v>17</v>
      </c>
      <c r="C15" s="90">
        <f>SUM(C7:C10)-C14</f>
      </c>
      <c r="D15" s="38" t="s">
        <v>17</v>
      </c>
      <c r="E15" s="90">
        <f>SUM(E7:E10)-E14</f>
      </c>
      <c r="F15" s="38" t="s">
        <v>17</v>
      </c>
      <c r="G15" s="90">
        <f>SUM(G7:G10)-G14</f>
      </c>
    </row>
    <row r="17" spans="2:21" ht="14.25" customHeight="1" thickBot="1" x14ac:dyDescent="0.4">
      <c r="B17" s="99" t="s">
        <v>219</v>
      </c>
      <c r="C17" s="20"/>
      <c r="D17" s="20"/>
      <c r="E17" s="20"/>
      <c r="F17" s="20"/>
      <c r="G17" s="20"/>
      <c r="H17" s="20"/>
      <c r="I17" s="4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spans="2:21" ht="14.25" customHeight="1" thickBot="1" x14ac:dyDescent="0.4">
      <c r="B18" s="194" t="s">
        <v>220</v>
      </c>
      <c r="C18" s="190"/>
      <c r="D18" s="20"/>
      <c r="E18" s="20"/>
      <c r="F18" s="20"/>
      <c r="G18" s="20"/>
      <c r="H18" s="20"/>
      <c r="I18" s="41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2:21" ht="14.25" customHeight="1" thickBot="1" x14ac:dyDescent="0.4">
      <c r="B19" s="20"/>
      <c r="C19" s="20"/>
      <c r="D19" s="193" t="s">
        <v>221</v>
      </c>
      <c r="E19" s="192"/>
      <c r="F19" s="192"/>
      <c r="G19" s="192"/>
      <c r="H19" s="190"/>
      <c r="I19" s="41"/>
      <c r="J19" s="191" t="s">
        <v>222</v>
      </c>
      <c r="K19" s="192"/>
      <c r="L19" s="192"/>
      <c r="M19" s="192"/>
      <c r="N19" s="192"/>
      <c r="O19" s="190"/>
      <c r="P19" s="193" t="s">
        <v>223</v>
      </c>
      <c r="Q19" s="192"/>
      <c r="R19" s="192"/>
      <c r="S19" s="192"/>
      <c r="T19" s="192"/>
      <c r="U19" s="190"/>
    </row>
    <row r="20" spans="2:21" ht="27.75" customHeight="1" thickBot="1" x14ac:dyDescent="0.4">
      <c r="B20" s="49" t="s">
        <v>224</v>
      </c>
      <c r="C20" s="50" t="s">
        <v>225</v>
      </c>
      <c r="D20" s="49" t="s">
        <v>8</v>
      </c>
      <c r="E20" s="50" t="s">
        <v>226</v>
      </c>
      <c r="F20" s="50" t="s">
        <v>227</v>
      </c>
      <c r="G20" s="50" t="s">
        <v>228</v>
      </c>
      <c r="H20" s="51" t="s">
        <v>35</v>
      </c>
      <c r="I20" s="52" t="s">
        <v>229</v>
      </c>
      <c r="J20" s="49" t="s">
        <v>8</v>
      </c>
      <c r="K20" s="50" t="s">
        <v>10</v>
      </c>
      <c r="L20" s="50" t="s">
        <v>212</v>
      </c>
      <c r="M20" s="50" t="s">
        <v>228</v>
      </c>
      <c r="N20" s="50" t="s">
        <v>218</v>
      </c>
      <c r="O20" s="51" t="s">
        <v>230</v>
      </c>
      <c r="P20" s="100" t="s">
        <v>8</v>
      </c>
      <c r="Q20" s="101" t="s">
        <v>10</v>
      </c>
      <c r="R20" s="101" t="s">
        <v>212</v>
      </c>
      <c r="S20" s="101" t="s">
        <v>228</v>
      </c>
      <c r="T20" s="101" t="s">
        <v>218</v>
      </c>
      <c r="U20" s="102" t="s">
        <v>230</v>
      </c>
    </row>
    <row r="21" spans="2:21" x14ac:dyDescent="0.35">
      <c r="B21" s="103"/>
      <c r="C21" s="104">
        <f>IF('Informe Subasta'!$A$30="","",'Informe Subasta'!$A$30)</f>
      </c>
      <c r="D21" s="105">
        <f>IF($C21="","",'Informe Subasta'!$I$30)</f>
      </c>
      <c r="E21" s="106">
        <f>IF($C21="","",'Informe Subasta'!$J$30)</f>
      </c>
      <c r="F21" s="106">
        <f>IF($C21="","",'Informe Subasta'!$K$30)</f>
      </c>
      <c r="G21" s="106">
        <f>IF($C21="","",'Informe Subasta'!$L$30)</f>
      </c>
      <c r="H21" s="94">
        <f t="shared" ref="H21:H50" si="1">IF($C21="","",SUM(D21:G21))</f>
      </c>
      <c r="I21" s="107" t="e">
        <f t="shared" ref="I21:I50" si="2">IF($C21="","",H21/$H$51)</f>
      </c>
      <c r="J21" s="108" t="e">
        <f t="shared" ref="J21:J50" si="3">IF($C21="","",$C$7*$I21)</f>
      </c>
      <c r="K21" s="109" t="e">
        <f t="shared" ref="K21:K50" si="4">IF($C21="","",$C$8*$I21)</f>
      </c>
      <c r="L21" s="109" t="e">
        <f t="shared" ref="L21:L50" si="5">IF($C21="","",$C$9*$I21)</f>
      </c>
      <c r="M21" s="109" t="e">
        <f t="shared" ref="M21:M50" si="6">IF($C21="","",$C$10*$I21)</f>
      </c>
      <c r="N21" s="109" t="e">
        <f t="shared" ref="N21:N50" si="7">IF($C21="","",$C$14*$I21)</f>
      </c>
      <c r="O21" s="110" t="e">
        <f t="shared" ref="O21:O50" si="8">IF($C21="","",SUM(J21:N21))</f>
      </c>
      <c r="P21" s="108" t="e">
        <f t="shared" ref="P21:P50" si="9">IF($C21="","",$G$7*$I21)</f>
      </c>
      <c r="Q21" s="109" t="e">
        <f t="shared" ref="Q21:Q50" si="10">IF($C21="","",$G$8*$I21)</f>
      </c>
      <c r="R21" s="109" t="e">
        <f t="shared" ref="R21:R50" si="11">IF($C21="","",$G$9*$I21)</f>
      </c>
      <c r="S21" s="109" t="e">
        <f t="shared" ref="S21:S50" si="12">IF($C21="","",$G$10*$I21)</f>
      </c>
      <c r="T21" s="109" t="e">
        <f t="shared" ref="T21:T50" si="13">IF($C21="","",$G$14*$I21)</f>
      </c>
      <c r="U21" s="110" t="e">
        <f t="shared" ref="U21:U50" si="14">IF($C21="","",SUM(P21:T21))</f>
      </c>
    </row>
    <row r="22" spans="2:21" x14ac:dyDescent="0.35">
      <c r="B22" s="103"/>
      <c r="C22" s="104" t="str">
        <f>IF('Informe Subasta'!$A$31="","",'Informe Subasta'!$A$31)</f>
      </c>
      <c r="D22" s="105" t="str">
        <f>IF($C22="","",'Informe Subasta'!$I$31)</f>
      </c>
      <c r="E22" s="106" t="str">
        <f>IF($C22="","",'Informe Subasta'!$J$31)</f>
      </c>
      <c r="F22" s="106" t="str">
        <f>IF($C22="","",'Informe Subasta'!$K$31)</f>
      </c>
      <c r="G22" s="106" t="str">
        <f>IF($C22="","",'Informe Subasta'!$L$31)</f>
      </c>
      <c r="H22" s="94" t="str">
        <f t="shared" si="1"/>
      </c>
      <c r="I22" s="107" t="str">
        <f t="shared" si="2"/>
      </c>
      <c r="J22" s="108" t="str">
        <f t="shared" si="3"/>
      </c>
      <c r="K22" s="109" t="str">
        <f t="shared" si="4"/>
      </c>
      <c r="L22" s="109" t="str">
        <f t="shared" si="5"/>
      </c>
      <c r="M22" s="109" t="str">
        <f t="shared" si="6"/>
      </c>
      <c r="N22" s="109" t="str">
        <f t="shared" si="7"/>
      </c>
      <c r="O22" s="110" t="str">
        <f t="shared" si="8"/>
      </c>
      <c r="P22" s="108" t="str">
        <f t="shared" si="9"/>
      </c>
      <c r="Q22" s="109" t="str">
        <f t="shared" si="10"/>
      </c>
      <c r="R22" s="109" t="str">
        <f t="shared" si="11"/>
      </c>
      <c r="S22" s="109" t="str">
        <f t="shared" si="12"/>
      </c>
      <c r="T22" s="109" t="str">
        <f t="shared" si="13"/>
      </c>
      <c r="U22" s="110" t="str">
        <f t="shared" si="14"/>
      </c>
    </row>
    <row r="23" spans="2:21" x14ac:dyDescent="0.35">
      <c r="B23" s="103"/>
      <c r="C23" s="104" t="str">
        <f>IF('Informe Subasta'!$A$32="","",'Informe Subasta'!$A$32)</f>
      </c>
      <c r="D23" s="105" t="str">
        <f>IF($C23="","",'Informe Subasta'!$I$32)</f>
      </c>
      <c r="E23" s="106" t="str">
        <f>IF($C23="","",'Informe Subasta'!$J$32)</f>
      </c>
      <c r="F23" s="106" t="str">
        <f>IF($C23="","",'Informe Subasta'!$K$32)</f>
      </c>
      <c r="G23" s="106" t="str">
        <f>IF($C23="","",'Informe Subasta'!$L$32)</f>
      </c>
      <c r="H23" s="94" t="str">
        <f t="shared" si="1"/>
      </c>
      <c r="I23" s="107" t="str">
        <f t="shared" si="2"/>
      </c>
      <c r="J23" s="108" t="str">
        <f t="shared" si="3"/>
      </c>
      <c r="K23" s="109" t="str">
        <f t="shared" si="4"/>
      </c>
      <c r="L23" s="109" t="str">
        <f t="shared" si="5"/>
      </c>
      <c r="M23" s="109" t="str">
        <f t="shared" si="6"/>
      </c>
      <c r="N23" s="109" t="str">
        <f t="shared" si="7"/>
      </c>
      <c r="O23" s="110" t="str">
        <f t="shared" si="8"/>
      </c>
      <c r="P23" s="108" t="str">
        <f t="shared" si="9"/>
      </c>
      <c r="Q23" s="109" t="str">
        <f t="shared" si="10"/>
      </c>
      <c r="R23" s="109" t="str">
        <f t="shared" si="11"/>
      </c>
      <c r="S23" s="109" t="str">
        <f t="shared" si="12"/>
      </c>
      <c r="T23" s="109" t="str">
        <f t="shared" si="13"/>
      </c>
      <c r="U23" s="110" t="str">
        <f t="shared" si="14"/>
      </c>
    </row>
    <row r="24" spans="2:21" x14ac:dyDescent="0.35">
      <c r="B24" s="103"/>
      <c r="C24" s="104" t="str">
        <f>IF('Informe Subasta'!$A$33="","",'Informe Subasta'!$A$33)</f>
      </c>
      <c r="D24" s="105" t="str">
        <f>IF($C24="","",'Informe Subasta'!$I$33)</f>
      </c>
      <c r="E24" s="106" t="str">
        <f>IF($C24="","",'Informe Subasta'!$J$33)</f>
      </c>
      <c r="F24" s="106" t="str">
        <f>IF($C24="","",'Informe Subasta'!$K$33)</f>
      </c>
      <c r="G24" s="106" t="str">
        <f>IF($C24="","",'Informe Subasta'!$L$33)</f>
      </c>
      <c r="H24" s="94" t="str">
        <f t="shared" si="1"/>
      </c>
      <c r="I24" s="107" t="str">
        <f t="shared" si="2"/>
      </c>
      <c r="J24" s="108" t="str">
        <f t="shared" si="3"/>
      </c>
      <c r="K24" s="109" t="str">
        <f t="shared" si="4"/>
      </c>
      <c r="L24" s="109" t="str">
        <f t="shared" si="5"/>
      </c>
      <c r="M24" s="109" t="str">
        <f t="shared" si="6"/>
      </c>
      <c r="N24" s="109" t="str">
        <f t="shared" si="7"/>
      </c>
      <c r="O24" s="110" t="str">
        <f t="shared" si="8"/>
      </c>
      <c r="P24" s="108" t="str">
        <f t="shared" si="9"/>
      </c>
      <c r="Q24" s="109" t="str">
        <f t="shared" si="10"/>
      </c>
      <c r="R24" s="109" t="str">
        <f t="shared" si="11"/>
      </c>
      <c r="S24" s="109" t="str">
        <f t="shared" si="12"/>
      </c>
      <c r="T24" s="109" t="str">
        <f t="shared" si="13"/>
      </c>
      <c r="U24" s="110" t="str">
        <f t="shared" si="14"/>
      </c>
    </row>
    <row r="25" spans="2:21" x14ac:dyDescent="0.35">
      <c r="B25" s="103"/>
      <c r="C25" s="104" t="str">
        <f>IF('Informe Subasta'!$A$34="","",'Informe Subasta'!$A$34)</f>
      </c>
      <c r="D25" s="105" t="str">
        <f>IF($C25="","",'Informe Subasta'!$I$34)</f>
      </c>
      <c r="E25" s="106" t="str">
        <f>IF($C25="","",'Informe Subasta'!$J$34)</f>
      </c>
      <c r="F25" s="106" t="str">
        <f>IF($C25="","",'Informe Subasta'!$K$34)</f>
      </c>
      <c r="G25" s="106" t="str">
        <f>IF($C25="","",'Informe Subasta'!$L$34)</f>
      </c>
      <c r="H25" s="94" t="str">
        <f t="shared" si="1"/>
      </c>
      <c r="I25" s="107" t="str">
        <f t="shared" si="2"/>
      </c>
      <c r="J25" s="108" t="str">
        <f t="shared" si="3"/>
      </c>
      <c r="K25" s="109" t="str">
        <f t="shared" si="4"/>
      </c>
      <c r="L25" s="109" t="str">
        <f t="shared" si="5"/>
      </c>
      <c r="M25" s="109" t="str">
        <f t="shared" si="6"/>
      </c>
      <c r="N25" s="109" t="str">
        <f t="shared" si="7"/>
      </c>
      <c r="O25" s="110" t="str">
        <f t="shared" si="8"/>
      </c>
      <c r="P25" s="108" t="str">
        <f t="shared" si="9"/>
      </c>
      <c r="Q25" s="109" t="str">
        <f t="shared" si="10"/>
      </c>
      <c r="R25" s="109" t="str">
        <f t="shared" si="11"/>
      </c>
      <c r="S25" s="109" t="str">
        <f t="shared" si="12"/>
      </c>
      <c r="T25" s="109" t="str">
        <f t="shared" si="13"/>
      </c>
      <c r="U25" s="110" t="str">
        <f t="shared" si="14"/>
      </c>
    </row>
    <row r="26" spans="2:21" x14ac:dyDescent="0.35">
      <c r="B26" s="103"/>
      <c r="C26" s="104" t="str">
        <f>IF('Informe Subasta'!$A$35="","",'Informe Subasta'!$A$35)</f>
      </c>
      <c r="D26" s="105" t="str">
        <f>IF($C26="","",'Informe Subasta'!$I$35)</f>
      </c>
      <c r="E26" s="106" t="str">
        <f>IF($C26="","",'Informe Subasta'!$J$35)</f>
      </c>
      <c r="F26" s="106" t="str">
        <f>IF($C26="","",'Informe Subasta'!$K$35)</f>
      </c>
      <c r="G26" s="106" t="str">
        <f>IF($C26="","",'Informe Subasta'!$L$35)</f>
      </c>
      <c r="H26" s="94" t="str">
        <f t="shared" si="1"/>
      </c>
      <c r="I26" s="107" t="str">
        <f t="shared" si="2"/>
      </c>
      <c r="J26" s="108" t="str">
        <f t="shared" si="3"/>
      </c>
      <c r="K26" s="109" t="str">
        <f t="shared" si="4"/>
      </c>
      <c r="L26" s="109" t="str">
        <f t="shared" si="5"/>
      </c>
      <c r="M26" s="109" t="str">
        <f t="shared" si="6"/>
      </c>
      <c r="N26" s="109" t="str">
        <f t="shared" si="7"/>
      </c>
      <c r="O26" s="110" t="str">
        <f t="shared" si="8"/>
      </c>
      <c r="P26" s="108" t="str">
        <f t="shared" si="9"/>
      </c>
      <c r="Q26" s="109" t="str">
        <f t="shared" si="10"/>
      </c>
      <c r="R26" s="109" t="str">
        <f t="shared" si="11"/>
      </c>
      <c r="S26" s="109" t="str">
        <f t="shared" si="12"/>
      </c>
      <c r="T26" s="109" t="str">
        <f t="shared" si="13"/>
      </c>
      <c r="U26" s="110" t="str">
        <f t="shared" si="14"/>
      </c>
    </row>
    <row r="27" spans="2:21" x14ac:dyDescent="0.35">
      <c r="B27" s="103"/>
      <c r="C27" s="104" t="str">
        <f>IF('Informe Subasta'!$A$36="","",'Informe Subasta'!$A$36)</f>
      </c>
      <c r="D27" s="105" t="str">
        <f>IF($C27="","",'Informe Subasta'!$I$36)</f>
      </c>
      <c r="E27" s="106" t="str">
        <f>IF($C27="","",'Informe Subasta'!$J$36)</f>
      </c>
      <c r="F27" s="106" t="str">
        <f>IF($C27="","",'Informe Subasta'!$K$36)</f>
      </c>
      <c r="G27" s="106" t="str">
        <f>IF($C27="","",'Informe Subasta'!$L$36)</f>
      </c>
      <c r="H27" s="94" t="str">
        <f t="shared" si="1"/>
      </c>
      <c r="I27" s="107" t="str">
        <f t="shared" si="2"/>
      </c>
      <c r="J27" s="108" t="str">
        <f t="shared" si="3"/>
      </c>
      <c r="K27" s="109" t="str">
        <f t="shared" si="4"/>
      </c>
      <c r="L27" s="109" t="str">
        <f t="shared" si="5"/>
      </c>
      <c r="M27" s="109" t="str">
        <f t="shared" si="6"/>
      </c>
      <c r="N27" s="109" t="str">
        <f t="shared" si="7"/>
      </c>
      <c r="O27" s="110" t="str">
        <f t="shared" si="8"/>
      </c>
      <c r="P27" s="108" t="str">
        <f t="shared" si="9"/>
      </c>
      <c r="Q27" s="109" t="str">
        <f t="shared" si="10"/>
      </c>
      <c r="R27" s="109" t="str">
        <f t="shared" si="11"/>
      </c>
      <c r="S27" s="109" t="str">
        <f t="shared" si="12"/>
      </c>
      <c r="T27" s="109" t="str">
        <f t="shared" si="13"/>
      </c>
      <c r="U27" s="110" t="str">
        <f t="shared" si="14"/>
      </c>
    </row>
    <row r="28" spans="2:21" x14ac:dyDescent="0.35">
      <c r="B28" s="103"/>
      <c r="C28" s="104" t="str">
        <f>IF('Informe Subasta'!$A$37="","",'Informe Subasta'!$A$37)</f>
      </c>
      <c r="D28" s="105" t="str">
        <f>IF($C28="","",'Informe Subasta'!$I$37)</f>
      </c>
      <c r="E28" s="106" t="str">
        <f>IF($C28="","",'Informe Subasta'!$J$37)</f>
      </c>
      <c r="F28" s="106" t="str">
        <f>IF($C28="","",'Informe Subasta'!$K$37)</f>
      </c>
      <c r="G28" s="106" t="str">
        <f>IF($C28="","",'Informe Subasta'!$L$37)</f>
      </c>
      <c r="H28" s="94" t="str">
        <f t="shared" si="1"/>
      </c>
      <c r="I28" s="107" t="str">
        <f t="shared" si="2"/>
      </c>
      <c r="J28" s="108" t="str">
        <f t="shared" si="3"/>
      </c>
      <c r="K28" s="109" t="str">
        <f t="shared" si="4"/>
      </c>
      <c r="L28" s="109" t="str">
        <f t="shared" si="5"/>
      </c>
      <c r="M28" s="109" t="str">
        <f t="shared" si="6"/>
      </c>
      <c r="N28" s="109" t="str">
        <f t="shared" si="7"/>
      </c>
      <c r="O28" s="110" t="str">
        <f t="shared" si="8"/>
      </c>
      <c r="P28" s="108" t="str">
        <f t="shared" si="9"/>
      </c>
      <c r="Q28" s="109" t="str">
        <f t="shared" si="10"/>
      </c>
      <c r="R28" s="109" t="str">
        <f t="shared" si="11"/>
      </c>
      <c r="S28" s="109" t="str">
        <f t="shared" si="12"/>
      </c>
      <c r="T28" s="109" t="str">
        <f t="shared" si="13"/>
      </c>
      <c r="U28" s="110" t="str">
        <f t="shared" si="14"/>
      </c>
    </row>
    <row r="29" spans="2:21" x14ac:dyDescent="0.35">
      <c r="B29" s="103"/>
      <c r="C29" s="104" t="str">
        <f>IF('Informe Subasta'!$A$38="","",'Informe Subasta'!$A$38)</f>
      </c>
      <c r="D29" s="105" t="str">
        <f>IF($C29="","",'Informe Subasta'!$I$38)</f>
      </c>
      <c r="E29" s="106" t="str">
        <f>IF($C29="","",'Informe Subasta'!$J$38)</f>
      </c>
      <c r="F29" s="106" t="str">
        <f>IF($C29="","",'Informe Subasta'!$K$38)</f>
      </c>
      <c r="G29" s="106" t="str">
        <f>IF($C29="","",'Informe Subasta'!$L$38)</f>
      </c>
      <c r="H29" s="94" t="str">
        <f t="shared" si="1"/>
      </c>
      <c r="I29" s="107" t="str">
        <f t="shared" si="2"/>
      </c>
      <c r="J29" s="108" t="str">
        <f t="shared" si="3"/>
      </c>
      <c r="K29" s="109" t="str">
        <f t="shared" si="4"/>
      </c>
      <c r="L29" s="109" t="str">
        <f t="shared" si="5"/>
      </c>
      <c r="M29" s="109" t="str">
        <f t="shared" si="6"/>
      </c>
      <c r="N29" s="109" t="str">
        <f t="shared" si="7"/>
      </c>
      <c r="O29" s="110" t="str">
        <f t="shared" si="8"/>
      </c>
      <c r="P29" s="108" t="str">
        <f t="shared" si="9"/>
      </c>
      <c r="Q29" s="109" t="str">
        <f t="shared" si="10"/>
      </c>
      <c r="R29" s="109" t="str">
        <f t="shared" si="11"/>
      </c>
      <c r="S29" s="109" t="str">
        <f t="shared" si="12"/>
      </c>
      <c r="T29" s="109" t="str">
        <f t="shared" si="13"/>
      </c>
      <c r="U29" s="110" t="str">
        <f t="shared" si="14"/>
      </c>
    </row>
    <row r="30" spans="2:21" x14ac:dyDescent="0.35">
      <c r="B30" s="103"/>
      <c r="C30" s="104" t="str">
        <f>IF('Informe Subasta'!$A$39="","",'Informe Subasta'!$A$39)</f>
      </c>
      <c r="D30" s="105" t="str">
        <f>IF($C30="","",'Informe Subasta'!$I$39)</f>
      </c>
      <c r="E30" s="106" t="str">
        <f>IF($C30="","",'Informe Subasta'!$J$39)</f>
      </c>
      <c r="F30" s="106" t="str">
        <f>IF($C30="","",'Informe Subasta'!$K$39)</f>
      </c>
      <c r="G30" s="106" t="str">
        <f>IF($C30="","",'Informe Subasta'!$L$39)</f>
      </c>
      <c r="H30" s="94" t="str">
        <f t="shared" si="1"/>
      </c>
      <c r="I30" s="107" t="str">
        <f t="shared" si="2"/>
      </c>
      <c r="J30" s="108" t="str">
        <f t="shared" si="3"/>
      </c>
      <c r="K30" s="109" t="str">
        <f t="shared" si="4"/>
      </c>
      <c r="L30" s="109" t="str">
        <f t="shared" si="5"/>
      </c>
      <c r="M30" s="109" t="str">
        <f t="shared" si="6"/>
      </c>
      <c r="N30" s="109" t="str">
        <f t="shared" si="7"/>
      </c>
      <c r="O30" s="110" t="str">
        <f t="shared" si="8"/>
      </c>
      <c r="P30" s="108" t="str">
        <f t="shared" si="9"/>
      </c>
      <c r="Q30" s="109" t="str">
        <f t="shared" si="10"/>
      </c>
      <c r="R30" s="109" t="str">
        <f t="shared" si="11"/>
      </c>
      <c r="S30" s="109" t="str">
        <f t="shared" si="12"/>
      </c>
      <c r="T30" s="109" t="str">
        <f t="shared" si="13"/>
      </c>
      <c r="U30" s="110" t="str">
        <f t="shared" si="14"/>
      </c>
    </row>
    <row r="31" spans="2:21" x14ac:dyDescent="0.35">
      <c r="B31" s="103"/>
      <c r="C31" s="104" t="str">
        <f>IF('Informe Subasta'!$A$40="","",'Informe Subasta'!$A$40)</f>
      </c>
      <c r="D31" s="105" t="str">
        <f>IF($C31="","",'Informe Subasta'!$I$40)</f>
      </c>
      <c r="E31" s="106" t="str">
        <f>IF($C31="","",'Informe Subasta'!$J$40)</f>
      </c>
      <c r="F31" s="106" t="str">
        <f>IF($C31="","",'Informe Subasta'!$K$40)</f>
      </c>
      <c r="G31" s="106" t="str">
        <f>IF($C31="","",'Informe Subasta'!$L$40)</f>
      </c>
      <c r="H31" s="94" t="str">
        <f t="shared" si="1"/>
      </c>
      <c r="I31" s="107" t="str">
        <f t="shared" si="2"/>
      </c>
      <c r="J31" s="108" t="str">
        <f t="shared" si="3"/>
      </c>
      <c r="K31" s="109" t="str">
        <f t="shared" si="4"/>
      </c>
      <c r="L31" s="109" t="str">
        <f t="shared" si="5"/>
      </c>
      <c r="M31" s="109" t="str">
        <f t="shared" si="6"/>
      </c>
      <c r="N31" s="109" t="str">
        <f t="shared" si="7"/>
      </c>
      <c r="O31" s="110" t="str">
        <f t="shared" si="8"/>
      </c>
      <c r="P31" s="108" t="str">
        <f t="shared" si="9"/>
      </c>
      <c r="Q31" s="109" t="str">
        <f t="shared" si="10"/>
      </c>
      <c r="R31" s="109" t="str">
        <f t="shared" si="11"/>
      </c>
      <c r="S31" s="109" t="str">
        <f t="shared" si="12"/>
      </c>
      <c r="T31" s="109" t="str">
        <f t="shared" si="13"/>
      </c>
      <c r="U31" s="110" t="str">
        <f t="shared" si="14"/>
      </c>
    </row>
    <row r="32" spans="2:21" x14ac:dyDescent="0.35">
      <c r="B32" s="103"/>
      <c r="C32" s="104" t="str">
        <f>IF('Informe Subasta'!$A$41="","",'Informe Subasta'!$A$41)</f>
      </c>
      <c r="D32" s="105" t="str">
        <f>IF($C32="","",'Informe Subasta'!$I$41)</f>
      </c>
      <c r="E32" s="106" t="str">
        <f>IF($C32="","",'Informe Subasta'!$J$41)</f>
      </c>
      <c r="F32" s="106" t="str">
        <f>IF($C32="","",'Informe Subasta'!$K$41)</f>
      </c>
      <c r="G32" s="106" t="str">
        <f>IF($C32="","",'Informe Subasta'!$L$41)</f>
      </c>
      <c r="H32" s="94" t="str">
        <f t="shared" si="1"/>
      </c>
      <c r="I32" s="107" t="str">
        <f t="shared" si="2"/>
      </c>
      <c r="J32" s="108" t="str">
        <f t="shared" si="3"/>
      </c>
      <c r="K32" s="109" t="str">
        <f t="shared" si="4"/>
      </c>
      <c r="L32" s="109" t="str">
        <f t="shared" si="5"/>
      </c>
      <c r="M32" s="109" t="str">
        <f t="shared" si="6"/>
      </c>
      <c r="N32" s="109" t="str">
        <f t="shared" si="7"/>
      </c>
      <c r="O32" s="110" t="str">
        <f t="shared" si="8"/>
      </c>
      <c r="P32" s="108" t="str">
        <f t="shared" si="9"/>
      </c>
      <c r="Q32" s="109" t="str">
        <f t="shared" si="10"/>
      </c>
      <c r="R32" s="109" t="str">
        <f t="shared" si="11"/>
      </c>
      <c r="S32" s="109" t="str">
        <f t="shared" si="12"/>
      </c>
      <c r="T32" s="109" t="str">
        <f t="shared" si="13"/>
      </c>
      <c r="U32" s="110" t="str">
        <f t="shared" si="14"/>
      </c>
    </row>
    <row r="33" spans="2:21" x14ac:dyDescent="0.35">
      <c r="B33" s="103"/>
      <c r="C33" s="104" t="str">
        <f>IF('Informe Subasta'!$A$42="","",'Informe Subasta'!$A$42)</f>
      </c>
      <c r="D33" s="105" t="str">
        <f>IF($C33="","",'Informe Subasta'!$I$42)</f>
      </c>
      <c r="E33" s="106" t="str">
        <f>IF($C33="","",'Informe Subasta'!$J$42)</f>
      </c>
      <c r="F33" s="106" t="str">
        <f>IF($C33="","",'Informe Subasta'!$K$42)</f>
      </c>
      <c r="G33" s="106" t="str">
        <f>IF($C33="","",'Informe Subasta'!$L$42)</f>
      </c>
      <c r="H33" s="94" t="str">
        <f t="shared" si="1"/>
      </c>
      <c r="I33" s="107" t="str">
        <f t="shared" si="2"/>
      </c>
      <c r="J33" s="108" t="str">
        <f t="shared" si="3"/>
      </c>
      <c r="K33" s="109" t="str">
        <f t="shared" si="4"/>
      </c>
      <c r="L33" s="109" t="str">
        <f t="shared" si="5"/>
      </c>
      <c r="M33" s="109" t="str">
        <f t="shared" si="6"/>
      </c>
      <c r="N33" s="109" t="str">
        <f t="shared" si="7"/>
      </c>
      <c r="O33" s="110" t="str">
        <f t="shared" si="8"/>
      </c>
      <c r="P33" s="108" t="str">
        <f t="shared" si="9"/>
      </c>
      <c r="Q33" s="109" t="str">
        <f t="shared" si="10"/>
      </c>
      <c r="R33" s="109" t="str">
        <f t="shared" si="11"/>
      </c>
      <c r="S33" s="109" t="str">
        <f t="shared" si="12"/>
      </c>
      <c r="T33" s="109" t="str">
        <f t="shared" si="13"/>
      </c>
      <c r="U33" s="110" t="str">
        <f t="shared" si="14"/>
      </c>
    </row>
    <row r="34" spans="2:21" x14ac:dyDescent="0.35">
      <c r="B34" s="103"/>
      <c r="C34" s="104" t="str">
        <f>IF('Informe Subasta'!$A$43="","",'Informe Subasta'!$A$43)</f>
      </c>
      <c r="D34" s="105" t="str">
        <f>IF($C34="","",'Informe Subasta'!$I$43)</f>
      </c>
      <c r="E34" s="106" t="str">
        <f>IF($C34="","",'Informe Subasta'!$J$43)</f>
      </c>
      <c r="F34" s="106" t="str">
        <f>IF($C34="","",'Informe Subasta'!$K$43)</f>
      </c>
      <c r="G34" s="106" t="str">
        <f>IF($C34="","",'Informe Subasta'!$L$43)</f>
      </c>
      <c r="H34" s="94" t="str">
        <f t="shared" si="1"/>
      </c>
      <c r="I34" s="107" t="str">
        <f t="shared" si="2"/>
      </c>
      <c r="J34" s="108" t="str">
        <f t="shared" si="3"/>
      </c>
      <c r="K34" s="109" t="str">
        <f t="shared" si="4"/>
      </c>
      <c r="L34" s="109" t="str">
        <f t="shared" si="5"/>
      </c>
      <c r="M34" s="109" t="str">
        <f t="shared" si="6"/>
      </c>
      <c r="N34" s="109" t="str">
        <f t="shared" si="7"/>
      </c>
      <c r="O34" s="110" t="str">
        <f t="shared" si="8"/>
      </c>
      <c r="P34" s="108" t="str">
        <f t="shared" si="9"/>
      </c>
      <c r="Q34" s="109" t="str">
        <f t="shared" si="10"/>
      </c>
      <c r="R34" s="109" t="str">
        <f t="shared" si="11"/>
      </c>
      <c r="S34" s="109" t="str">
        <f t="shared" si="12"/>
      </c>
      <c r="T34" s="109" t="str">
        <f t="shared" si="13"/>
      </c>
      <c r="U34" s="110" t="str">
        <f t="shared" si="14"/>
      </c>
    </row>
    <row r="35" spans="2:21" x14ac:dyDescent="0.35">
      <c r="B35" s="103"/>
      <c r="C35" s="104" t="str">
        <f>IF('Informe Subasta'!$A$44="","",'Informe Subasta'!$A$44)</f>
      </c>
      <c r="D35" s="105" t="str">
        <f>IF($C35="","",'Informe Subasta'!$I$44)</f>
      </c>
      <c r="E35" s="106" t="str">
        <f>IF($C35="","",'Informe Subasta'!$J$44)</f>
      </c>
      <c r="F35" s="106" t="str">
        <f>IF($C35="","",'Informe Subasta'!$K$44)</f>
      </c>
      <c r="G35" s="106" t="str">
        <f>IF($C35="","",'Informe Subasta'!$L$44)</f>
      </c>
      <c r="H35" s="94" t="str">
        <f t="shared" si="1"/>
      </c>
      <c r="I35" s="107" t="str">
        <f t="shared" si="2"/>
      </c>
      <c r="J35" s="108" t="str">
        <f t="shared" si="3"/>
      </c>
      <c r="K35" s="109" t="str">
        <f t="shared" si="4"/>
      </c>
      <c r="L35" s="109" t="str">
        <f t="shared" si="5"/>
      </c>
      <c r="M35" s="109" t="str">
        <f t="shared" si="6"/>
      </c>
      <c r="N35" s="109" t="str">
        <f t="shared" si="7"/>
      </c>
      <c r="O35" s="110" t="str">
        <f t="shared" si="8"/>
      </c>
      <c r="P35" s="108" t="str">
        <f t="shared" si="9"/>
      </c>
      <c r="Q35" s="109" t="str">
        <f t="shared" si="10"/>
      </c>
      <c r="R35" s="109" t="str">
        <f t="shared" si="11"/>
      </c>
      <c r="S35" s="109" t="str">
        <f t="shared" si="12"/>
      </c>
      <c r="T35" s="109" t="str">
        <f t="shared" si="13"/>
      </c>
      <c r="U35" s="110" t="str">
        <f t="shared" si="14"/>
      </c>
    </row>
    <row r="36" spans="2:21" x14ac:dyDescent="0.35">
      <c r="B36" s="103"/>
      <c r="C36" s="104" t="str">
        <f>IF('Informe Subasta'!$A$45="","",'Informe Subasta'!$A$45)</f>
      </c>
      <c r="D36" s="105" t="str">
        <f>IF($C36="","",'Informe Subasta'!$I$45)</f>
      </c>
      <c r="E36" s="106" t="str">
        <f>IF($C36="","",'Informe Subasta'!$J$45)</f>
      </c>
      <c r="F36" s="106" t="str">
        <f>IF($C36="","",'Informe Subasta'!$K$45)</f>
      </c>
      <c r="G36" s="106" t="str">
        <f>IF($C36="","",'Informe Subasta'!$L$45)</f>
      </c>
      <c r="H36" s="94" t="str">
        <f t="shared" si="1"/>
      </c>
      <c r="I36" s="107" t="str">
        <f t="shared" si="2"/>
      </c>
      <c r="J36" s="108" t="str">
        <f t="shared" si="3"/>
      </c>
      <c r="K36" s="109" t="str">
        <f t="shared" si="4"/>
      </c>
      <c r="L36" s="109" t="str">
        <f t="shared" si="5"/>
      </c>
      <c r="M36" s="109" t="str">
        <f t="shared" si="6"/>
      </c>
      <c r="N36" s="109" t="str">
        <f t="shared" si="7"/>
      </c>
      <c r="O36" s="110" t="str">
        <f t="shared" si="8"/>
      </c>
      <c r="P36" s="108" t="str">
        <f t="shared" si="9"/>
      </c>
      <c r="Q36" s="109" t="str">
        <f t="shared" si="10"/>
      </c>
      <c r="R36" s="109" t="str">
        <f t="shared" si="11"/>
      </c>
      <c r="S36" s="109" t="str">
        <f t="shared" si="12"/>
      </c>
      <c r="T36" s="109" t="str">
        <f t="shared" si="13"/>
      </c>
      <c r="U36" s="110" t="str">
        <f t="shared" si="14"/>
      </c>
    </row>
    <row r="37" spans="2:21" x14ac:dyDescent="0.35">
      <c r="B37" s="103"/>
      <c r="C37" s="104" t="str">
        <f>IF('Informe Subasta'!$A$46="","",'Informe Subasta'!$A$46)</f>
      </c>
      <c r="D37" s="105" t="str">
        <f>IF($C37="","",'Informe Subasta'!$I$46)</f>
      </c>
      <c r="E37" s="106" t="str">
        <f>IF($C37="","",'Informe Subasta'!$J$46)</f>
      </c>
      <c r="F37" s="106" t="str">
        <f>IF($C37="","",'Informe Subasta'!$K$46)</f>
      </c>
      <c r="G37" s="106" t="str">
        <f>IF($C37="","",'Informe Subasta'!$L$46)</f>
      </c>
      <c r="H37" s="94" t="str">
        <f t="shared" si="1"/>
      </c>
      <c r="I37" s="107" t="str">
        <f t="shared" si="2"/>
      </c>
      <c r="J37" s="108" t="str">
        <f t="shared" si="3"/>
      </c>
      <c r="K37" s="109" t="str">
        <f t="shared" si="4"/>
      </c>
      <c r="L37" s="109" t="str">
        <f t="shared" si="5"/>
      </c>
      <c r="M37" s="109" t="str">
        <f t="shared" si="6"/>
      </c>
      <c r="N37" s="109" t="str">
        <f t="shared" si="7"/>
      </c>
      <c r="O37" s="110" t="str">
        <f t="shared" si="8"/>
      </c>
      <c r="P37" s="108" t="str">
        <f t="shared" si="9"/>
      </c>
      <c r="Q37" s="109" t="str">
        <f t="shared" si="10"/>
      </c>
      <c r="R37" s="109" t="str">
        <f t="shared" si="11"/>
      </c>
      <c r="S37" s="109" t="str">
        <f t="shared" si="12"/>
      </c>
      <c r="T37" s="109" t="str">
        <f t="shared" si="13"/>
      </c>
      <c r="U37" s="110" t="str">
        <f t="shared" si="14"/>
      </c>
    </row>
    <row r="38" spans="2:21" x14ac:dyDescent="0.35">
      <c r="B38" s="103"/>
      <c r="C38" s="104" t="str">
        <f>IF('Informe Subasta'!$A$47="","",'Informe Subasta'!$A$47)</f>
      </c>
      <c r="D38" s="105" t="str">
        <f>IF($C38="","",'Informe Subasta'!$I$47)</f>
      </c>
      <c r="E38" s="106" t="str">
        <f>IF($C38="","",'Informe Subasta'!$J$47)</f>
      </c>
      <c r="F38" s="106" t="str">
        <f>IF($C38="","",'Informe Subasta'!$K$47)</f>
      </c>
      <c r="G38" s="106" t="str">
        <f>IF($C38="","",'Informe Subasta'!$L$47)</f>
      </c>
      <c r="H38" s="94" t="str">
        <f t="shared" si="1"/>
      </c>
      <c r="I38" s="107" t="str">
        <f t="shared" si="2"/>
      </c>
      <c r="J38" s="108" t="str">
        <f t="shared" si="3"/>
      </c>
      <c r="K38" s="109" t="str">
        <f t="shared" si="4"/>
      </c>
      <c r="L38" s="109" t="str">
        <f t="shared" si="5"/>
      </c>
      <c r="M38" s="109" t="str">
        <f t="shared" si="6"/>
      </c>
      <c r="N38" s="109" t="str">
        <f t="shared" si="7"/>
      </c>
      <c r="O38" s="110" t="str">
        <f t="shared" si="8"/>
      </c>
      <c r="P38" s="108" t="str">
        <f t="shared" si="9"/>
      </c>
      <c r="Q38" s="109" t="str">
        <f t="shared" si="10"/>
      </c>
      <c r="R38" s="109" t="str">
        <f t="shared" si="11"/>
      </c>
      <c r="S38" s="109" t="str">
        <f t="shared" si="12"/>
      </c>
      <c r="T38" s="109" t="str">
        <f t="shared" si="13"/>
      </c>
      <c r="U38" s="110" t="str">
        <f t="shared" si="14"/>
      </c>
    </row>
    <row r="39" spans="2:21" x14ac:dyDescent="0.35">
      <c r="B39" s="103"/>
      <c r="C39" s="104" t="str">
        <f>IF('Informe Subasta'!$A$48="","",'Informe Subasta'!$A$48)</f>
      </c>
      <c r="D39" s="105" t="str">
        <f>IF($C39="","",'Informe Subasta'!$I$48)</f>
      </c>
      <c r="E39" s="106" t="str">
        <f>IF($C39="","",'Informe Subasta'!$J$48)</f>
      </c>
      <c r="F39" s="106" t="str">
        <f>IF($C39="","",'Informe Subasta'!$K$48)</f>
      </c>
      <c r="G39" s="106" t="str">
        <f>IF($C39="","",'Informe Subasta'!$L$48)</f>
      </c>
      <c r="H39" s="94" t="str">
        <f t="shared" si="1"/>
      </c>
      <c r="I39" s="107" t="str">
        <f t="shared" si="2"/>
      </c>
      <c r="J39" s="108" t="str">
        <f t="shared" si="3"/>
      </c>
      <c r="K39" s="109" t="str">
        <f t="shared" si="4"/>
      </c>
      <c r="L39" s="109" t="str">
        <f t="shared" si="5"/>
      </c>
      <c r="M39" s="109" t="str">
        <f t="shared" si="6"/>
      </c>
      <c r="N39" s="109" t="str">
        <f t="shared" si="7"/>
      </c>
      <c r="O39" s="110" t="str">
        <f t="shared" si="8"/>
      </c>
      <c r="P39" s="108" t="str">
        <f t="shared" si="9"/>
      </c>
      <c r="Q39" s="109" t="str">
        <f t="shared" si="10"/>
      </c>
      <c r="R39" s="109" t="str">
        <f t="shared" si="11"/>
      </c>
      <c r="S39" s="109" t="str">
        <f t="shared" si="12"/>
      </c>
      <c r="T39" s="109" t="str">
        <f t="shared" si="13"/>
      </c>
      <c r="U39" s="110" t="str">
        <f t="shared" si="14"/>
      </c>
    </row>
    <row r="40" spans="2:21" x14ac:dyDescent="0.35">
      <c r="B40" s="103"/>
      <c r="C40" s="104" t="str">
        <f>IF('Informe Subasta'!$A$49="","",'Informe Subasta'!$A$49)</f>
      </c>
      <c r="D40" s="105" t="str">
        <f>IF($C40="","",'Informe Subasta'!$I$49)</f>
      </c>
      <c r="E40" s="106" t="str">
        <f>IF($C40="","",'Informe Subasta'!$J$49)</f>
      </c>
      <c r="F40" s="106" t="str">
        <f>IF($C40="","",'Informe Subasta'!$K$49)</f>
      </c>
      <c r="G40" s="106" t="str">
        <f>IF($C40="","",'Informe Subasta'!$L$49)</f>
      </c>
      <c r="H40" s="94" t="str">
        <f t="shared" si="1"/>
      </c>
      <c r="I40" s="107" t="str">
        <f t="shared" si="2"/>
      </c>
      <c r="J40" s="108" t="str">
        <f t="shared" si="3"/>
      </c>
      <c r="K40" s="109" t="str">
        <f t="shared" si="4"/>
      </c>
      <c r="L40" s="109" t="str">
        <f t="shared" si="5"/>
      </c>
      <c r="M40" s="109" t="str">
        <f t="shared" si="6"/>
      </c>
      <c r="N40" s="109" t="str">
        <f t="shared" si="7"/>
      </c>
      <c r="O40" s="110" t="str">
        <f t="shared" si="8"/>
      </c>
      <c r="P40" s="108" t="str">
        <f t="shared" si="9"/>
      </c>
      <c r="Q40" s="109" t="str">
        <f t="shared" si="10"/>
      </c>
      <c r="R40" s="109" t="str">
        <f t="shared" si="11"/>
      </c>
      <c r="S40" s="109" t="str">
        <f t="shared" si="12"/>
      </c>
      <c r="T40" s="109" t="str">
        <f t="shared" si="13"/>
      </c>
      <c r="U40" s="110" t="str">
        <f t="shared" si="14"/>
      </c>
    </row>
    <row r="41" spans="2:21" x14ac:dyDescent="0.35">
      <c r="B41" s="103"/>
      <c r="C41" s="104" t="str">
        <f>IF('Informe Subasta'!$A$50="","",'Informe Subasta'!$A$50)</f>
      </c>
      <c r="D41" s="105" t="str">
        <f>IF($C41="","",'Informe Subasta'!$I$50)</f>
      </c>
      <c r="E41" s="106" t="str">
        <f>IF($C41="","",'Informe Subasta'!$J$50)</f>
      </c>
      <c r="F41" s="106" t="str">
        <f>IF($C41="","",'Informe Subasta'!$K$50)</f>
      </c>
      <c r="G41" s="106" t="str">
        <f>IF($C41="","",'Informe Subasta'!$L$50)</f>
      </c>
      <c r="H41" s="94" t="str">
        <f t="shared" si="1"/>
      </c>
      <c r="I41" s="107" t="str">
        <f t="shared" si="2"/>
      </c>
      <c r="J41" s="108" t="str">
        <f t="shared" si="3"/>
      </c>
      <c r="K41" s="109" t="str">
        <f t="shared" si="4"/>
      </c>
      <c r="L41" s="109" t="str">
        <f t="shared" si="5"/>
      </c>
      <c r="M41" s="109" t="str">
        <f t="shared" si="6"/>
      </c>
      <c r="N41" s="109" t="str">
        <f t="shared" si="7"/>
      </c>
      <c r="O41" s="110" t="str">
        <f t="shared" si="8"/>
      </c>
      <c r="P41" s="108" t="str">
        <f t="shared" si="9"/>
      </c>
      <c r="Q41" s="109" t="str">
        <f t="shared" si="10"/>
      </c>
      <c r="R41" s="109" t="str">
        <f t="shared" si="11"/>
      </c>
      <c r="S41" s="109" t="str">
        <f t="shared" si="12"/>
      </c>
      <c r="T41" s="109" t="str">
        <f t="shared" si="13"/>
      </c>
      <c r="U41" s="110" t="str">
        <f t="shared" si="14"/>
      </c>
    </row>
    <row r="42" spans="2:21" x14ac:dyDescent="0.35">
      <c r="B42" s="103"/>
      <c r="C42" s="104" t="str">
        <f>IF('Informe Subasta'!$A$51="","",'Informe Subasta'!$A$51)</f>
      </c>
      <c r="D42" s="105" t="str">
        <f>IF($C42="","",'Informe Subasta'!$I$51)</f>
      </c>
      <c r="E42" s="106" t="str">
        <f>IF($C42="","",'Informe Subasta'!$J$51)</f>
      </c>
      <c r="F42" s="106" t="str">
        <f>IF($C42="","",'Informe Subasta'!$K$51)</f>
      </c>
      <c r="G42" s="106" t="str">
        <f>IF($C42="","",'Informe Subasta'!$L$51)</f>
      </c>
      <c r="H42" s="94" t="str">
        <f t="shared" si="1"/>
      </c>
      <c r="I42" s="107" t="str">
        <f t="shared" si="2"/>
      </c>
      <c r="J42" s="108" t="str">
        <f t="shared" si="3"/>
      </c>
      <c r="K42" s="109" t="str">
        <f t="shared" si="4"/>
      </c>
      <c r="L42" s="109" t="str">
        <f t="shared" si="5"/>
      </c>
      <c r="M42" s="109" t="str">
        <f t="shared" si="6"/>
      </c>
      <c r="N42" s="109" t="str">
        <f t="shared" si="7"/>
      </c>
      <c r="O42" s="110" t="str">
        <f t="shared" si="8"/>
      </c>
      <c r="P42" s="108" t="str">
        <f t="shared" si="9"/>
      </c>
      <c r="Q42" s="109" t="str">
        <f t="shared" si="10"/>
      </c>
      <c r="R42" s="109" t="str">
        <f t="shared" si="11"/>
      </c>
      <c r="S42" s="109" t="str">
        <f t="shared" si="12"/>
      </c>
      <c r="T42" s="109" t="str">
        <f t="shared" si="13"/>
      </c>
      <c r="U42" s="110" t="str">
        <f t="shared" si="14"/>
      </c>
    </row>
    <row r="43" spans="2:21" x14ac:dyDescent="0.35">
      <c r="B43" s="103"/>
      <c r="C43" s="104" t="str">
        <f>IF('Informe Subasta'!$A$52="","",'Informe Subasta'!$A$52)</f>
      </c>
      <c r="D43" s="105" t="str">
        <f>IF($C43="","",'Informe Subasta'!$I$52)</f>
      </c>
      <c r="E43" s="106" t="str">
        <f>IF($C43="","",'Informe Subasta'!$J$52)</f>
      </c>
      <c r="F43" s="106" t="str">
        <f>IF($C43="","",'Informe Subasta'!$K$52)</f>
      </c>
      <c r="G43" s="106" t="str">
        <f>IF($C43="","",'Informe Subasta'!$L$52)</f>
      </c>
      <c r="H43" s="94" t="str">
        <f t="shared" si="1"/>
      </c>
      <c r="I43" s="107" t="str">
        <f t="shared" si="2"/>
      </c>
      <c r="J43" s="108" t="str">
        <f t="shared" si="3"/>
      </c>
      <c r="K43" s="109" t="str">
        <f t="shared" si="4"/>
      </c>
      <c r="L43" s="109" t="str">
        <f t="shared" si="5"/>
      </c>
      <c r="M43" s="109" t="str">
        <f t="shared" si="6"/>
      </c>
      <c r="N43" s="109" t="str">
        <f t="shared" si="7"/>
      </c>
      <c r="O43" s="110" t="str">
        <f t="shared" si="8"/>
      </c>
      <c r="P43" s="108" t="str">
        <f t="shared" si="9"/>
      </c>
      <c r="Q43" s="109" t="str">
        <f t="shared" si="10"/>
      </c>
      <c r="R43" s="109" t="str">
        <f t="shared" si="11"/>
      </c>
      <c r="S43" s="109" t="str">
        <f t="shared" si="12"/>
      </c>
      <c r="T43" s="109" t="str">
        <f t="shared" si="13"/>
      </c>
      <c r="U43" s="110" t="str">
        <f t="shared" si="14"/>
      </c>
    </row>
    <row r="44" spans="2:21" x14ac:dyDescent="0.35">
      <c r="B44" s="103"/>
      <c r="C44" s="104" t="str">
        <f>IF('Informe Subasta'!$A$53="","",'Informe Subasta'!$A$53)</f>
      </c>
      <c r="D44" s="105" t="str">
        <f>IF($C44="","",'Informe Subasta'!$I$53)</f>
      </c>
      <c r="E44" s="106" t="str">
        <f>IF($C44="","",'Informe Subasta'!$J$53)</f>
      </c>
      <c r="F44" s="106" t="str">
        <f>IF($C44="","",'Informe Subasta'!$K$53)</f>
      </c>
      <c r="G44" s="106" t="str">
        <f>IF($C44="","",'Informe Subasta'!$L$53)</f>
      </c>
      <c r="H44" s="94" t="str">
        <f t="shared" si="1"/>
      </c>
      <c r="I44" s="107" t="str">
        <f t="shared" si="2"/>
      </c>
      <c r="J44" s="108" t="str">
        <f t="shared" si="3"/>
      </c>
      <c r="K44" s="109" t="str">
        <f t="shared" si="4"/>
      </c>
      <c r="L44" s="109" t="str">
        <f t="shared" si="5"/>
      </c>
      <c r="M44" s="109" t="str">
        <f t="shared" si="6"/>
      </c>
      <c r="N44" s="109" t="str">
        <f t="shared" si="7"/>
      </c>
      <c r="O44" s="110" t="str">
        <f t="shared" si="8"/>
      </c>
      <c r="P44" s="108" t="str">
        <f t="shared" si="9"/>
      </c>
      <c r="Q44" s="109" t="str">
        <f t="shared" si="10"/>
      </c>
      <c r="R44" s="109" t="str">
        <f t="shared" si="11"/>
      </c>
      <c r="S44" s="109" t="str">
        <f t="shared" si="12"/>
      </c>
      <c r="T44" s="109" t="str">
        <f t="shared" si="13"/>
      </c>
      <c r="U44" s="110" t="str">
        <f t="shared" si="14"/>
      </c>
    </row>
    <row r="45" spans="2:21" x14ac:dyDescent="0.35">
      <c r="B45" s="103"/>
      <c r="C45" s="104" t="str">
        <f>IF('Informe Subasta'!$A$54="","",'Informe Subasta'!$A$54)</f>
      </c>
      <c r="D45" s="105" t="str">
        <f>IF($C45="","",'Informe Subasta'!$I$54)</f>
      </c>
      <c r="E45" s="106" t="str">
        <f>IF($C45="","",'Informe Subasta'!$J$54)</f>
      </c>
      <c r="F45" s="106" t="str">
        <f>IF($C45="","",'Informe Subasta'!$K$54)</f>
      </c>
      <c r="G45" s="106" t="str">
        <f>IF($C45="","",'Informe Subasta'!$L$54)</f>
      </c>
      <c r="H45" s="94" t="str">
        <f t="shared" si="1"/>
      </c>
      <c r="I45" s="107" t="str">
        <f t="shared" si="2"/>
      </c>
      <c r="J45" s="108" t="str">
        <f t="shared" si="3"/>
      </c>
      <c r="K45" s="109" t="str">
        <f t="shared" si="4"/>
      </c>
      <c r="L45" s="109" t="str">
        <f t="shared" si="5"/>
      </c>
      <c r="M45" s="109" t="str">
        <f t="shared" si="6"/>
      </c>
      <c r="N45" s="109" t="str">
        <f t="shared" si="7"/>
      </c>
      <c r="O45" s="110" t="str">
        <f t="shared" si="8"/>
      </c>
      <c r="P45" s="108" t="str">
        <f t="shared" si="9"/>
      </c>
      <c r="Q45" s="109" t="str">
        <f t="shared" si="10"/>
      </c>
      <c r="R45" s="109" t="str">
        <f t="shared" si="11"/>
      </c>
      <c r="S45" s="109" t="str">
        <f t="shared" si="12"/>
      </c>
      <c r="T45" s="109" t="str">
        <f t="shared" si="13"/>
      </c>
      <c r="U45" s="110" t="str">
        <f t="shared" si="14"/>
      </c>
    </row>
    <row r="46" spans="2:21" x14ac:dyDescent="0.35">
      <c r="B46" s="103"/>
      <c r="C46" s="104" t="str">
        <f>IF('Informe Subasta'!$A$55="","",'Informe Subasta'!$A$55)</f>
      </c>
      <c r="D46" s="105" t="str">
        <f>IF($C46="","",'Informe Subasta'!$I$55)</f>
      </c>
      <c r="E46" s="106" t="str">
        <f>IF($C46="","",'Informe Subasta'!$J$55)</f>
      </c>
      <c r="F46" s="106" t="str">
        <f>IF($C46="","",'Informe Subasta'!$K$55)</f>
      </c>
      <c r="G46" s="106" t="str">
        <f>IF($C46="","",'Informe Subasta'!$L$55)</f>
      </c>
      <c r="H46" s="94" t="str">
        <f t="shared" si="1"/>
      </c>
      <c r="I46" s="107" t="str">
        <f t="shared" si="2"/>
      </c>
      <c r="J46" s="108" t="str">
        <f t="shared" si="3"/>
      </c>
      <c r="K46" s="109" t="str">
        <f t="shared" si="4"/>
      </c>
      <c r="L46" s="109" t="str">
        <f t="shared" si="5"/>
      </c>
      <c r="M46" s="109" t="str">
        <f t="shared" si="6"/>
      </c>
      <c r="N46" s="109" t="str">
        <f t="shared" si="7"/>
      </c>
      <c r="O46" s="110" t="str">
        <f t="shared" si="8"/>
      </c>
      <c r="P46" s="108" t="str">
        <f t="shared" si="9"/>
      </c>
      <c r="Q46" s="109" t="str">
        <f t="shared" si="10"/>
      </c>
      <c r="R46" s="109" t="str">
        <f t="shared" si="11"/>
      </c>
      <c r="S46" s="109" t="str">
        <f t="shared" si="12"/>
      </c>
      <c r="T46" s="109" t="str">
        <f t="shared" si="13"/>
      </c>
      <c r="U46" s="110" t="str">
        <f t="shared" si="14"/>
      </c>
    </row>
    <row r="47" spans="2:21" x14ac:dyDescent="0.35">
      <c r="B47" s="103"/>
      <c r="C47" s="104" t="str">
        <f>IF('Informe Subasta'!$A$56="","",'Informe Subasta'!$A$56)</f>
      </c>
      <c r="D47" s="105" t="str">
        <f>IF($C47="","",'Informe Subasta'!$I$56)</f>
      </c>
      <c r="E47" s="106" t="str">
        <f>IF($C47="","",'Informe Subasta'!$J$56)</f>
      </c>
      <c r="F47" s="106" t="str">
        <f>IF($C47="","",'Informe Subasta'!$K$56)</f>
      </c>
      <c r="G47" s="106" t="str">
        <f>IF($C47="","",'Informe Subasta'!$L$56)</f>
      </c>
      <c r="H47" s="94" t="str">
        <f t="shared" si="1"/>
      </c>
      <c r="I47" s="107" t="str">
        <f t="shared" si="2"/>
      </c>
      <c r="J47" s="108" t="str">
        <f t="shared" si="3"/>
      </c>
      <c r="K47" s="109" t="str">
        <f t="shared" si="4"/>
      </c>
      <c r="L47" s="109" t="str">
        <f t="shared" si="5"/>
      </c>
      <c r="M47" s="109" t="str">
        <f t="shared" si="6"/>
      </c>
      <c r="N47" s="109" t="str">
        <f t="shared" si="7"/>
      </c>
      <c r="O47" s="110" t="str">
        <f t="shared" si="8"/>
      </c>
      <c r="P47" s="108" t="str">
        <f t="shared" si="9"/>
      </c>
      <c r="Q47" s="109" t="str">
        <f t="shared" si="10"/>
      </c>
      <c r="R47" s="109" t="str">
        <f t="shared" si="11"/>
      </c>
      <c r="S47" s="109" t="str">
        <f t="shared" si="12"/>
      </c>
      <c r="T47" s="109" t="str">
        <f t="shared" si="13"/>
      </c>
      <c r="U47" s="110" t="str">
        <f t="shared" si="14"/>
      </c>
    </row>
    <row r="48" spans="2:21" x14ac:dyDescent="0.35">
      <c r="B48" s="103"/>
      <c r="C48" s="104" t="str">
        <f>IF('Informe Subasta'!$A$57="","",'Informe Subasta'!$A$57)</f>
      </c>
      <c r="D48" s="105" t="str">
        <f>IF($C48="","",'Informe Subasta'!$I$57)</f>
      </c>
      <c r="E48" s="106" t="str">
        <f>IF($C48="","",'Informe Subasta'!$J$57)</f>
      </c>
      <c r="F48" s="106" t="str">
        <f>IF($C48="","",'Informe Subasta'!$K$57)</f>
      </c>
      <c r="G48" s="106" t="str">
        <f>IF($C48="","",'Informe Subasta'!$L$57)</f>
      </c>
      <c r="H48" s="94" t="str">
        <f t="shared" si="1"/>
      </c>
      <c r="I48" s="107" t="str">
        <f t="shared" si="2"/>
      </c>
      <c r="J48" s="108" t="str">
        <f t="shared" si="3"/>
      </c>
      <c r="K48" s="109" t="str">
        <f t="shared" si="4"/>
      </c>
      <c r="L48" s="109" t="str">
        <f t="shared" si="5"/>
      </c>
      <c r="M48" s="109" t="str">
        <f t="shared" si="6"/>
      </c>
      <c r="N48" s="109" t="str">
        <f t="shared" si="7"/>
      </c>
      <c r="O48" s="110" t="str">
        <f t="shared" si="8"/>
      </c>
      <c r="P48" s="108" t="str">
        <f t="shared" si="9"/>
      </c>
      <c r="Q48" s="109" t="str">
        <f t="shared" si="10"/>
      </c>
      <c r="R48" s="109" t="str">
        <f t="shared" si="11"/>
      </c>
      <c r="S48" s="109" t="str">
        <f t="shared" si="12"/>
      </c>
      <c r="T48" s="109" t="str">
        <f t="shared" si="13"/>
      </c>
      <c r="U48" s="110" t="str">
        <f t="shared" si="14"/>
      </c>
    </row>
    <row r="49" spans="2:21" x14ac:dyDescent="0.35">
      <c r="B49" s="103"/>
      <c r="C49" s="104" t="str">
        <f>IF('Informe Subasta'!$A$58="","",'Informe Subasta'!$A$58)</f>
      </c>
      <c r="D49" s="105" t="str">
        <f>IF($C49="","",'Informe Subasta'!$I$58)</f>
      </c>
      <c r="E49" s="106" t="str">
        <f>IF($C49="","",'Informe Subasta'!$J$58)</f>
      </c>
      <c r="F49" s="106" t="str">
        <f>IF($C49="","",'Informe Subasta'!$K$58)</f>
      </c>
      <c r="G49" s="106" t="str">
        <f>IF($C49="","",'Informe Subasta'!$L$58)</f>
      </c>
      <c r="H49" s="94" t="str">
        <f t="shared" si="1"/>
      </c>
      <c r="I49" s="107" t="str">
        <f t="shared" si="2"/>
      </c>
      <c r="J49" s="108" t="str">
        <f t="shared" si="3"/>
      </c>
      <c r="K49" s="109" t="str">
        <f t="shared" si="4"/>
      </c>
      <c r="L49" s="109" t="str">
        <f t="shared" si="5"/>
      </c>
      <c r="M49" s="109" t="str">
        <f t="shared" si="6"/>
      </c>
      <c r="N49" s="109" t="str">
        <f t="shared" si="7"/>
      </c>
      <c r="O49" s="110" t="str">
        <f t="shared" si="8"/>
      </c>
      <c r="P49" s="108" t="str">
        <f t="shared" si="9"/>
      </c>
      <c r="Q49" s="109" t="str">
        <f t="shared" si="10"/>
      </c>
      <c r="R49" s="109" t="str">
        <f t="shared" si="11"/>
      </c>
      <c r="S49" s="109" t="str">
        <f t="shared" si="12"/>
      </c>
      <c r="T49" s="109" t="str">
        <f t="shared" si="13"/>
      </c>
      <c r="U49" s="110" t="str">
        <f t="shared" si="14"/>
      </c>
    </row>
    <row r="50" spans="2:21" x14ac:dyDescent="0.35">
      <c r="B50" s="103"/>
      <c r="C50" s="104" t="str">
        <f>IF('Informe Subasta'!$A$59="","",'Informe Subasta'!$A$59)</f>
      </c>
      <c r="D50" s="105" t="str">
        <f>IF($C50="","",'Informe Subasta'!$I$59)</f>
      </c>
      <c r="E50" s="106" t="str">
        <f>IF($C50="","",'Informe Subasta'!$J$59)</f>
      </c>
      <c r="F50" s="106" t="str">
        <f>IF($C50="","",'Informe Subasta'!$K$59)</f>
      </c>
      <c r="G50" s="106" t="str">
        <f>IF($C50="","",'Informe Subasta'!$L$59)</f>
      </c>
      <c r="H50" s="94" t="str">
        <f t="shared" si="1"/>
      </c>
      <c r="I50" s="107" t="str">
        <f t="shared" si="2"/>
      </c>
      <c r="J50" s="108" t="str">
        <f t="shared" si="3"/>
      </c>
      <c r="K50" s="109" t="str">
        <f t="shared" si="4"/>
      </c>
      <c r="L50" s="109" t="str">
        <f t="shared" si="5"/>
      </c>
      <c r="M50" s="109" t="str">
        <f t="shared" si="6"/>
      </c>
      <c r="N50" s="109" t="str">
        <f t="shared" si="7"/>
      </c>
      <c r="O50" s="110" t="str">
        <f t="shared" si="8"/>
      </c>
      <c r="P50" s="108" t="str">
        <f t="shared" si="9"/>
      </c>
      <c r="Q50" s="109" t="str">
        <f t="shared" si="10"/>
      </c>
      <c r="R50" s="109" t="str">
        <f t="shared" si="11"/>
      </c>
      <c r="S50" s="109" t="str">
        <f t="shared" si="12"/>
      </c>
      <c r="T50" s="109" t="str">
        <f t="shared" si="13"/>
      </c>
      <c r="U50" s="110" t="str">
        <f t="shared" si="14"/>
      </c>
    </row>
    <row r="51" spans="2:21" ht="14.25" customHeight="1" thickBot="1" x14ac:dyDescent="0.4">
      <c r="B51" s="66" t="s">
        <v>37</v>
      </c>
      <c r="C51" s="58" t="s">
        <v>37</v>
      </c>
      <c r="D51" s="111">
        <f t="shared" ref="D51:U51" si="15">SUM(D21:D50)</f>
      </c>
      <c r="E51" s="111">
        <f t="shared" si="15"/>
      </c>
      <c r="F51" s="111">
        <f t="shared" si="15"/>
      </c>
      <c r="G51" s="111">
        <f t="shared" si="15"/>
      </c>
      <c r="H51" s="111">
        <f t="shared" si="15"/>
      </c>
      <c r="I51" s="111" t="e">
        <f t="shared" si="15"/>
      </c>
      <c r="J51" s="111" t="e">
        <f t="shared" si="15"/>
      </c>
      <c r="K51" s="111" t="e">
        <f t="shared" si="15"/>
      </c>
      <c r="L51" s="111" t="e">
        <f t="shared" si="15"/>
      </c>
      <c r="M51" s="111" t="e">
        <f t="shared" si="15"/>
      </c>
      <c r="N51" s="111" t="e">
        <f t="shared" si="15"/>
      </c>
      <c r="O51" s="111" t="e">
        <f t="shared" si="15"/>
      </c>
      <c r="P51" s="111" t="e">
        <f t="shared" si="15"/>
      </c>
      <c r="Q51" s="111" t="e">
        <f t="shared" si="15"/>
      </c>
      <c r="R51" s="111" t="e">
        <f t="shared" si="15"/>
      </c>
      <c r="S51" s="111" t="e">
        <f t="shared" si="15"/>
      </c>
      <c r="T51" s="111" t="e">
        <f t="shared" si="15"/>
      </c>
      <c r="U51" s="111" t="e">
        <f t="shared" si="15"/>
      </c>
    </row>
  </sheetData>
  <mergeCells count="7">
    <mergeCell ref="D6:E6"/>
    <mergeCell ref="B6:C6"/>
    <mergeCell ref="J19:O19"/>
    <mergeCell ref="P19:U19"/>
    <mergeCell ref="D19:H19"/>
    <mergeCell ref="F6:G6"/>
    <mergeCell ref="B18:C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R42"/>
  <sheetViews>
    <sheetView showGridLines="0" showRowColHeaders="0" zoomScale="70" zoomScaleNormal="85" workbookViewId="0">
      <pane xSplit="1" ySplit="7" topLeftCell="B8" activePane="bottomRight" state="frozen"/>
      <selection pane="topRight"/>
      <selection pane="bottomLeft"/>
      <selection pane="bottomRight" activeCell="F20" sqref="F20"/>
    </sheetView>
  </sheetViews>
  <sheetFormatPr defaultRowHeight="14.5" x14ac:dyDescent="0.35"/>
  <cols>
    <col min="2" max="2" width="12" customWidth="1"/>
    <col min="3" max="3" width="22" customWidth="1"/>
    <col min="4" max="4" width="18" customWidth="1"/>
    <col min="5" max="5" width="20" customWidth="1"/>
    <col min="6" max="6" width="18" customWidth="1"/>
    <col min="7" max="8" width="16" customWidth="1"/>
    <col min="9" max="9" width="15" customWidth="1"/>
    <col min="10" max="10" width="16" customWidth="1"/>
    <col min="11" max="11" width="13" customWidth="1"/>
    <col min="12" max="14" width="15" customWidth="1"/>
    <col min="15" max="15" width="18" customWidth="1"/>
    <col min="16" max="16" width="16" customWidth="1"/>
    <col min="17" max="17" width="18" customWidth="1"/>
    <col min="18" max="18" width="15" customWidth="1"/>
  </cols>
  <sheetData>
    <row r="4" spans="2:18" x14ac:dyDescent="0.35">
      <c r="B4" s="79" t="s">
        <v>231</v>
      </c>
      <c r="C4" s="79" t="s">
        <v>232</v>
      </c>
      <c r="D4" s="79" t="s">
        <v>233</v>
      </c>
      <c r="E4" s="79" t="s">
        <v>234</v>
      </c>
      <c r="F4" s="79" t="s">
        <v>235</v>
      </c>
      <c r="G4" s="79" t="s">
        <v>236</v>
      </c>
      <c r="H4" s="79" t="s">
        <v>237</v>
      </c>
      <c r="I4" s="79" t="s">
        <v>238</v>
      </c>
    </row>
    <row r="5" spans="2:18" x14ac:dyDescent="0.35">
      <c r="B5" s="80"/>
      <c r="C5" s="81"/>
      <c r="D5" s="81"/>
      <c r="E5" s="81"/>
      <c r="F5" s="81"/>
      <c r="G5" s="81"/>
      <c r="H5" s="81"/>
      <c r="I5" s="81"/>
    </row>
    <row r="7" spans="2:18" x14ac:dyDescent="0.35">
      <c r="B7" s="79" t="s">
        <v>232</v>
      </c>
      <c r="C7" s="79" t="s">
        <v>234</v>
      </c>
      <c r="D7" s="79" t="s">
        <v>233</v>
      </c>
      <c r="E7" s="79" t="s">
        <v>239</v>
      </c>
      <c r="F7" s="79" t="s">
        <v>240</v>
      </c>
      <c r="G7" s="79" t="s">
        <v>241</v>
      </c>
      <c r="H7" s="79" t="s">
        <v>242</v>
      </c>
      <c r="I7" s="79" t="s">
        <v>243</v>
      </c>
      <c r="J7" s="79" t="s">
        <v>244</v>
      </c>
    </row>
    <row r="8" spans="2:18" x14ac:dyDescent="0.35">
      <c r="B8" s="81"/>
      <c r="C8" s="81"/>
      <c r="D8" s="81"/>
      <c r="E8" s="82">
        <f>'Informe Subasta'!$D$10</f>
      </c>
      <c r="F8" s="82">
        <f>'Informe Subasta'!$D$11</f>
      </c>
      <c r="G8" s="82">
        <f>'Informe Subasta'!$D$12+'Informe Subasta'!$K$11</f>
      </c>
      <c r="H8" s="82">
        <f>'Informe Subasta'!$D$13+IF('Informe Subasta'!$D$17&gt;0,'Informe Subasta'!$K$12,'Informe Subasta'!$D$14)</f>
      </c>
      <c r="I8" s="83"/>
      <c r="J8" s="80" t="s">
        <v>245</v>
      </c>
    </row>
    <row r="11" spans="2:18" x14ac:dyDescent="0.35">
      <c r="N11" s="195" t="s">
        <v>246</v>
      </c>
      <c r="O11" s="147"/>
      <c r="P11" s="147"/>
      <c r="Q11" s="148"/>
    </row>
    <row r="12" spans="2:18" ht="25.5" customHeight="1" x14ac:dyDescent="0.35">
      <c r="B12" s="79" t="s">
        <v>236</v>
      </c>
      <c r="C12" s="79" t="s">
        <v>247</v>
      </c>
      <c r="D12" s="79" t="s">
        <v>248</v>
      </c>
      <c r="E12" s="79" t="s">
        <v>239</v>
      </c>
      <c r="F12" s="79" t="s">
        <v>240</v>
      </c>
      <c r="G12" s="79" t="s">
        <v>241</v>
      </c>
      <c r="H12" s="79" t="s">
        <v>242</v>
      </c>
      <c r="I12" s="79" t="s">
        <v>243</v>
      </c>
      <c r="J12" s="79" t="s">
        <v>249</v>
      </c>
      <c r="K12" s="79" t="s">
        <v>250</v>
      </c>
      <c r="L12" s="79" t="s">
        <v>251</v>
      </c>
      <c r="M12" s="79" t="s">
        <v>244</v>
      </c>
      <c r="N12" s="79" t="s">
        <v>252</v>
      </c>
      <c r="O12" s="79" t="s">
        <v>253</v>
      </c>
      <c r="P12" s="79" t="s">
        <v>254</v>
      </c>
      <c r="Q12" s="79" t="s">
        <v>255</v>
      </c>
      <c r="R12" s="79" t="s">
        <v>256</v>
      </c>
    </row>
    <row r="13" spans="2:18" x14ac:dyDescent="0.35">
      <c r="B13" s="81"/>
      <c r="C13" s="81"/>
      <c r="D13" s="81"/>
      <c r="E13" s="83"/>
      <c r="F13" s="83"/>
      <c r="G13" s="83"/>
      <c r="H13" s="83"/>
      <c r="I13" s="83"/>
      <c r="J13" s="83"/>
      <c r="K13" s="81"/>
      <c r="L13" s="81"/>
      <c r="M13" s="84" t="str">
        <f>IF('Informe Subasta'!$A$30="","","Yes")</f>
      </c>
      <c r="N13" s="85">
        <f>IF('Informe Subasta'!$A$30="","",'Informe Subasta'!$I$30)</f>
      </c>
      <c r="O13" s="85">
        <f>IF('Informe Subasta'!$A$30="","",'Informe Subasta'!$J$30)</f>
      </c>
      <c r="P13" s="85">
        <f>IF('Informe Subasta'!$A$30="","",'Informe Subasta'!$K$30)</f>
      </c>
      <c r="Q13" s="85">
        <f>IF('Informe Subasta'!$A$30="","",'Informe Subasta'!$L$30)</f>
      </c>
      <c r="R13" s="83"/>
    </row>
    <row r="14" spans="2:18" x14ac:dyDescent="0.35">
      <c r="B14" s="81"/>
      <c r="C14" s="81"/>
      <c r="D14" s="81"/>
      <c r="E14" s="83"/>
      <c r="F14" s="83"/>
      <c r="G14" s="83"/>
      <c r="H14" s="83"/>
      <c r="I14" s="83"/>
      <c r="J14" s="83"/>
      <c r="K14" s="81"/>
      <c r="L14" s="81"/>
      <c r="M14" s="84" t="str">
        <f>IF('Informe Subasta'!$A$31="","","Yes")</f>
      </c>
      <c r="N14" s="85" t="str">
        <f>IF('Informe Subasta'!$A$31="","",'Informe Subasta'!$I$31)</f>
      </c>
      <c r="O14" s="85" t="str">
        <f>IF('Informe Subasta'!$A$31="","",'Informe Subasta'!$J$31)</f>
      </c>
      <c r="P14" s="85" t="str">
        <f>IF('Informe Subasta'!$A$31="","",'Informe Subasta'!$K$31)</f>
      </c>
      <c r="Q14" s="85" t="str">
        <f>IF('Informe Subasta'!$A$31="","",'Informe Subasta'!$L$31)</f>
      </c>
      <c r="R14" s="83"/>
    </row>
    <row r="15" spans="2:18" x14ac:dyDescent="0.35">
      <c r="B15" s="81"/>
      <c r="C15" s="81"/>
      <c r="D15" s="81"/>
      <c r="E15" s="83"/>
      <c r="F15" s="83"/>
      <c r="G15" s="83"/>
      <c r="H15" s="83"/>
      <c r="I15" s="83"/>
      <c r="J15" s="83"/>
      <c r="K15" s="81"/>
      <c r="L15" s="81"/>
      <c r="M15" s="84" t="str">
        <f>IF('Informe Subasta'!$A$32="","","Yes")</f>
      </c>
      <c r="N15" s="85" t="str">
        <f>IF('Informe Subasta'!$A$32="","",'Informe Subasta'!$I$32)</f>
      </c>
      <c r="O15" s="85" t="str">
        <f>IF('Informe Subasta'!$A$32="","",'Informe Subasta'!$J$32)</f>
      </c>
      <c r="P15" s="85" t="str">
        <f>IF('Informe Subasta'!$A$32="","",'Informe Subasta'!$K$32)</f>
      </c>
      <c r="Q15" s="85" t="str">
        <f>IF('Informe Subasta'!$A$32="","",'Informe Subasta'!$L$32)</f>
      </c>
      <c r="R15" s="83"/>
    </row>
    <row r="16" spans="2:18" x14ac:dyDescent="0.35">
      <c r="B16" s="81"/>
      <c r="C16" s="81"/>
      <c r="D16" s="81"/>
      <c r="E16" s="83"/>
      <c r="F16" s="83"/>
      <c r="G16" s="83"/>
      <c r="H16" s="83"/>
      <c r="I16" s="83"/>
      <c r="J16" s="83"/>
      <c r="K16" s="81"/>
      <c r="L16" s="81"/>
      <c r="M16" s="84" t="str">
        <f>IF('Informe Subasta'!$A$33="","","Yes")</f>
      </c>
      <c r="N16" s="85" t="str">
        <f>IF('Informe Subasta'!$A$33="","",'Informe Subasta'!$I$33)</f>
      </c>
      <c r="O16" s="85" t="str">
        <f>IF('Informe Subasta'!$A$33="","",'Informe Subasta'!$J$33)</f>
      </c>
      <c r="P16" s="85" t="str">
        <f>IF('Informe Subasta'!$A$33="","",'Informe Subasta'!$K$33)</f>
      </c>
      <c r="Q16" s="85" t="str">
        <f>IF('Informe Subasta'!$A$33="","",'Informe Subasta'!$L$33)</f>
      </c>
      <c r="R16" s="83"/>
    </row>
    <row r="17" spans="2:18" x14ac:dyDescent="0.35">
      <c r="B17" s="81"/>
      <c r="C17" s="81"/>
      <c r="D17" s="81"/>
      <c r="E17" s="83"/>
      <c r="F17" s="83"/>
      <c r="G17" s="83"/>
      <c r="H17" s="83"/>
      <c r="I17" s="83"/>
      <c r="J17" s="83"/>
      <c r="K17" s="81"/>
      <c r="L17" s="81"/>
      <c r="M17" s="84" t="str">
        <f>IF('Informe Subasta'!$A$34="","","Yes")</f>
      </c>
      <c r="N17" s="85" t="str">
        <f>IF('Informe Subasta'!$A$34="","",'Informe Subasta'!$I$34)</f>
      </c>
      <c r="O17" s="85" t="str">
        <f>IF('Informe Subasta'!$A$34="","",'Informe Subasta'!$J$34)</f>
      </c>
      <c r="P17" s="85" t="str">
        <f>IF('Informe Subasta'!$A$34="","",'Informe Subasta'!$K$34)</f>
      </c>
      <c r="Q17" s="85" t="str">
        <f>IF('Informe Subasta'!$A$34="","",'Informe Subasta'!$L$34)</f>
      </c>
      <c r="R17" s="83"/>
    </row>
    <row r="18" spans="2:18" x14ac:dyDescent="0.35">
      <c r="B18" s="81"/>
      <c r="C18" s="81"/>
      <c r="D18" s="81"/>
      <c r="E18" s="83"/>
      <c r="F18" s="83"/>
      <c r="G18" s="83"/>
      <c r="H18" s="83"/>
      <c r="I18" s="83"/>
      <c r="J18" s="83"/>
      <c r="K18" s="81"/>
      <c r="L18" s="81"/>
      <c r="M18" s="84" t="str">
        <f>IF('Informe Subasta'!$A$35="","","Yes")</f>
      </c>
      <c r="N18" s="85" t="str">
        <f>IF('Informe Subasta'!$A$35="","",'Informe Subasta'!$I$35)</f>
      </c>
      <c r="O18" s="85" t="str">
        <f>IF('Informe Subasta'!$A$35="","",'Informe Subasta'!$J$35)</f>
      </c>
      <c r="P18" s="85" t="str">
        <f>IF('Informe Subasta'!$A$35="","",'Informe Subasta'!$K$35)</f>
      </c>
      <c r="Q18" s="85" t="str">
        <f>IF('Informe Subasta'!$A$35="","",'Informe Subasta'!$L$35)</f>
      </c>
      <c r="R18" s="83"/>
    </row>
    <row r="19" spans="2:18" x14ac:dyDescent="0.35">
      <c r="B19" s="81"/>
      <c r="C19" s="81"/>
      <c r="D19" s="81"/>
      <c r="E19" s="83"/>
      <c r="F19" s="83"/>
      <c r="G19" s="83"/>
      <c r="H19" s="83"/>
      <c r="I19" s="83"/>
      <c r="J19" s="83"/>
      <c r="K19" s="81"/>
      <c r="L19" s="81"/>
      <c r="M19" s="84" t="str">
        <f>IF('Informe Subasta'!$A$36="","","Yes")</f>
      </c>
      <c r="N19" s="85" t="str">
        <f>IF('Informe Subasta'!$A$36="","",'Informe Subasta'!$I$36)</f>
      </c>
      <c r="O19" s="85" t="str">
        <f>IF('Informe Subasta'!$A$36="","",'Informe Subasta'!$J$36)</f>
      </c>
      <c r="P19" s="85" t="str">
        <f>IF('Informe Subasta'!$A$36="","",'Informe Subasta'!$K$36)</f>
      </c>
      <c r="Q19" s="85" t="str">
        <f>IF('Informe Subasta'!$A$36="","",'Informe Subasta'!$L$36)</f>
      </c>
      <c r="R19" s="83"/>
    </row>
    <row r="20" spans="2:18" x14ac:dyDescent="0.35">
      <c r="B20" s="81"/>
      <c r="C20" s="81"/>
      <c r="D20" s="81"/>
      <c r="E20" s="83"/>
      <c r="F20" s="83"/>
      <c r="G20" s="83"/>
      <c r="H20" s="83"/>
      <c r="I20" s="83"/>
      <c r="J20" s="83"/>
      <c r="K20" s="81"/>
      <c r="L20" s="81"/>
      <c r="M20" s="84" t="str">
        <f>IF('Informe Subasta'!$A$37="","","Yes")</f>
      </c>
      <c r="N20" s="85" t="str">
        <f>IF('Informe Subasta'!$A$37="","",'Informe Subasta'!$I$37)</f>
      </c>
      <c r="O20" s="85" t="str">
        <f>IF('Informe Subasta'!$A$37="","",'Informe Subasta'!$J$37)</f>
      </c>
      <c r="P20" s="85" t="str">
        <f>IF('Informe Subasta'!$A$37="","",'Informe Subasta'!$K$37)</f>
      </c>
      <c r="Q20" s="85" t="str">
        <f>IF('Informe Subasta'!$A$37="","",'Informe Subasta'!$L$37)</f>
      </c>
      <c r="R20" s="83"/>
    </row>
    <row r="21" spans="2:18" x14ac:dyDescent="0.35">
      <c r="B21" s="81"/>
      <c r="C21" s="81"/>
      <c r="D21" s="81"/>
      <c r="E21" s="83"/>
      <c r="F21" s="83"/>
      <c r="G21" s="83"/>
      <c r="H21" s="83"/>
      <c r="I21" s="83"/>
      <c r="J21" s="83"/>
      <c r="K21" s="81"/>
      <c r="L21" s="81"/>
      <c r="M21" s="84" t="str">
        <f>IF('Informe Subasta'!$A$38="","","Yes")</f>
      </c>
      <c r="N21" s="85" t="str">
        <f>IF('Informe Subasta'!$A$38="","",'Informe Subasta'!$I$38)</f>
      </c>
      <c r="O21" s="85" t="str">
        <f>IF('Informe Subasta'!$A$38="","",'Informe Subasta'!$J$38)</f>
      </c>
      <c r="P21" s="85" t="str">
        <f>IF('Informe Subasta'!$A$38="","",'Informe Subasta'!$K$38)</f>
      </c>
      <c r="Q21" s="85" t="str">
        <f>IF('Informe Subasta'!$A$38="","",'Informe Subasta'!$L$38)</f>
      </c>
      <c r="R21" s="83"/>
    </row>
    <row r="22" spans="2:18" x14ac:dyDescent="0.35">
      <c r="B22" s="81"/>
      <c r="C22" s="81"/>
      <c r="D22" s="81"/>
      <c r="E22" s="83"/>
      <c r="F22" s="83"/>
      <c r="G22" s="83"/>
      <c r="H22" s="83"/>
      <c r="I22" s="83"/>
      <c r="J22" s="83"/>
      <c r="K22" s="81"/>
      <c r="L22" s="81"/>
      <c r="M22" s="84" t="str">
        <f>IF('Informe Subasta'!$A$39="","","Yes")</f>
      </c>
      <c r="N22" s="85" t="str">
        <f>IF('Informe Subasta'!$A$39="","",'Informe Subasta'!$I$39)</f>
      </c>
      <c r="O22" s="85" t="str">
        <f>IF('Informe Subasta'!$A$39="","",'Informe Subasta'!$J$39)</f>
      </c>
      <c r="P22" s="85" t="str">
        <f>IF('Informe Subasta'!$A$39="","",'Informe Subasta'!$K$39)</f>
      </c>
      <c r="Q22" s="85" t="str">
        <f>IF('Informe Subasta'!$A$39="","",'Informe Subasta'!$L$39)</f>
      </c>
      <c r="R22" s="83"/>
    </row>
    <row r="23" spans="2:18" x14ac:dyDescent="0.35">
      <c r="B23" s="81"/>
      <c r="C23" s="81"/>
      <c r="D23" s="81"/>
      <c r="E23" s="83"/>
      <c r="F23" s="83"/>
      <c r="G23" s="83"/>
      <c r="H23" s="83"/>
      <c r="I23" s="83"/>
      <c r="J23" s="83"/>
      <c r="K23" s="81"/>
      <c r="L23" s="81"/>
      <c r="M23" s="84" t="str">
        <f>IF('Informe Subasta'!$A$40="","","Yes")</f>
      </c>
      <c r="N23" s="85" t="str">
        <f>IF('Informe Subasta'!$A$40="","",'Informe Subasta'!$I$40)</f>
      </c>
      <c r="O23" s="85" t="str">
        <f>IF('Informe Subasta'!$A$40="","",'Informe Subasta'!$J$40)</f>
      </c>
      <c r="P23" s="85" t="str">
        <f>IF('Informe Subasta'!$A$40="","",'Informe Subasta'!$K$40)</f>
      </c>
      <c r="Q23" s="85" t="str">
        <f>IF('Informe Subasta'!$A$40="","",'Informe Subasta'!$L$40)</f>
      </c>
      <c r="R23" s="83"/>
    </row>
    <row r="24" spans="2:18" x14ac:dyDescent="0.35">
      <c r="B24" s="81"/>
      <c r="C24" s="81"/>
      <c r="D24" s="81"/>
      <c r="E24" s="83"/>
      <c r="F24" s="83"/>
      <c r="G24" s="83"/>
      <c r="H24" s="83"/>
      <c r="I24" s="83"/>
      <c r="J24" s="83"/>
      <c r="K24" s="81"/>
      <c r="L24" s="81"/>
      <c r="M24" s="84" t="str">
        <f>IF('Informe Subasta'!$A$41="","","Yes")</f>
      </c>
      <c r="N24" s="85" t="str">
        <f>IF('Informe Subasta'!$A$41="","",'Informe Subasta'!$I$41)</f>
      </c>
      <c r="O24" s="85" t="str">
        <f>IF('Informe Subasta'!$A$41="","",'Informe Subasta'!$J$41)</f>
      </c>
      <c r="P24" s="85" t="str">
        <f>IF('Informe Subasta'!$A$41="","",'Informe Subasta'!$K$41)</f>
      </c>
      <c r="Q24" s="85" t="str">
        <f>IF('Informe Subasta'!$A$41="","",'Informe Subasta'!$L$41)</f>
      </c>
      <c r="R24" s="83"/>
    </row>
    <row r="25" spans="2:18" x14ac:dyDescent="0.35">
      <c r="B25" s="81"/>
      <c r="C25" s="81"/>
      <c r="D25" s="81"/>
      <c r="E25" s="83"/>
      <c r="F25" s="83"/>
      <c r="G25" s="83"/>
      <c r="H25" s="83"/>
      <c r="I25" s="83"/>
      <c r="J25" s="83"/>
      <c r="K25" s="81"/>
      <c r="L25" s="81"/>
      <c r="M25" s="84" t="str">
        <f>IF('Informe Subasta'!$A$42="","","Yes")</f>
      </c>
      <c r="N25" s="85" t="str">
        <f>IF('Informe Subasta'!$A$42="","",'Informe Subasta'!$I$42)</f>
      </c>
      <c r="O25" s="85" t="str">
        <f>IF('Informe Subasta'!$A$42="","",'Informe Subasta'!$J$42)</f>
      </c>
      <c r="P25" s="85" t="str">
        <f>IF('Informe Subasta'!$A$42="","",'Informe Subasta'!$K$42)</f>
      </c>
      <c r="Q25" s="85" t="str">
        <f>IF('Informe Subasta'!$A$42="","",'Informe Subasta'!$L$42)</f>
      </c>
      <c r="R25" s="83"/>
    </row>
    <row r="26" spans="2:18" x14ac:dyDescent="0.35">
      <c r="B26" s="81"/>
      <c r="C26" s="81"/>
      <c r="D26" s="81"/>
      <c r="E26" s="83"/>
      <c r="F26" s="83"/>
      <c r="G26" s="83"/>
      <c r="H26" s="83"/>
      <c r="I26" s="83"/>
      <c r="J26" s="83"/>
      <c r="K26" s="81"/>
      <c r="L26" s="81"/>
      <c r="M26" s="84" t="str">
        <f>IF('Informe Subasta'!$A$43="","","Yes")</f>
      </c>
      <c r="N26" s="85" t="str">
        <f>IF('Informe Subasta'!$A$43="","",'Informe Subasta'!$I$43)</f>
      </c>
      <c r="O26" s="85" t="str">
        <f>IF('Informe Subasta'!$A$43="","",'Informe Subasta'!$J$43)</f>
      </c>
      <c r="P26" s="85" t="str">
        <f>IF('Informe Subasta'!$A$43="","",'Informe Subasta'!$K$43)</f>
      </c>
      <c r="Q26" s="85" t="str">
        <f>IF('Informe Subasta'!$A$43="","",'Informe Subasta'!$L$43)</f>
      </c>
      <c r="R26" s="83"/>
    </row>
    <row r="27" spans="2:18" x14ac:dyDescent="0.35">
      <c r="B27" s="81"/>
      <c r="C27" s="81"/>
      <c r="D27" s="81"/>
      <c r="E27" s="83"/>
      <c r="F27" s="83"/>
      <c r="G27" s="83"/>
      <c r="H27" s="83"/>
      <c r="I27" s="83"/>
      <c r="J27" s="83"/>
      <c r="K27" s="81"/>
      <c r="L27" s="81"/>
      <c r="M27" s="84" t="str">
        <f>IF('Informe Subasta'!$A$44="","","Yes")</f>
      </c>
      <c r="N27" s="85" t="str">
        <f>IF('Informe Subasta'!$A$44="","",'Informe Subasta'!$I$44)</f>
      </c>
      <c r="O27" s="85" t="str">
        <f>IF('Informe Subasta'!$A$44="","",'Informe Subasta'!$J$44)</f>
      </c>
      <c r="P27" s="85" t="str">
        <f>IF('Informe Subasta'!$A$44="","",'Informe Subasta'!$K$44)</f>
      </c>
      <c r="Q27" s="85" t="str">
        <f>IF('Informe Subasta'!$A$44="","",'Informe Subasta'!$L$44)</f>
      </c>
      <c r="R27" s="83"/>
    </row>
    <row r="28" spans="2:18" x14ac:dyDescent="0.35">
      <c r="B28" s="81"/>
      <c r="C28" s="81"/>
      <c r="D28" s="81"/>
      <c r="E28" s="83"/>
      <c r="F28" s="83"/>
      <c r="G28" s="83"/>
      <c r="H28" s="83"/>
      <c r="I28" s="83"/>
      <c r="J28" s="83"/>
      <c r="K28" s="81"/>
      <c r="L28" s="81"/>
      <c r="M28" s="84" t="str">
        <f>IF('Informe Subasta'!$A$45="","","Yes")</f>
      </c>
      <c r="N28" s="85" t="str">
        <f>IF('Informe Subasta'!$A$45="","",'Informe Subasta'!$I$45)</f>
      </c>
      <c r="O28" s="85" t="str">
        <f>IF('Informe Subasta'!$A$45="","",'Informe Subasta'!$J$45)</f>
      </c>
      <c r="P28" s="85" t="str">
        <f>IF('Informe Subasta'!$A$45="","",'Informe Subasta'!$K$45)</f>
      </c>
      <c r="Q28" s="85" t="str">
        <f>IF('Informe Subasta'!$A$45="","",'Informe Subasta'!$L$45)</f>
      </c>
      <c r="R28" s="83"/>
    </row>
    <row r="29" spans="2:18" x14ac:dyDescent="0.35">
      <c r="B29" s="81"/>
      <c r="C29" s="81"/>
      <c r="D29" s="81"/>
      <c r="E29" s="83"/>
      <c r="F29" s="83"/>
      <c r="G29" s="83"/>
      <c r="H29" s="83"/>
      <c r="I29" s="83"/>
      <c r="J29" s="83"/>
      <c r="K29" s="81"/>
      <c r="L29" s="81"/>
      <c r="M29" s="84" t="str">
        <f>IF('Informe Subasta'!$A$46="","","Yes")</f>
      </c>
      <c r="N29" s="85" t="str">
        <f>IF('Informe Subasta'!$A$46="","",'Informe Subasta'!$I$46)</f>
      </c>
      <c r="O29" s="85" t="str">
        <f>IF('Informe Subasta'!$A$46="","",'Informe Subasta'!$J$46)</f>
      </c>
      <c r="P29" s="85" t="str">
        <f>IF('Informe Subasta'!$A$46="","",'Informe Subasta'!$K$46)</f>
      </c>
      <c r="Q29" s="85" t="str">
        <f>IF('Informe Subasta'!$A$46="","",'Informe Subasta'!$L$46)</f>
      </c>
      <c r="R29" s="83"/>
    </row>
    <row r="30" spans="2:18" x14ac:dyDescent="0.35">
      <c r="B30" s="81"/>
      <c r="C30" s="81"/>
      <c r="D30" s="81"/>
      <c r="E30" s="83"/>
      <c r="F30" s="83"/>
      <c r="G30" s="83"/>
      <c r="H30" s="83"/>
      <c r="I30" s="83"/>
      <c r="J30" s="83"/>
      <c r="K30" s="81"/>
      <c r="L30" s="81"/>
      <c r="M30" s="84" t="str">
        <f>IF('Informe Subasta'!$A$47="","","Yes")</f>
      </c>
      <c r="N30" s="85" t="str">
        <f>IF('Informe Subasta'!$A$47="","",'Informe Subasta'!$I$47)</f>
      </c>
      <c r="O30" s="85" t="str">
        <f>IF('Informe Subasta'!$A$47="","",'Informe Subasta'!$J$47)</f>
      </c>
      <c r="P30" s="85" t="str">
        <f>IF('Informe Subasta'!$A$47="","",'Informe Subasta'!$K$47)</f>
      </c>
      <c r="Q30" s="85" t="str">
        <f>IF('Informe Subasta'!$A$47="","",'Informe Subasta'!$L$47)</f>
      </c>
      <c r="R30" s="83"/>
    </row>
    <row r="31" spans="2:18" x14ac:dyDescent="0.35">
      <c r="B31" s="81"/>
      <c r="C31" s="81"/>
      <c r="D31" s="81"/>
      <c r="E31" s="83"/>
      <c r="F31" s="83"/>
      <c r="G31" s="83"/>
      <c r="H31" s="83"/>
      <c r="I31" s="83"/>
      <c r="J31" s="83"/>
      <c r="K31" s="81"/>
      <c r="L31" s="81"/>
      <c r="M31" s="84" t="str">
        <f>IF('Informe Subasta'!$A$48="","","Yes")</f>
      </c>
      <c r="N31" s="85" t="str">
        <f>IF('Informe Subasta'!$A$48="","",'Informe Subasta'!$I$48)</f>
      </c>
      <c r="O31" s="85" t="str">
        <f>IF('Informe Subasta'!$A$48="","",'Informe Subasta'!$J$48)</f>
      </c>
      <c r="P31" s="85" t="str">
        <f>IF('Informe Subasta'!$A$48="","",'Informe Subasta'!$K$48)</f>
      </c>
      <c r="Q31" s="85" t="str">
        <f>IF('Informe Subasta'!$A$48="","",'Informe Subasta'!$L$48)</f>
      </c>
      <c r="R31" s="83"/>
    </row>
    <row r="32" spans="2:18" x14ac:dyDescent="0.35">
      <c r="B32" s="81"/>
      <c r="C32" s="81"/>
      <c r="D32" s="81"/>
      <c r="E32" s="83"/>
      <c r="F32" s="83"/>
      <c r="G32" s="83"/>
      <c r="H32" s="83"/>
      <c r="I32" s="83"/>
      <c r="J32" s="83"/>
      <c r="K32" s="81"/>
      <c r="L32" s="81"/>
      <c r="M32" s="84" t="str">
        <f>IF('Informe Subasta'!$A$49="","","Yes")</f>
      </c>
      <c r="N32" s="85" t="str">
        <f>IF('Informe Subasta'!$A$49="","",'Informe Subasta'!$I$49)</f>
      </c>
      <c r="O32" s="85" t="str">
        <f>IF('Informe Subasta'!$A$49="","",'Informe Subasta'!$J$49)</f>
      </c>
      <c r="P32" s="85" t="str">
        <f>IF('Informe Subasta'!$A$49="","",'Informe Subasta'!$K$49)</f>
      </c>
      <c r="Q32" s="85" t="str">
        <f>IF('Informe Subasta'!$A$49="","",'Informe Subasta'!$L$49)</f>
      </c>
      <c r="R32" s="83"/>
    </row>
    <row r="33" spans="2:18" x14ac:dyDescent="0.35">
      <c r="B33" s="81"/>
      <c r="C33" s="81"/>
      <c r="D33" s="81"/>
      <c r="E33" s="83"/>
      <c r="F33" s="83"/>
      <c r="G33" s="83"/>
      <c r="H33" s="83"/>
      <c r="I33" s="83"/>
      <c r="J33" s="83"/>
      <c r="K33" s="81"/>
      <c r="L33" s="81"/>
      <c r="M33" s="84" t="str">
        <f>IF('Informe Subasta'!$A$50="","","Yes")</f>
      </c>
      <c r="N33" s="85" t="str">
        <f>IF('Informe Subasta'!$A$50="","",'Informe Subasta'!$I$50)</f>
      </c>
      <c r="O33" s="85" t="str">
        <f>IF('Informe Subasta'!$A$50="","",'Informe Subasta'!$J$50)</f>
      </c>
      <c r="P33" s="85" t="str">
        <f>IF('Informe Subasta'!$A$50="","",'Informe Subasta'!$K$50)</f>
      </c>
      <c r="Q33" s="85" t="str">
        <f>IF('Informe Subasta'!$A$50="","",'Informe Subasta'!$L$50)</f>
      </c>
      <c r="R33" s="83"/>
    </row>
    <row r="34" spans="2:18" x14ac:dyDescent="0.35">
      <c r="B34" s="81"/>
      <c r="C34" s="81"/>
      <c r="D34" s="81"/>
      <c r="E34" s="83"/>
      <c r="F34" s="83"/>
      <c r="G34" s="83"/>
      <c r="H34" s="83"/>
      <c r="I34" s="83"/>
      <c r="J34" s="83"/>
      <c r="K34" s="81"/>
      <c r="L34" s="81"/>
      <c r="M34" s="84" t="str">
        <f>IF('Informe Subasta'!$A$51="","","Yes")</f>
      </c>
      <c r="N34" s="85" t="str">
        <f>IF('Informe Subasta'!$A$51="","",'Informe Subasta'!$I$51)</f>
      </c>
      <c r="O34" s="85" t="str">
        <f>IF('Informe Subasta'!$A$51="","",'Informe Subasta'!$J$51)</f>
      </c>
      <c r="P34" s="85" t="str">
        <f>IF('Informe Subasta'!$A$51="","",'Informe Subasta'!$K$51)</f>
      </c>
      <c r="Q34" s="85" t="str">
        <f>IF('Informe Subasta'!$A$51="","",'Informe Subasta'!$L$51)</f>
      </c>
      <c r="R34" s="83"/>
    </row>
    <row r="35" spans="2:18" x14ac:dyDescent="0.35">
      <c r="B35" s="81"/>
      <c r="C35" s="81"/>
      <c r="D35" s="81"/>
      <c r="E35" s="83"/>
      <c r="F35" s="83"/>
      <c r="G35" s="83"/>
      <c r="H35" s="83"/>
      <c r="I35" s="83"/>
      <c r="J35" s="83"/>
      <c r="K35" s="81"/>
      <c r="L35" s="81"/>
      <c r="M35" s="84" t="str">
        <f>IF('Informe Subasta'!$A$52="","","Yes")</f>
      </c>
      <c r="N35" s="85" t="str">
        <f>IF('Informe Subasta'!$A$52="","",'Informe Subasta'!$I$52)</f>
      </c>
      <c r="O35" s="85" t="str">
        <f>IF('Informe Subasta'!$A$52="","",'Informe Subasta'!$J$52)</f>
      </c>
      <c r="P35" s="85" t="str">
        <f>IF('Informe Subasta'!$A$52="","",'Informe Subasta'!$K$52)</f>
      </c>
      <c r="Q35" s="85" t="str">
        <f>IF('Informe Subasta'!$A$52="","",'Informe Subasta'!$L$52)</f>
      </c>
      <c r="R35" s="83"/>
    </row>
    <row r="36" spans="2:18" x14ac:dyDescent="0.35">
      <c r="B36" s="81"/>
      <c r="C36" s="81"/>
      <c r="D36" s="81"/>
      <c r="E36" s="83"/>
      <c r="F36" s="83"/>
      <c r="G36" s="83"/>
      <c r="H36" s="83"/>
      <c r="I36" s="83"/>
      <c r="J36" s="83"/>
      <c r="K36" s="81"/>
      <c r="L36" s="81"/>
      <c r="M36" s="84" t="str">
        <f>IF('Informe Subasta'!$A$53="","","Yes")</f>
      </c>
      <c r="N36" s="85" t="str">
        <f>IF('Informe Subasta'!$A$53="","",'Informe Subasta'!$I$53)</f>
      </c>
      <c r="O36" s="85" t="str">
        <f>IF('Informe Subasta'!$A$53="","",'Informe Subasta'!$J$53)</f>
      </c>
      <c r="P36" s="85" t="str">
        <f>IF('Informe Subasta'!$A$53="","",'Informe Subasta'!$K$53)</f>
      </c>
      <c r="Q36" s="85" t="str">
        <f>IF('Informe Subasta'!$A$53="","",'Informe Subasta'!$L$53)</f>
      </c>
      <c r="R36" s="83"/>
    </row>
    <row r="37" spans="2:18" x14ac:dyDescent="0.35">
      <c r="B37" s="81"/>
      <c r="C37" s="81"/>
      <c r="D37" s="81"/>
      <c r="E37" s="83"/>
      <c r="F37" s="83"/>
      <c r="G37" s="83"/>
      <c r="H37" s="83"/>
      <c r="I37" s="83"/>
      <c r="J37" s="83"/>
      <c r="K37" s="81"/>
      <c r="L37" s="81"/>
      <c r="M37" s="84" t="str">
        <f>IF('Informe Subasta'!$A$54="","","Yes")</f>
      </c>
      <c r="N37" s="85" t="str">
        <f>IF('Informe Subasta'!$A$54="","",'Informe Subasta'!$I$54)</f>
      </c>
      <c r="O37" s="85" t="str">
        <f>IF('Informe Subasta'!$A$54="","",'Informe Subasta'!$J$54)</f>
      </c>
      <c r="P37" s="85" t="str">
        <f>IF('Informe Subasta'!$A$54="","",'Informe Subasta'!$K$54)</f>
      </c>
      <c r="Q37" s="85" t="str">
        <f>IF('Informe Subasta'!$A$54="","",'Informe Subasta'!$L$54)</f>
      </c>
      <c r="R37" s="83"/>
    </row>
    <row r="38" spans="2:18" x14ac:dyDescent="0.35">
      <c r="B38" s="81"/>
      <c r="C38" s="81"/>
      <c r="D38" s="81"/>
      <c r="E38" s="83"/>
      <c r="F38" s="83"/>
      <c r="G38" s="83"/>
      <c r="H38" s="83"/>
      <c r="I38" s="83"/>
      <c r="J38" s="83"/>
      <c r="K38" s="81"/>
      <c r="L38" s="81"/>
      <c r="M38" s="84" t="str">
        <f>IF('Informe Subasta'!$A$55="","","Yes")</f>
      </c>
      <c r="N38" s="85" t="str">
        <f>IF('Informe Subasta'!$A$55="","",'Informe Subasta'!$I$55)</f>
      </c>
      <c r="O38" s="85" t="str">
        <f>IF('Informe Subasta'!$A$55="","",'Informe Subasta'!$J$55)</f>
      </c>
      <c r="P38" s="85" t="str">
        <f>IF('Informe Subasta'!$A$55="","",'Informe Subasta'!$K$55)</f>
      </c>
      <c r="Q38" s="85" t="str">
        <f>IF('Informe Subasta'!$A$55="","",'Informe Subasta'!$L$55)</f>
      </c>
      <c r="R38" s="83"/>
    </row>
    <row r="39" spans="2:18" x14ac:dyDescent="0.35">
      <c r="B39" s="81"/>
      <c r="C39" s="81"/>
      <c r="D39" s="81"/>
      <c r="E39" s="83"/>
      <c r="F39" s="83"/>
      <c r="G39" s="83"/>
      <c r="H39" s="83"/>
      <c r="I39" s="83"/>
      <c r="J39" s="83"/>
      <c r="K39" s="81"/>
      <c r="L39" s="81"/>
      <c r="M39" s="84" t="str">
        <f>IF('Informe Subasta'!$A$56="","","Yes")</f>
      </c>
      <c r="N39" s="85" t="str">
        <f>IF('Informe Subasta'!$A$56="","",'Informe Subasta'!$I$56)</f>
      </c>
      <c r="O39" s="85" t="str">
        <f>IF('Informe Subasta'!$A$56="","",'Informe Subasta'!$J$56)</f>
      </c>
      <c r="P39" s="85" t="str">
        <f>IF('Informe Subasta'!$A$56="","",'Informe Subasta'!$K$56)</f>
      </c>
      <c r="Q39" s="85" t="str">
        <f>IF('Informe Subasta'!$A$56="","",'Informe Subasta'!$L$56)</f>
      </c>
      <c r="R39" s="83"/>
    </row>
    <row r="40" spans="2:18" x14ac:dyDescent="0.35">
      <c r="B40" s="81"/>
      <c r="C40" s="81"/>
      <c r="D40" s="81"/>
      <c r="E40" s="83"/>
      <c r="F40" s="83"/>
      <c r="G40" s="83"/>
      <c r="H40" s="83"/>
      <c r="I40" s="83"/>
      <c r="J40" s="83"/>
      <c r="K40" s="81"/>
      <c r="L40" s="81"/>
      <c r="M40" s="84" t="str">
        <f>IF('Informe Subasta'!$A$57="","","Yes")</f>
      </c>
      <c r="N40" s="85" t="str">
        <f>IF('Informe Subasta'!$A$57="","",'Informe Subasta'!$I$57)</f>
      </c>
      <c r="O40" s="85" t="str">
        <f>IF('Informe Subasta'!$A$57="","",'Informe Subasta'!$J$57)</f>
      </c>
      <c r="P40" s="85" t="str">
        <f>IF('Informe Subasta'!$A$57="","",'Informe Subasta'!$K$57)</f>
      </c>
      <c r="Q40" s="85" t="str">
        <f>IF('Informe Subasta'!$A$57="","",'Informe Subasta'!$L$57)</f>
      </c>
      <c r="R40" s="83"/>
    </row>
    <row r="41" spans="2:18" x14ac:dyDescent="0.35">
      <c r="B41" s="81"/>
      <c r="C41" s="81"/>
      <c r="D41" s="81"/>
      <c r="E41" s="83"/>
      <c r="F41" s="83"/>
      <c r="G41" s="83"/>
      <c r="H41" s="83"/>
      <c r="I41" s="83"/>
      <c r="J41" s="83"/>
      <c r="K41" s="81"/>
      <c r="L41" s="81"/>
      <c r="M41" s="84" t="str">
        <f>IF('Informe Subasta'!$A$58="","","Yes")</f>
      </c>
      <c r="N41" s="85" t="str">
        <f>IF('Informe Subasta'!$A$58="","",'Informe Subasta'!$I$58)</f>
      </c>
      <c r="O41" s="85" t="str">
        <f>IF('Informe Subasta'!$A$58="","",'Informe Subasta'!$J$58)</f>
      </c>
      <c r="P41" s="85" t="str">
        <f>IF('Informe Subasta'!$A$58="","",'Informe Subasta'!$K$58)</f>
      </c>
      <c r="Q41" s="85" t="str">
        <f>IF('Informe Subasta'!$A$58="","",'Informe Subasta'!$L$58)</f>
      </c>
      <c r="R41" s="83"/>
    </row>
    <row r="42" spans="2:18" x14ac:dyDescent="0.35">
      <c r="B42" s="81"/>
      <c r="C42" s="81"/>
      <c r="D42" s="81"/>
      <c r="E42" s="83"/>
      <c r="F42" s="83"/>
      <c r="G42" s="83"/>
      <c r="H42" s="83"/>
      <c r="I42" s="83"/>
      <c r="J42" s="83"/>
      <c r="K42" s="81"/>
      <c r="L42" s="81"/>
      <c r="M42" s="84" t="str">
        <f>IF('Informe Subasta'!$A$59="","","Yes")</f>
      </c>
      <c r="N42" s="85" t="str">
        <f>IF('Informe Subasta'!$A$59="","",'Informe Subasta'!$I$59)</f>
      </c>
      <c r="O42" s="85" t="str">
        <f>IF('Informe Subasta'!$A$59="","",'Informe Subasta'!$J$59)</f>
      </c>
      <c r="P42" s="85" t="str">
        <f>IF('Informe Subasta'!$A$59="","",'Informe Subasta'!$K$59)</f>
      </c>
      <c r="Q42" s="85" t="str">
        <f>IF('Informe Subasta'!$A$59="","",'Informe Subasta'!$L$59)</f>
      </c>
      <c r="R42" s="83"/>
    </row>
  </sheetData>
  <mergeCells count="1">
    <mergeCell ref="N11:Q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1"/>
  <sheetViews>
    <sheetView topLeftCell="A17" zoomScale="85" zoomScaleNormal="85" workbookViewId="0">
      <selection activeCell="B9" sqref="B9"/>
    </sheetView>
  </sheetViews>
  <sheetFormatPr defaultRowHeight="14.5" x14ac:dyDescent="0.35"/>
  <cols>
    <col min="1" max="1" width="2.54296875" customWidth="1"/>
    <col min="2" max="2" width="25.7265625" customWidth="1"/>
    <col min="3" max="3" width="22.54296875" customWidth="1"/>
    <col min="4" max="4" width="20" customWidth="1"/>
    <col min="5" max="5" width="24.54296875" customWidth="1"/>
    <col min="6" max="6" width="26.7265625" customWidth="1"/>
    <col min="7" max="7" width="26.54296875" customWidth="1"/>
    <col min="8" max="8" width="22.54296875" customWidth="1"/>
    <col min="9" max="9" width="21.453125" customWidth="1"/>
    <col min="10" max="10" width="34.1796875" customWidth="1"/>
    <col min="11" max="11" width="17" customWidth="1"/>
    <col min="12" max="12" width="29.1796875" customWidth="1"/>
    <col min="13" max="13" width="18.54296875" customWidth="1"/>
    <col min="15" max="15" width="12.453125" customWidth="1"/>
    <col min="16" max="16" width="12.26953125" customWidth="1"/>
    <col min="17" max="17" width="14.26953125" customWidth="1"/>
    <col min="18" max="18" width="12.453125" customWidth="1"/>
    <col min="23" max="23" width="12.26953125" customWidth="1"/>
    <col min="24" max="24" width="11.453125" customWidth="1"/>
  </cols>
  <sheetData>
    <row r="1" spans="2:19" x14ac:dyDescent="0.35">
      <c r="D1" s="15"/>
    </row>
    <row r="2" spans="2:19" x14ac:dyDescent="0.35">
      <c r="B2" s="16" t="s">
        <v>0</v>
      </c>
      <c r="C2" s="15"/>
    </row>
    <row r="3" spans="2:19" x14ac:dyDescent="0.35">
      <c r="B3" s="17" t="s">
        <v>1</v>
      </c>
      <c r="C3" s="15"/>
      <c r="K3" s="18"/>
    </row>
    <row r="4" spans="2:19" x14ac:dyDescent="0.35">
      <c r="B4" s="19" t="s">
        <v>2</v>
      </c>
      <c r="D4" s="15"/>
    </row>
    <row r="5" spans="2:19" x14ac:dyDescent="0.35">
      <c r="F5" s="20" t="s">
        <v>3</v>
      </c>
      <c r="G5" s="21">
        <f>+C7+C8+C9+C12</f>
      </c>
    </row>
    <row r="6" spans="2:19" x14ac:dyDescent="0.35">
      <c r="B6" s="130" t="s">
        <v>4</v>
      </c>
      <c r="C6" s="131"/>
      <c r="D6" s="130" t="s">
        <v>5</v>
      </c>
      <c r="E6" s="131"/>
      <c r="F6" s="130" t="s">
        <v>6</v>
      </c>
      <c r="G6" s="131"/>
    </row>
    <row r="7" spans="2:19" x14ac:dyDescent="0.35">
      <c r="B7" s="22" t="s">
        <v>7</v>
      </c>
      <c r="C7" s="23">
        <f>'Informe Subasta'!$D$10</f>
      </c>
      <c r="D7" s="24" t="s">
        <v>7</v>
      </c>
      <c r="E7" s="25">
        <f>+$C$25</f>
      </c>
      <c r="F7" s="26" t="s">
        <v>8</v>
      </c>
      <c r="G7" s="25" t="e">
        <f>+$C$41</f>
      </c>
      <c r="I7" s="27"/>
    </row>
    <row r="8" spans="2:19" x14ac:dyDescent="0.35">
      <c r="B8" s="22" t="s">
        <v>9</v>
      </c>
      <c r="C8" s="28">
        <f>'Informe Subasta'!$D$11</f>
      </c>
      <c r="D8" s="22" t="s">
        <v>9</v>
      </c>
      <c r="E8" s="25">
        <f>+$D$25</f>
      </c>
      <c r="F8" s="26" t="s">
        <v>10</v>
      </c>
      <c r="G8" s="25" t="e">
        <f>+$D$41</f>
      </c>
      <c r="I8" s="27"/>
    </row>
    <row r="9" spans="2:19" x14ac:dyDescent="0.35">
      <c r="B9" s="29" t="s">
        <v>11</v>
      </c>
      <c r="C9" s="30">
        <f>'Informe Subasta'!$D$12</f>
      </c>
      <c r="D9" s="134" t="s">
        <v>11</v>
      </c>
      <c r="E9" s="136">
        <f>+$E$25</f>
      </c>
      <c r="F9" s="143" t="s">
        <v>12</v>
      </c>
      <c r="G9" s="132" t="e">
        <f>+$E$41</f>
      </c>
      <c r="H9" s="137" t="s">
        <v>13</v>
      </c>
      <c r="I9" s="27"/>
    </row>
    <row r="10" spans="2:19" x14ac:dyDescent="0.35">
      <c r="B10" s="31" t="s">
        <v>14</v>
      </c>
      <c r="C10" s="32">
        <f>G17</f>
      </c>
      <c r="D10" s="135"/>
      <c r="E10" s="133"/>
      <c r="F10" s="144"/>
      <c r="G10" s="133"/>
      <c r="H10" s="138"/>
    </row>
    <row r="11" spans="2:19" x14ac:dyDescent="0.35">
      <c r="B11" s="33" t="s">
        <v>15</v>
      </c>
      <c r="C11" s="34">
        <f>+I17</f>
      </c>
      <c r="D11" s="24" t="s">
        <v>15</v>
      </c>
      <c r="E11" s="25">
        <f>+$F$25</f>
      </c>
      <c r="F11" s="35" t="s">
        <v>15</v>
      </c>
      <c r="G11" s="34" t="e">
        <f>+$F$41</f>
      </c>
      <c r="H11" s="138"/>
      <c r="I11" s="20"/>
    </row>
    <row r="12" spans="2:19" x14ac:dyDescent="0.35">
      <c r="B12" s="22" t="s">
        <v>16</v>
      </c>
      <c r="C12" s="28">
        <f>'Informe Subasta'!$D$13</f>
      </c>
      <c r="D12" s="22" t="s">
        <v>16</v>
      </c>
      <c r="E12" s="36">
        <f>+$G$25</f>
      </c>
      <c r="F12" s="37" t="s">
        <v>16</v>
      </c>
      <c r="G12" s="25" t="e">
        <f>+$G$41</f>
      </c>
      <c r="I12" s="20"/>
    </row>
    <row r="13" spans="2:19" x14ac:dyDescent="0.35">
      <c r="B13" s="38" t="s">
        <v>17</v>
      </c>
      <c r="C13" s="39">
        <f>SUM(C7:C11)</f>
      </c>
      <c r="D13" s="38" t="s">
        <v>17</v>
      </c>
      <c r="E13" s="40">
        <f>SUM(E7:E11)</f>
      </c>
      <c r="F13" s="38" t="s">
        <v>17</v>
      </c>
      <c r="G13" s="40" t="e">
        <f>SUM(G7:G12)</f>
      </c>
    </row>
    <row r="15" spans="2:19" x14ac:dyDescent="0.35">
      <c r="B15" s="139" t="s">
        <v>18</v>
      </c>
      <c r="C15" s="140"/>
      <c r="D15" s="140"/>
      <c r="E15" s="140"/>
      <c r="F15" s="140"/>
      <c r="G15" s="140"/>
      <c r="H15" s="140"/>
      <c r="I15" s="140"/>
      <c r="J15" s="137" t="s">
        <v>19</v>
      </c>
      <c r="K15" s="71" t="s">
        <v>20</v>
      </c>
      <c r="S15" s="41"/>
    </row>
    <row r="16" spans="2:19" ht="27" customHeight="1" x14ac:dyDescent="0.35">
      <c r="B16" s="42" t="s">
        <v>21</v>
      </c>
      <c r="C16" s="42" t="s">
        <v>22</v>
      </c>
      <c r="D16" s="42" t="s">
        <v>23</v>
      </c>
      <c r="E16" s="42" t="s">
        <v>24</v>
      </c>
      <c r="F16" s="42" t="s">
        <v>25</v>
      </c>
      <c r="G16" s="42" t="s">
        <v>26</v>
      </c>
      <c r="H16" s="42" t="s">
        <v>27</v>
      </c>
      <c r="I16" s="42" t="s">
        <v>28</v>
      </c>
      <c r="J16" s="138"/>
      <c r="S16" s="41"/>
    </row>
    <row r="17" spans="1:27" x14ac:dyDescent="0.35">
      <c r="B17" s="43">
        <f>'Informe Subasta'!$D$15</f>
      </c>
      <c r="C17" s="43">
        <f>'Informe Subasta'!$D$16</f>
      </c>
      <c r="D17" s="44">
        <f>'Informe Subasta'!$D$22</f>
      </c>
      <c r="E17" s="44">
        <f>'Informe Subasta'!$D$23</f>
      </c>
      <c r="F17" s="45" t="str">
        <f>'Informe Subasta'!$D$21</f>
      </c>
      <c r="G17" s="46">
        <f>'Cálculo Intereses'!$D$21</f>
      </c>
      <c r="H17" s="45" t="str">
        <f>IF('Informe Subasta'!$D$17&gt;0,"Y","N")</f>
      </c>
      <c r="I17" s="47">
        <f>+IF($H$17="Y",($C$7+$C$8+$C$9+$C$12)*0.05,0)</f>
      </c>
      <c r="J17" s="138"/>
    </row>
    <row r="19" spans="1:27" x14ac:dyDescent="0.35">
      <c r="B19" s="145" t="s">
        <v>5</v>
      </c>
      <c r="C19" s="142"/>
      <c r="D19" s="142"/>
      <c r="E19" s="142"/>
      <c r="F19" s="142"/>
      <c r="G19" s="142"/>
      <c r="H19" s="142"/>
      <c r="I19" s="142"/>
    </row>
    <row r="20" spans="1:27" ht="27" customHeight="1" x14ac:dyDescent="0.35">
      <c r="A20" s="48"/>
      <c r="B20" s="49" t="s">
        <v>29</v>
      </c>
      <c r="C20" s="49" t="s">
        <v>30</v>
      </c>
      <c r="D20" s="50" t="s">
        <v>31</v>
      </c>
      <c r="E20" s="50" t="s">
        <v>32</v>
      </c>
      <c r="F20" s="50" t="s">
        <v>33</v>
      </c>
      <c r="G20" s="50" t="s">
        <v>34</v>
      </c>
      <c r="H20" s="51" t="s">
        <v>35</v>
      </c>
      <c r="I20" s="52" t="s">
        <v>36</v>
      </c>
      <c r="X20" s="48"/>
      <c r="Y20" s="48"/>
      <c r="Z20" s="48"/>
      <c r="AA20" s="48"/>
    </row>
    <row r="21" spans="1:27" x14ac:dyDescent="0.35">
      <c r="B21" s="53">
        <f>'Informe Subasta'!A30</f>
      </c>
      <c r="C21" s="54">
        <f>'Informe Subasta'!I30</f>
      </c>
      <c r="D21" s="55">
        <f>'Informe Subasta'!J30</f>
      </c>
      <c r="E21" s="55">
        <f>'Informe Subasta'!K30</f>
      </c>
      <c r="F21" s="55">
        <f>'Informe Subasta'!L30</f>
      </c>
      <c r="G21" s="56">
        <v>0</v>
      </c>
      <c r="H21" s="21">
        <f>+SUM(C21:F21)</f>
      </c>
      <c r="I21" s="57" t="e">
        <f>+H21/$H$25</f>
      </c>
    </row>
    <row r="22" spans="1:27" x14ac:dyDescent="0.35">
      <c r="B22" s="53">
        <f>'Informe Subasta'!A31</f>
      </c>
      <c r="C22" s="54">
        <f>'Informe Subasta'!I31</f>
      </c>
      <c r="D22" s="55">
        <f>'Informe Subasta'!J31</f>
      </c>
      <c r="E22" s="55">
        <f>'Informe Subasta'!K31</f>
      </c>
      <c r="F22" s="55">
        <f>'Informe Subasta'!L31</f>
      </c>
      <c r="G22" s="56">
        <v>0</v>
      </c>
      <c r="H22" s="21">
        <f>+SUM(C22:F22)</f>
      </c>
      <c r="I22" s="57" t="e">
        <f>+H22/$H$25</f>
      </c>
    </row>
    <row r="23" spans="1:27" x14ac:dyDescent="0.35">
      <c r="B23" s="53">
        <f>'Informe Subasta'!A32</f>
      </c>
      <c r="C23" s="54">
        <f>'Informe Subasta'!I32</f>
      </c>
      <c r="D23" s="55">
        <f>'Informe Subasta'!J32</f>
      </c>
      <c r="E23" s="55">
        <f>'Informe Subasta'!K32</f>
      </c>
      <c r="F23" s="55">
        <f>'Informe Subasta'!L32</f>
      </c>
      <c r="G23" s="56">
        <v>0</v>
      </c>
      <c r="H23" s="21">
        <f>+SUM(C23:F23)</f>
      </c>
      <c r="I23" s="57" t="e">
        <f>+H23/$H$25</f>
      </c>
    </row>
    <row r="24" spans="1:27" x14ac:dyDescent="0.35">
      <c r="B24" s="53">
        <f>'Informe Subasta'!A33</f>
      </c>
      <c r="C24" s="54">
        <f>'Informe Subasta'!I33</f>
      </c>
      <c r="D24" s="55">
        <f>'Informe Subasta'!J33</f>
      </c>
      <c r="E24" s="55">
        <f>'Informe Subasta'!K33</f>
      </c>
      <c r="F24" s="55">
        <f>'Informe Subasta'!L33</f>
      </c>
      <c r="G24" s="56">
        <v>0</v>
      </c>
      <c r="H24" s="21">
        <f>+SUM(C24:F24)</f>
      </c>
      <c r="I24" s="57" t="e">
        <f>+H24/$H$25</f>
      </c>
    </row>
    <row r="25" spans="1:27" x14ac:dyDescent="0.35">
      <c r="B25" s="58" t="s">
        <v>37</v>
      </c>
      <c r="C25" s="59">
        <f t="shared" ref="C25:I25" si="0">+SUM(C$21:C$24)</f>
      </c>
      <c r="D25" s="59">
        <f t="shared" si="0"/>
      </c>
      <c r="E25" s="59">
        <f t="shared" si="0"/>
      </c>
      <c r="F25" s="59">
        <f t="shared" si="0"/>
      </c>
      <c r="G25" s="59">
        <f t="shared" si="0"/>
      </c>
      <c r="H25" s="59">
        <f t="shared" si="0"/>
      </c>
      <c r="I25" s="60" t="e">
        <f t="shared" si="0"/>
      </c>
    </row>
    <row r="27" spans="1:27" x14ac:dyDescent="0.35">
      <c r="B27" s="141" t="s">
        <v>38</v>
      </c>
      <c r="C27" s="142"/>
      <c r="D27" s="142"/>
      <c r="E27" s="142"/>
      <c r="F27" s="142"/>
      <c r="G27" s="142"/>
      <c r="H27" s="142"/>
      <c r="L27" s="27"/>
    </row>
    <row r="28" spans="1:27" x14ac:dyDescent="0.35">
      <c r="B28" s="49" t="s">
        <v>29</v>
      </c>
      <c r="C28" s="49" t="s">
        <v>7</v>
      </c>
      <c r="D28" s="50" t="s">
        <v>9</v>
      </c>
      <c r="E28" s="50" t="s">
        <v>11</v>
      </c>
      <c r="F28" s="50" t="s">
        <v>15</v>
      </c>
      <c r="G28" s="50" t="s">
        <v>16</v>
      </c>
      <c r="H28" s="51" t="s">
        <v>39</v>
      </c>
    </row>
    <row r="29" spans="1:27" x14ac:dyDescent="0.35">
      <c r="B29" s="61">
        <v>1</v>
      </c>
      <c r="C29" s="62" t="e">
        <f>$C$7*$I21</f>
      </c>
      <c r="D29" s="63" t="e">
        <f>$C$8*I21</f>
      </c>
      <c r="E29" s="63" t="e">
        <f>($C$9+$C$10)*$I21</f>
      </c>
      <c r="F29" s="63" t="e">
        <f>$C$11*$I21</f>
      </c>
      <c r="G29" s="63" t="e">
        <f>$C$12*$I21</f>
      </c>
      <c r="H29" s="64" t="e">
        <f>SUM(C29:G29)</f>
      </c>
    </row>
    <row r="30" spans="1:27" x14ac:dyDescent="0.35">
      <c r="B30" s="61">
        <v>2</v>
      </c>
      <c r="C30" s="62" t="e">
        <f>$C$7*$I22</f>
      </c>
      <c r="D30" s="63" t="e">
        <f>$C$8*I22</f>
      </c>
      <c r="E30" s="63" t="e">
        <f>($C$9+$C$10)*$I22</f>
      </c>
      <c r="F30" s="63" t="e">
        <f>$C$11*$I22</f>
      </c>
      <c r="G30" s="63" t="e">
        <f>$C$12*$I22</f>
      </c>
      <c r="H30" s="64" t="e">
        <f>SUM(C30:G30)</f>
      </c>
      <c r="R30" s="27"/>
    </row>
    <row r="31" spans="1:27" x14ac:dyDescent="0.35">
      <c r="B31" s="61">
        <v>3</v>
      </c>
      <c r="C31" s="62" t="e">
        <f>$C$7*$I23</f>
      </c>
      <c r="D31" s="63" t="e">
        <f>$C$8*I23</f>
      </c>
      <c r="E31" s="63" t="e">
        <f>($C$9+$C$10)*$I23</f>
      </c>
      <c r="F31" s="63" t="e">
        <f>$C$11*$I23</f>
      </c>
      <c r="G31" s="63" t="e">
        <f>$C$12*$I23</f>
      </c>
      <c r="H31" s="64" t="e">
        <f>SUM(C31:G31)</f>
      </c>
    </row>
    <row r="32" spans="1:27" x14ac:dyDescent="0.35">
      <c r="B32" s="65">
        <v>4</v>
      </c>
      <c r="C32" s="62" t="e">
        <f>$C$7*$I24</f>
      </c>
      <c r="D32" s="63" t="e">
        <f>$C$8*I24</f>
      </c>
      <c r="E32" s="63" t="e">
        <f>($C$9+$C$10)*$I24</f>
      </c>
      <c r="F32" s="63" t="e">
        <f>$C$11*$I24</f>
      </c>
      <c r="G32" s="63" t="e">
        <f>$C$12*$I24</f>
      </c>
      <c r="H32" s="64" t="e">
        <f>SUM(C32:G32)</f>
      </c>
    </row>
    <row r="33" spans="2:8" x14ac:dyDescent="0.35">
      <c r="B33" s="66" t="s">
        <v>37</v>
      </c>
      <c r="C33" s="59" t="e">
        <f t="shared" ref="C33:H33" si="1">+SUM(C$29:C$32)</f>
      </c>
      <c r="D33" s="59" t="e">
        <f t="shared" si="1"/>
      </c>
      <c r="E33" s="59" t="e">
        <f t="shared" si="1"/>
      </c>
      <c r="F33" s="59" t="e">
        <f t="shared" si="1"/>
      </c>
      <c r="G33" s="59" t="e">
        <f t="shared" si="1"/>
      </c>
      <c r="H33" s="59" t="e">
        <f t="shared" si="1"/>
      </c>
    </row>
    <row r="35" spans="2:8" x14ac:dyDescent="0.35">
      <c r="B35" s="141" t="s">
        <v>40</v>
      </c>
      <c r="C35" s="142"/>
      <c r="D35" s="142"/>
      <c r="E35" s="142"/>
      <c r="F35" s="142"/>
      <c r="G35" s="142"/>
      <c r="H35" s="142"/>
    </row>
    <row r="36" spans="2:8" x14ac:dyDescent="0.35">
      <c r="B36" s="49" t="s">
        <v>29</v>
      </c>
      <c r="C36" s="49" t="s">
        <v>7</v>
      </c>
      <c r="D36" s="50" t="s">
        <v>9</v>
      </c>
      <c r="E36" s="50" t="s">
        <v>11</v>
      </c>
      <c r="F36" s="50" t="s">
        <v>15</v>
      </c>
      <c r="G36" s="50" t="s">
        <v>16</v>
      </c>
      <c r="H36" s="51" t="s">
        <v>39</v>
      </c>
    </row>
    <row r="37" spans="2:8" x14ac:dyDescent="0.35">
      <c r="B37" s="61">
        <v>1</v>
      </c>
      <c r="C37" s="62" t="e">
        <f>MIN(($C$7*$I21),$C21)</f>
      </c>
      <c r="D37" s="62" t="e">
        <f>MIN(($C$8*$I21),$D21)</f>
      </c>
      <c r="E37" s="62" t="e">
        <f>MIN((($C$9+$C$10)*$I21),$E21)</f>
      </c>
      <c r="F37" s="62" t="e">
        <f>MIN(($C$11*$I21),$F21)</f>
      </c>
      <c r="G37" s="62" t="e">
        <f>MIN(($C$12*$I21),$G21)</f>
      </c>
      <c r="H37" s="64" t="e">
        <f>SUM(C37:G37)</f>
      </c>
    </row>
    <row r="38" spans="2:8" x14ac:dyDescent="0.35">
      <c r="B38" s="61">
        <v>2</v>
      </c>
      <c r="C38" s="62" t="e">
        <f>MIN(($C$7*$I22),$C22)</f>
      </c>
      <c r="D38" s="62" t="e">
        <f>MIN(($C$8*$I22),$D22)</f>
      </c>
      <c r="E38" s="62" t="e">
        <f>MIN((($C$9+$C$10)*$I22),$E22)</f>
      </c>
      <c r="F38" s="62" t="e">
        <f>MIN(($C$11*$I22),$F22)</f>
      </c>
      <c r="G38" s="62" t="e">
        <f>MIN(($C$12*$I22),$G22)</f>
      </c>
      <c r="H38" s="64" t="e">
        <f>SUM(C38:G38)</f>
      </c>
    </row>
    <row r="39" spans="2:8" x14ac:dyDescent="0.35">
      <c r="B39" s="61">
        <v>3</v>
      </c>
      <c r="C39" s="62" t="e">
        <f>MIN(($C$7*$I23),$C23)</f>
      </c>
      <c r="D39" s="62" t="e">
        <f>MIN(($C$8*$I23),$D23)</f>
      </c>
      <c r="E39" s="62" t="e">
        <f>MIN((($C$9+$C$10)*$I23),$E23)</f>
      </c>
      <c r="F39" s="62" t="e">
        <f>MIN(($C$11*$I23),$F23)</f>
      </c>
      <c r="G39" s="62" t="e">
        <f>MIN(($C$12*$I23),$G23)</f>
      </c>
      <c r="H39" s="64" t="e">
        <f>SUM(C39:G39)</f>
      </c>
    </row>
    <row r="40" spans="2:8" x14ac:dyDescent="0.35">
      <c r="B40" s="65">
        <v>4</v>
      </c>
      <c r="C40" s="62" t="e">
        <f>MIN(($C$7*$I24),$C24)</f>
      </c>
      <c r="D40" s="62" t="e">
        <f>MIN(($C$8*$I24),$D24)</f>
      </c>
      <c r="E40" s="62" t="e">
        <f>MIN((($C$9+$C$10)*$I24),$E24)</f>
      </c>
      <c r="F40" s="62" t="e">
        <f>MIN(($C$11*$I24),$F24)</f>
      </c>
      <c r="G40" s="62" t="e">
        <f>MIN(($C$12*$I24),$G24)</f>
      </c>
      <c r="H40" s="64" t="e">
        <f>SUM(C40:G40)</f>
      </c>
    </row>
    <row r="41" spans="2:8" x14ac:dyDescent="0.35">
      <c r="B41" s="66" t="s">
        <v>37</v>
      </c>
      <c r="C41" s="59" t="e">
        <f t="shared" ref="C41:H41" si="2">+SUM(C$37:C$40)</f>
      </c>
      <c r="D41" s="59" t="e">
        <f t="shared" si="2"/>
      </c>
      <c r="E41" s="59" t="e">
        <f t="shared" si="2"/>
      </c>
      <c r="F41" s="59" t="e">
        <f t="shared" si="2"/>
      </c>
      <c r="G41" s="59" t="e">
        <f t="shared" si="2"/>
      </c>
      <c r="H41" s="59" t="e">
        <f t="shared" si="2"/>
      </c>
    </row>
  </sheetData>
  <mergeCells count="13">
    <mergeCell ref="J15:J17"/>
    <mergeCell ref="F6:G6"/>
    <mergeCell ref="B19:I19"/>
    <mergeCell ref="H9:H11"/>
    <mergeCell ref="B15:I15"/>
    <mergeCell ref="B27:H27"/>
    <mergeCell ref="F9:F10"/>
    <mergeCell ref="B35:H35"/>
    <mergeCell ref="D6:E6"/>
    <mergeCell ref="B6:C6"/>
    <mergeCell ref="G9:G10"/>
    <mergeCell ref="D9:D10"/>
    <mergeCell ref="E9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B20"/>
  <sheetViews>
    <sheetView topLeftCell="A2" workbookViewId="0">
      <selection activeCell="B9" sqref="B9"/>
    </sheetView>
  </sheetViews>
  <sheetFormatPr defaultRowHeight="14.5" x14ac:dyDescent="0.35"/>
  <cols>
    <col min="1" max="1" width="3" customWidth="1"/>
    <col min="2" max="2" width="118" customWidth="1"/>
  </cols>
  <sheetData>
    <row r="2" spans="2:2" ht="21" customHeight="1" x14ac:dyDescent="0.35">
      <c r="B2" s="1" t="s">
        <v>257</v>
      </c>
    </row>
    <row r="4" spans="2:2" ht="30" customHeight="1" x14ac:dyDescent="0.35">
      <c r="B4" s="2" t="s">
        <v>258</v>
      </c>
    </row>
    <row r="5" spans="2:2" ht="15.75" customHeight="1" x14ac:dyDescent="0.35">
      <c r="B5" s="3" t="s">
        <v>259</v>
      </c>
    </row>
    <row r="6" spans="2:2" ht="30" customHeight="1" x14ac:dyDescent="0.35">
      <c r="B6" s="2" t="s">
        <v>260</v>
      </c>
    </row>
    <row r="7" spans="2:2" ht="30" customHeight="1" x14ac:dyDescent="0.35">
      <c r="B7" s="2" t="s">
        <v>261</v>
      </c>
    </row>
    <row r="8" spans="2:2" ht="30" customHeight="1" x14ac:dyDescent="0.35">
      <c r="B8" s="70" t="s">
        <v>262</v>
      </c>
    </row>
    <row r="9" spans="2:2" ht="30" customHeight="1" x14ac:dyDescent="0.35">
      <c r="B9" s="2" t="s">
        <v>263</v>
      </c>
    </row>
    <row r="10" spans="2:2" ht="15.75" customHeight="1" x14ac:dyDescent="0.35">
      <c r="B10" s="3" t="s">
        <v>264</v>
      </c>
    </row>
    <row r="11" spans="2:2" ht="30" customHeight="1" x14ac:dyDescent="0.35">
      <c r="B11" s="2" t="s">
        <v>265</v>
      </c>
    </row>
    <row r="12" spans="2:2" ht="15.75" customHeight="1" x14ac:dyDescent="0.35">
      <c r="B12" s="3" t="s">
        <v>266</v>
      </c>
    </row>
    <row r="13" spans="2:2" ht="30" customHeight="1" x14ac:dyDescent="0.35">
      <c r="B13" s="70" t="s">
        <v>267</v>
      </c>
    </row>
    <row r="15" spans="2:2" x14ac:dyDescent="0.35">
      <c r="B15" s="74" t="s">
        <v>268</v>
      </c>
    </row>
    <row r="16" spans="2:2" x14ac:dyDescent="0.35">
      <c r="B16" s="86" t="s">
        <v>269</v>
      </c>
    </row>
    <row r="17" spans="2:2" x14ac:dyDescent="0.35">
      <c r="B17" s="86" t="s">
        <v>270</v>
      </c>
    </row>
    <row r="18" spans="2:2" x14ac:dyDescent="0.35">
      <c r="B18" s="86" t="s">
        <v>271</v>
      </c>
    </row>
    <row r="19" spans="2:2" x14ac:dyDescent="0.35">
      <c r="B19" s="86" t="s">
        <v>272</v>
      </c>
    </row>
    <row r="20" spans="2:2" x14ac:dyDescent="0.35">
      <c r="B20" s="87" t="s">
        <v>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"/>
  <sheetViews>
    <sheetView workbookViewId="0">
      <pane xSplit="2" ySplit="1" topLeftCell="C2" activePane="bottomRight" state="frozen"/>
      <selection pane="topRight"/>
      <selection pane="bottomLeft"/>
      <selection pane="bottomRight" activeCell="A10" sqref="A10"/>
    </sheetView>
  </sheetViews>
  <sheetFormatPr defaultRowHeight="14.5" x14ac:dyDescent="0.35"/>
  <cols>
    <col min="1" max="1" width="15.54296875" bestFit="1" customWidth="1"/>
    <col min="2" max="2" width="6.7265625" bestFit="1" customWidth="1"/>
    <col min="3" max="3" width="10.54296875" bestFit="1" customWidth="1"/>
    <col min="4" max="4" width="9.54296875" bestFit="1" customWidth="1"/>
    <col min="5" max="5" width="10.54296875" bestFit="1" customWidth="1"/>
    <col min="6" max="6" width="9.54296875" bestFit="1" customWidth="1"/>
    <col min="7" max="7" width="10.54296875" bestFit="1" customWidth="1"/>
    <col min="8" max="9" width="10.7265625" bestFit="1" customWidth="1"/>
    <col min="10" max="10" width="9.54296875" bestFit="1" customWidth="1"/>
    <col min="11" max="11" width="8" bestFit="1" customWidth="1"/>
    <col min="12" max="12" width="9" bestFit="1" customWidth="1"/>
    <col min="13" max="13" width="8.81640625" bestFit="1" customWidth="1"/>
    <col min="14" max="14" width="17.54296875" bestFit="1" customWidth="1"/>
    <col min="15" max="15" width="8.7265625" bestFit="1" customWidth="1"/>
    <col min="16" max="16" width="8.54296875" bestFit="1" customWidth="1"/>
    <col min="17" max="17" width="10.7265625" bestFit="1" customWidth="1"/>
    <col min="18" max="18" width="6.453125" bestFit="1" customWidth="1"/>
    <col min="19" max="19" width="8.54296875" bestFit="1" customWidth="1"/>
    <col min="20" max="20" width="7.26953125" bestFit="1" customWidth="1"/>
    <col min="21" max="21" width="7.81640625" bestFit="1" customWidth="1"/>
    <col min="22" max="22" width="8.7265625" bestFit="1" customWidth="1"/>
    <col min="23" max="23" width="7" bestFit="1" customWidth="1"/>
    <col min="24" max="24" width="5.81640625" bestFit="1" customWidth="1"/>
    <col min="25" max="25" width="10.54296875" bestFit="1" customWidth="1"/>
    <col min="26" max="26" width="11.54296875" bestFit="1" customWidth="1"/>
    <col min="27" max="27" width="9.54296875" bestFit="1" customWidth="1"/>
    <col min="28" max="29" width="11.54296875" bestFit="1" customWidth="1"/>
    <col min="30" max="30" width="5" bestFit="1" customWidth="1"/>
    <col min="31" max="31" width="12" bestFit="1" customWidth="1"/>
    <col min="32" max="32" width="11.54296875" bestFit="1" customWidth="1"/>
    <col min="33" max="33" width="10.54296875" bestFit="1" customWidth="1"/>
    <col min="34" max="34" width="7.81640625" bestFit="1" customWidth="1"/>
    <col min="35" max="35" width="11.54296875" bestFit="1" customWidth="1"/>
  </cols>
  <sheetData>
    <row r="1" spans="1:38" ht="36.75" customHeight="1" x14ac:dyDescent="0.35">
      <c r="A1" s="117" t="s">
        <v>274</v>
      </c>
      <c r="B1" s="117" t="s">
        <v>52</v>
      </c>
      <c r="C1" s="117" t="s">
        <v>50</v>
      </c>
      <c r="D1" s="117" t="s">
        <v>53</v>
      </c>
      <c r="E1" s="117" t="s">
        <v>54</v>
      </c>
      <c r="F1" s="117" t="s">
        <v>239</v>
      </c>
      <c r="G1" s="117" t="s">
        <v>9</v>
      </c>
      <c r="H1" s="117" t="s">
        <v>275</v>
      </c>
      <c r="I1" s="117" t="s">
        <v>276</v>
      </c>
      <c r="J1" s="117" t="s">
        <v>277</v>
      </c>
      <c r="K1" s="117" t="s">
        <v>74</v>
      </c>
      <c r="L1" s="117" t="s">
        <v>77</v>
      </c>
      <c r="M1" s="117" t="s">
        <v>87</v>
      </c>
      <c r="N1" s="117" t="s">
        <v>174</v>
      </c>
      <c r="O1" s="117" t="s">
        <v>278</v>
      </c>
      <c r="P1" s="117" t="s">
        <v>279</v>
      </c>
      <c r="Q1" s="117" t="s">
        <v>280</v>
      </c>
      <c r="R1" s="117" t="s">
        <v>281</v>
      </c>
      <c r="S1" s="117" t="s">
        <v>282</v>
      </c>
      <c r="T1" s="117" t="s">
        <v>100</v>
      </c>
      <c r="U1" s="117" t="s">
        <v>283</v>
      </c>
      <c r="V1" s="117" t="s">
        <v>102</v>
      </c>
      <c r="W1" s="117" t="s">
        <v>284</v>
      </c>
      <c r="X1" s="117" t="s">
        <v>285</v>
      </c>
      <c r="Y1" s="117" t="s">
        <v>286</v>
      </c>
      <c r="Z1" s="117" t="s">
        <v>287</v>
      </c>
      <c r="AA1" s="117" t="s">
        <v>288</v>
      </c>
      <c r="AB1" s="117" t="s">
        <v>289</v>
      </c>
      <c r="AC1" s="117" t="s">
        <v>290</v>
      </c>
      <c r="AD1" s="117" t="s">
        <v>291</v>
      </c>
      <c r="AE1" s="117" t="s">
        <v>292</v>
      </c>
      <c r="AF1" s="117" t="s">
        <v>293</v>
      </c>
      <c r="AG1" s="117" t="s">
        <v>294</v>
      </c>
      <c r="AH1" s="117" t="s">
        <v>295</v>
      </c>
      <c r="AI1" s="117" t="s">
        <v>296</v>
      </c>
      <c r="AJ1" s="117" t="s">
        <v>297</v>
      </c>
      <c r="AK1" s="117" t="s">
        <v>298</v>
      </c>
      <c r="AL1" s="117" t="s">
        <v>299</v>
      </c>
    </row>
    <row r="2" spans="1:38" x14ac:dyDescent="0.35">
      <c r="C2" s="76"/>
      <c r="D2" s="76"/>
      <c r="E2" s="76"/>
      <c r="F2" s="76"/>
      <c r="G2" s="76"/>
      <c r="H2" s="77"/>
      <c r="I2" s="77"/>
      <c r="Q2" s="77"/>
      <c r="Y2" s="76"/>
      <c r="Z2" s="76"/>
      <c r="AA2" s="76"/>
      <c r="AB2" s="76"/>
      <c r="AC2" s="76"/>
      <c r="AF2" s="76"/>
      <c r="AG2" s="76"/>
      <c r="AH2" s="78"/>
      <c r="AI2" s="76"/>
    </row>
    <row r="3" spans="1:38" x14ac:dyDescent="0.35">
      <c r="C3" s="76"/>
      <c r="D3" s="76"/>
      <c r="E3" s="76"/>
      <c r="F3" s="76"/>
      <c r="G3" s="76"/>
      <c r="H3" s="77"/>
      <c r="I3" s="77"/>
      <c r="Q3" s="77"/>
      <c r="Y3" s="76"/>
      <c r="Z3" s="76"/>
      <c r="AA3" s="76"/>
      <c r="AB3" s="76"/>
      <c r="AC3" s="76"/>
      <c r="AF3" s="76"/>
      <c r="AG3" s="76"/>
      <c r="AH3" s="78"/>
      <c r="AI3" s="76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"/>
  <sheetViews>
    <sheetView workbookViewId="0">
      <pane xSplit="2" ySplit="1" topLeftCell="C2" activePane="bottomRight" state="frozen"/>
      <selection pane="topRight"/>
      <selection pane="bottomLeft"/>
      <selection pane="bottomRight" activeCell="D5" sqref="D5"/>
    </sheetView>
  </sheetViews>
  <sheetFormatPr defaultRowHeight="14.5" x14ac:dyDescent="0.35"/>
  <cols>
    <col min="1" max="1" width="6.7265625" bestFit="1" customWidth="1"/>
    <col min="2" max="2" width="6" bestFit="1" customWidth="1"/>
    <col min="3" max="3" width="3.1796875" bestFit="1" customWidth="1"/>
    <col min="4" max="4" width="8.54296875" bestFit="1" customWidth="1"/>
    <col min="5" max="6" width="11.54296875" bestFit="1" customWidth="1"/>
    <col min="7" max="8" width="10.54296875" bestFit="1" customWidth="1"/>
    <col min="9" max="9" width="9.54296875" bestFit="1" customWidth="1"/>
    <col min="11" max="11" width="6.81640625" bestFit="1" customWidth="1"/>
    <col min="12" max="12" width="8.453125" bestFit="1" customWidth="1"/>
    <col min="13" max="13" width="6.1796875" bestFit="1" customWidth="1"/>
    <col min="14" max="14" width="10.54296875" bestFit="1" customWidth="1"/>
    <col min="16" max="16" width="10.54296875" bestFit="1" customWidth="1"/>
    <col min="17" max="17" width="9.54296875" bestFit="1" customWidth="1"/>
    <col min="18" max="19" width="10.54296875" bestFit="1" customWidth="1"/>
    <col min="20" max="22" width="11.54296875" bestFit="1" customWidth="1"/>
    <col min="23" max="23" width="10.54296875" bestFit="1" customWidth="1"/>
    <col min="24" max="24" width="8.26953125" bestFit="1" customWidth="1"/>
  </cols>
  <sheetData>
    <row r="1" spans="1:25" ht="24.75" customHeight="1" x14ac:dyDescent="0.35">
      <c r="A1" s="117" t="s">
        <v>52</v>
      </c>
      <c r="B1" s="117" t="s">
        <v>50</v>
      </c>
      <c r="C1" s="117" t="s">
        <v>117</v>
      </c>
      <c r="D1" s="117" t="s">
        <v>118</v>
      </c>
      <c r="E1" s="117" t="s">
        <v>119</v>
      </c>
      <c r="F1" s="117" t="s">
        <v>120</v>
      </c>
      <c r="G1" s="117" t="s">
        <v>300</v>
      </c>
      <c r="H1" s="117" t="s">
        <v>301</v>
      </c>
      <c r="I1" s="117" t="s">
        <v>302</v>
      </c>
      <c r="J1" s="117" t="s">
        <v>303</v>
      </c>
      <c r="K1" s="117" t="s">
        <v>141</v>
      </c>
      <c r="L1" s="117" t="s">
        <v>304</v>
      </c>
      <c r="M1" s="117" t="s">
        <v>305</v>
      </c>
      <c r="N1" s="117" t="s">
        <v>111</v>
      </c>
      <c r="O1" s="117" t="s">
        <v>306</v>
      </c>
      <c r="P1" s="117" t="s">
        <v>307</v>
      </c>
      <c r="Q1" s="117" t="s">
        <v>308</v>
      </c>
      <c r="R1" s="117" t="s">
        <v>309</v>
      </c>
      <c r="S1" s="117" t="s">
        <v>310</v>
      </c>
      <c r="T1" s="117" t="s">
        <v>311</v>
      </c>
      <c r="U1" s="117" t="s">
        <v>312</v>
      </c>
      <c r="V1" s="117" t="s">
        <v>296</v>
      </c>
      <c r="W1" s="117" t="s">
        <v>313</v>
      </c>
      <c r="X1" s="117" t="s">
        <v>297</v>
      </c>
      <c r="Y1" s="117" t="s">
        <v>314</v>
      </c>
    </row>
    <row r="2" spans="1:25" x14ac:dyDescent="0.35">
      <c r="E2" s="76"/>
      <c r="F2" s="76"/>
      <c r="G2" s="76"/>
      <c r="H2" s="76"/>
      <c r="I2" s="76"/>
      <c r="M2" s="78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</row>
    <row r="3" spans="1:25" x14ac:dyDescent="0.35">
      <c r="E3" s="76"/>
      <c r="F3" s="76"/>
      <c r="G3" s="76"/>
      <c r="H3" s="76"/>
      <c r="I3" s="76"/>
      <c r="M3" s="78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</row>
    <row r="4" spans="1:25" x14ac:dyDescent="0.35">
      <c r="E4" s="76"/>
      <c r="F4" s="76"/>
      <c r="G4" s="76"/>
      <c r="H4" s="76"/>
      <c r="I4" s="76"/>
      <c r="M4" s="78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</row>
    <row r="5" spans="1:25" x14ac:dyDescent="0.35">
      <c r="E5" s="76"/>
      <c r="F5" s="76"/>
      <c r="G5" s="76"/>
      <c r="H5" s="76"/>
      <c r="I5" s="76"/>
      <c r="M5" s="78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79998168889431442"/>
    <pageSetUpPr fitToPage="1"/>
  </sheetPr>
  <dimension ref="A1:P304"/>
  <sheetViews>
    <sheetView workbookViewId="0"/>
  </sheetViews>
  <sheetFormatPr defaultRowHeight="14.5" x14ac:dyDescent="0.35"/>
  <cols>
    <col min="1" max="1" width="26" customWidth="1"/>
    <col min="2" max="3" width="3" customWidth="1"/>
    <col min="4" max="4" width="11" customWidth="1"/>
    <col min="5" max="5" width="7.26953125" customWidth="1"/>
    <col min="6" max="6" width="2" customWidth="1"/>
    <col min="7" max="7" width="6" customWidth="1"/>
    <col min="8" max="9" width="13" customWidth="1"/>
    <col min="10" max="10" width="7" customWidth="1"/>
    <col min="11" max="11" width="13" customWidth="1"/>
    <col min="12" max="14" width="12" customWidth="1"/>
    <col min="15" max="15" width="14" customWidth="1"/>
    <col min="16" max="16" width="16" customWidth="1"/>
  </cols>
  <sheetData>
    <row r="1" spans="1:16" ht="15.75" customHeight="1" x14ac:dyDescent="0.35">
      <c r="A1" s="184" t="s">
        <v>160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 x14ac:dyDescent="0.35">
      <c r="A2" s="187" t="s">
        <v>161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4" spans="1:16" ht="26.15" customHeight="1" x14ac:dyDescent="0.35">
      <c r="A4" s="152" t="s">
        <v>162</v>
      </c>
      <c r="B4" s="147"/>
      <c r="C4" s="147"/>
      <c r="D4" s="147"/>
      <c r="E4" s="148"/>
      <c r="G4" s="4" t="s">
        <v>163</v>
      </c>
      <c r="H4" s="4" t="s">
        <v>164</v>
      </c>
      <c r="I4" s="4" t="s">
        <v>165</v>
      </c>
      <c r="J4" s="4" t="s">
        <v>166</v>
      </c>
      <c r="K4" s="4" t="s">
        <v>167</v>
      </c>
      <c r="L4" s="4" t="s">
        <v>168</v>
      </c>
      <c r="M4" s="4" t="s">
        <v>169</v>
      </c>
      <c r="N4" s="4" t="s">
        <v>170</v>
      </c>
      <c r="O4" s="4" t="s">
        <v>171</v>
      </c>
      <c r="P4" s="4" t="s">
        <v>172</v>
      </c>
    </row>
    <row r="5" spans="1:16" x14ac:dyDescent="0.35">
      <c r="A5" s="146" t="s">
        <v>57</v>
      </c>
      <c r="B5" s="147"/>
      <c r="C5" s="148"/>
      <c r="D5" s="167">
        <f>'Informe Subasta'!$D$10</f>
      </c>
      <c r="E5" s="148"/>
      <c r="G5" s="11">
        <f t="shared" ref="G5:G68" si="0">IF(H5="","",ROW()-4)</f>
      </c>
      <c r="H5" s="12">
        <f>$D$6</f>
      </c>
      <c r="I5" s="12">
        <f t="shared" ref="I5:I68" si="1">IF(H5="","",MIN(IF($D$18="LEGAL",DATE(YEAR(H5)+1,1,1),EDATE($D$12,$D$11*(INT((((YEAR(H5)-YEAR($D$12))*12+(MONTH(H5)-MONTH($D$12))-IF(DAY(H5)&lt;DAY($D$12),1,0))/$D$11))+1))),$D$7))</f>
      </c>
      <c r="J5" s="11">
        <f t="shared" ref="J5:J68" si="2">IF(H5="","",I5-H5)</f>
      </c>
      <c r="K5" s="12">
        <f>IF(H5="","",IF($D$18="LEGAL",H5,EDATE($D$12,-$D$13)))</f>
      </c>
      <c r="L5" s="13">
        <f>IF(H5="","",IFERROR(INDEX('Tipos BdE'!$B$7:$M$336,MATCH(DATE(YEAR(K5),MONTH(K5),1),'Tipos BdE'!$A$7:$A$336,1),MATCH($D$9,'Tipos BdE'!$B$6:$M$6,0)),0))</f>
      </c>
      <c r="M5" s="13">
        <f t="shared" ref="M5:M68" si="3">IF(H5="","",IF($D$18="LEGAL",0,$D$10))</f>
      </c>
      <c r="N5" s="13">
        <f t="shared" ref="N5:N68" si="4">IF(H5="","",IF(AND($D$14="Sí",(L5+M5)&lt;0),0,L5+M5))</f>
      </c>
      <c r="O5" s="14">
        <f t="shared" ref="O5:O68" si="5">IF(H5="","",$D$5*N5*J5/36500)</f>
      </c>
      <c r="P5" s="14">
        <f>IF(H5="","",$D$5+SUM($O$5:O5))</f>
      </c>
    </row>
    <row r="6" spans="1:16" x14ac:dyDescent="0.35">
      <c r="A6" s="146" t="s">
        <v>173</v>
      </c>
      <c r="B6" s="147"/>
      <c r="C6" s="148"/>
      <c r="D6" s="182">
        <f>'Informe Subasta'!$D$15</f>
      </c>
      <c r="E6" s="148"/>
      <c r="G6" s="11">
        <f t="shared" si="0"/>
      </c>
      <c r="H6" s="12">
        <f t="shared" ref="H6:H69" si="6">IF(OR(I5="",I5&gt;=$D$7),"",I5)</f>
      </c>
      <c r="I6" s="12">
        <f t="shared" si="1"/>
      </c>
      <c r="J6" s="11">
        <f t="shared" si="2"/>
      </c>
      <c r="K6" s="12">
        <f t="shared" ref="K6:K69" si="7">IF(H6="","",IF($D$18="LEGAL",H6,EDATE(H6,-$D$13)))</f>
      </c>
      <c r="L6" s="13">
        <f>IF(H6="","",IFERROR(INDEX('Tipos BdE'!$B$7:$M$336,MATCH(DATE(YEAR(K6),MONTH(K6),1),'Tipos BdE'!$A$7:$A$336,1),MATCH($D$9,'Tipos BdE'!$B$6:$M$6,0)),0))</f>
      </c>
      <c r="M6" s="13">
        <f t="shared" si="3"/>
      </c>
      <c r="N6" s="13">
        <f t="shared" si="4"/>
      </c>
      <c r="O6" s="14">
        <f t="shared" si="5"/>
      </c>
      <c r="P6" s="14">
        <f>IF(H6="","",$D$5+SUM($O$5:O6))</f>
      </c>
    </row>
    <row r="7" spans="1:16" x14ac:dyDescent="0.35">
      <c r="A7" s="146" t="s">
        <v>77</v>
      </c>
      <c r="B7" s="147"/>
      <c r="C7" s="148"/>
      <c r="D7" s="182">
        <f>'Informe Subasta'!$D$16</f>
      </c>
      <c r="E7" s="148"/>
      <c r="G7" s="11">
        <f t="shared" si="0"/>
      </c>
      <c r="H7" s="12">
        <f t="shared" si="6"/>
      </c>
      <c r="I7" s="12">
        <f t="shared" si="1"/>
      </c>
      <c r="J7" s="11">
        <f t="shared" si="2"/>
      </c>
      <c r="K7" s="12">
        <f t="shared" si="7"/>
      </c>
      <c r="L7" s="13">
        <f>IF(H7="","",IFERROR(INDEX('Tipos BdE'!$B$7:$M$336,MATCH(DATE(YEAR(K7),MONTH(K7),1),'Tipos BdE'!$A$7:$A$336,1),MATCH($D$9,'Tipos BdE'!$B$6:$M$6,0)),0))</f>
      </c>
      <c r="M7" s="13">
        <f t="shared" si="3"/>
      </c>
      <c r="N7" s="13">
        <f t="shared" si="4"/>
      </c>
      <c r="O7" s="14">
        <f t="shared" si="5"/>
      </c>
      <c r="P7" s="14">
        <f>IF(H7="","",$D$5+SUM($O$5:O7))</f>
      </c>
    </row>
    <row r="8" spans="1:16" x14ac:dyDescent="0.35">
      <c r="A8" s="146" t="s">
        <v>87</v>
      </c>
      <c r="B8" s="147"/>
      <c r="C8" s="148"/>
      <c r="D8" s="175" t="str">
        <f>'Informe Subasta'!$D$20</f>
      </c>
      <c r="E8" s="148"/>
      <c r="G8" s="11">
        <f t="shared" si="0"/>
      </c>
      <c r="H8" s="12">
        <f t="shared" si="6"/>
      </c>
      <c r="I8" s="12">
        <f t="shared" si="1"/>
      </c>
      <c r="J8" s="11">
        <f t="shared" si="2"/>
      </c>
      <c r="K8" s="12">
        <f t="shared" si="7"/>
      </c>
      <c r="L8" s="13">
        <f>IF(H8="","",IFERROR(INDEX('Tipos BdE'!$B$7:$M$336,MATCH(DATE(YEAR(K8),MONTH(K8),1),'Tipos BdE'!$A$7:$A$336,1),MATCH($D$9,'Tipos BdE'!$B$6:$M$6,0)),0))</f>
      </c>
      <c r="M8" s="13">
        <f t="shared" si="3"/>
      </c>
      <c r="N8" s="13">
        <f t="shared" si="4"/>
      </c>
      <c r="O8" s="14">
        <f t="shared" si="5"/>
      </c>
      <c r="P8" s="14">
        <f>IF(H8="","",$D$5+SUM($O$5:O8))</f>
      </c>
    </row>
    <row r="9" spans="1:16" x14ac:dyDescent="0.35">
      <c r="A9" s="146" t="s">
        <v>88</v>
      </c>
      <c r="B9" s="147"/>
      <c r="C9" s="148"/>
      <c r="D9" s="175" t="str">
        <f>'Informe Subasta'!$K$20</f>
      </c>
      <c r="E9" s="148"/>
      <c r="G9" s="11">
        <f t="shared" si="0"/>
      </c>
      <c r="H9" s="12">
        <f t="shared" si="6"/>
      </c>
      <c r="I9" s="12">
        <f t="shared" si="1"/>
      </c>
      <c r="J9" s="11">
        <f t="shared" si="2"/>
      </c>
      <c r="K9" s="12">
        <f t="shared" si="7"/>
      </c>
      <c r="L9" s="13">
        <f>IF(H9="","",IFERROR(INDEX('Tipos BdE'!$B$7:$M$336,MATCH(DATE(YEAR(K9),MONTH(K9),1),'Tipos BdE'!$A$7:$A$336,1),MATCH($D$9,'Tipos BdE'!$B$6:$M$6,0)),0))</f>
      </c>
      <c r="M9" s="13">
        <f t="shared" si="3"/>
      </c>
      <c r="N9" s="13">
        <f t="shared" si="4"/>
      </c>
      <c r="O9" s="14">
        <f t="shared" si="5"/>
      </c>
      <c r="P9" s="14">
        <f>IF(H9="","",$D$5+SUM($O$5:O9))</f>
      </c>
    </row>
    <row r="10" spans="1:16" x14ac:dyDescent="0.35">
      <c r="A10" s="146" t="s">
        <v>94</v>
      </c>
      <c r="B10" s="147"/>
      <c r="C10" s="148"/>
      <c r="D10" s="173">
        <f>'Informe Subasta'!$K$21</f>
      </c>
      <c r="E10" s="148"/>
      <c r="G10" s="11">
        <f t="shared" si="0"/>
      </c>
      <c r="H10" s="12">
        <f t="shared" si="6"/>
      </c>
      <c r="I10" s="12">
        <f t="shared" si="1"/>
      </c>
      <c r="J10" s="11">
        <f t="shared" si="2"/>
      </c>
      <c r="K10" s="12">
        <f t="shared" si="7"/>
      </c>
      <c r="L10" s="13">
        <f>IF(H10="","",IFERROR(INDEX('Tipos BdE'!$B$7:$M$336,MATCH(DATE(YEAR(K10),MONTH(K10),1),'Tipos BdE'!$A$7:$A$336,1),MATCH($D$9,'Tipos BdE'!$B$6:$M$6,0)),0))</f>
      </c>
      <c r="M10" s="13">
        <f t="shared" si="3"/>
      </c>
      <c r="N10" s="13">
        <f t="shared" si="4"/>
      </c>
      <c r="O10" s="14">
        <f t="shared" si="5"/>
      </c>
      <c r="P10" s="14">
        <f>IF(H10="","",$D$5+SUM($O$5:O10))</f>
      </c>
    </row>
    <row r="11" spans="1:16" x14ac:dyDescent="0.35">
      <c r="A11" s="146" t="s">
        <v>97</v>
      </c>
      <c r="B11" s="147"/>
      <c r="C11" s="148"/>
      <c r="D11" s="175">
        <f>'Informe Subasta'!$K$22</f>
      </c>
      <c r="E11" s="148"/>
      <c r="G11" s="11">
        <f t="shared" si="0"/>
      </c>
      <c r="H11" s="12">
        <f t="shared" si="6"/>
      </c>
      <c r="I11" s="12">
        <f t="shared" si="1"/>
      </c>
      <c r="J11" s="11">
        <f t="shared" si="2"/>
      </c>
      <c r="K11" s="12">
        <f t="shared" si="7"/>
      </c>
      <c r="L11" s="13">
        <f>IF(H11="","",IFERROR(INDEX('Tipos BdE'!$B$7:$M$336,MATCH(DATE(YEAR(K11),MONTH(K11),1),'Tipos BdE'!$A$7:$A$336,1),MATCH($D$9,'Tipos BdE'!$B$6:$M$6,0)),0))</f>
      </c>
      <c r="M11" s="13">
        <f t="shared" si="3"/>
      </c>
      <c r="N11" s="13">
        <f t="shared" si="4"/>
      </c>
      <c r="O11" s="14">
        <f t="shared" si="5"/>
      </c>
      <c r="P11" s="14">
        <f>IF(H11="","",$D$5+SUM($O$5:O11))</f>
      </c>
    </row>
    <row r="12" spans="1:16" x14ac:dyDescent="0.35">
      <c r="A12" s="146" t="s">
        <v>100</v>
      </c>
      <c r="B12" s="147"/>
      <c r="C12" s="148"/>
      <c r="D12" s="182">
        <f>'Informe Subasta'!$K$23</f>
      </c>
      <c r="E12" s="148"/>
      <c r="G12" s="11">
        <f t="shared" si="0"/>
      </c>
      <c r="H12" s="12">
        <f t="shared" si="6"/>
      </c>
      <c r="I12" s="12">
        <f t="shared" si="1"/>
      </c>
      <c r="J12" s="11">
        <f t="shared" si="2"/>
      </c>
      <c r="K12" s="12">
        <f t="shared" si="7"/>
      </c>
      <c r="L12" s="13">
        <f>IF(H12="","",IFERROR(INDEX('Tipos BdE'!$B$7:$M$336,MATCH(DATE(YEAR(K12),MONTH(K12),1),'Tipos BdE'!$A$7:$A$336,1),MATCH($D$9,'Tipos BdE'!$B$6:$M$6,0)),0))</f>
      </c>
      <c r="M12" s="13">
        <f t="shared" si="3"/>
      </c>
      <c r="N12" s="13">
        <f t="shared" si="4"/>
      </c>
      <c r="O12" s="14">
        <f t="shared" si="5"/>
      </c>
      <c r="P12" s="14">
        <f>IF(H12="","",$D$5+SUM($O$5:O12))</f>
      </c>
    </row>
    <row r="13" spans="1:16" x14ac:dyDescent="0.35">
      <c r="A13" s="146" t="s">
        <v>104</v>
      </c>
      <c r="B13" s="147"/>
      <c r="C13" s="148"/>
      <c r="D13" s="175">
        <f>'Informe Subasta'!$K$24</f>
      </c>
      <c r="E13" s="148"/>
      <c r="G13" s="11">
        <f t="shared" si="0"/>
      </c>
      <c r="H13" s="12">
        <f t="shared" si="6"/>
      </c>
      <c r="I13" s="12">
        <f t="shared" si="1"/>
      </c>
      <c r="J13" s="11">
        <f t="shared" si="2"/>
      </c>
      <c r="K13" s="12">
        <f t="shared" si="7"/>
      </c>
      <c r="L13" s="13">
        <f>IF(H13="","",IFERROR(INDEX('Tipos BdE'!$B$7:$M$336,MATCH(DATE(YEAR(K13),MONTH(K13),1),'Tipos BdE'!$A$7:$A$336,1),MATCH($D$9,'Tipos BdE'!$B$6:$M$6,0)),0))</f>
      </c>
      <c r="M13" s="13">
        <f t="shared" si="3"/>
      </c>
      <c r="N13" s="13">
        <f t="shared" si="4"/>
      </c>
      <c r="O13" s="14">
        <f t="shared" si="5"/>
      </c>
      <c r="P13" s="14">
        <f>IF(H13="","",$D$5+SUM($O$5:O13))</f>
      </c>
    </row>
    <row r="14" spans="1:16" x14ac:dyDescent="0.35">
      <c r="A14" s="146" t="s">
        <v>102</v>
      </c>
      <c r="B14" s="147"/>
      <c r="C14" s="148"/>
      <c r="D14" s="175" t="str">
        <f>'Informe Subasta'!$D$24</f>
      </c>
      <c r="E14" s="148"/>
      <c r="G14" s="11">
        <f t="shared" si="0"/>
      </c>
      <c r="H14" s="12">
        <f t="shared" si="6"/>
      </c>
      <c r="I14" s="12">
        <f t="shared" si="1"/>
      </c>
      <c r="J14" s="11">
        <f t="shared" si="2"/>
      </c>
      <c r="K14" s="12">
        <f t="shared" si="7"/>
      </c>
      <c r="L14" s="13">
        <f>IF(H14="","",IFERROR(INDEX('Tipos BdE'!$B$7:$M$336,MATCH(DATE(YEAR(K14),MONTH(K14),1),'Tipos BdE'!$A$7:$A$336,1),MATCH($D$9,'Tipos BdE'!$B$6:$M$6,0)),0))</f>
      </c>
      <c r="M14" s="13">
        <f t="shared" si="3"/>
      </c>
      <c r="N14" s="13">
        <f t="shared" si="4"/>
      </c>
      <c r="O14" s="14">
        <f t="shared" si="5"/>
      </c>
      <c r="P14" s="14">
        <f>IF(H14="","",$D$5+SUM($O$5:O14))</f>
      </c>
    </row>
    <row r="15" spans="1:16" x14ac:dyDescent="0.35">
      <c r="A15" s="146" t="s">
        <v>174</v>
      </c>
      <c r="B15" s="147"/>
      <c r="C15" s="148"/>
      <c r="D15" s="175" t="str">
        <f>'Informe Subasta'!$D$21</f>
      </c>
      <c r="E15" s="148"/>
      <c r="G15" s="11">
        <f t="shared" si="0"/>
      </c>
      <c r="H15" s="12">
        <f t="shared" si="6"/>
      </c>
      <c r="I15" s="12">
        <f t="shared" si="1"/>
      </c>
      <c r="J15" s="11">
        <f t="shared" si="2"/>
      </c>
      <c r="K15" s="12">
        <f t="shared" si="7"/>
      </c>
      <c r="L15" s="13">
        <f>IF(H15="","",IFERROR(INDEX('Tipos BdE'!$B$7:$M$336,MATCH(DATE(YEAR(K15),MONTH(K15),1),'Tipos BdE'!$A$7:$A$336,1),MATCH($D$9,'Tipos BdE'!$B$6:$M$6,0)),0))</f>
      </c>
      <c r="M15" s="13">
        <f t="shared" si="3"/>
      </c>
      <c r="N15" s="13">
        <f t="shared" si="4"/>
      </c>
      <c r="O15" s="14">
        <f t="shared" si="5"/>
      </c>
      <c r="P15" s="14">
        <f>IF(H15="","",$D$5+SUM($O$5:O15))</f>
      </c>
    </row>
    <row r="16" spans="1:16" x14ac:dyDescent="0.35">
      <c r="A16" s="146" t="s">
        <v>96</v>
      </c>
      <c r="B16" s="147"/>
      <c r="C16" s="148"/>
      <c r="D16" s="183">
        <f>'Informe Subasta'!$D$22</f>
      </c>
      <c r="E16" s="148"/>
      <c r="G16" s="11">
        <f t="shared" si="0"/>
      </c>
      <c r="H16" s="12">
        <f t="shared" si="6"/>
      </c>
      <c r="I16" s="12">
        <f t="shared" si="1"/>
      </c>
      <c r="J16" s="11">
        <f t="shared" si="2"/>
      </c>
      <c r="K16" s="12">
        <f t="shared" si="7"/>
      </c>
      <c r="L16" s="13">
        <f>IF(H16="","",IFERROR(INDEX('Tipos BdE'!$B$7:$M$336,MATCH(DATE(YEAR(K16),MONTH(K16),1),'Tipos BdE'!$A$7:$A$336,1),MATCH($D$9,'Tipos BdE'!$B$6:$M$6,0)),0))</f>
      </c>
      <c r="M16" s="13">
        <f t="shared" si="3"/>
      </c>
      <c r="N16" s="13">
        <f t="shared" si="4"/>
      </c>
      <c r="O16" s="14">
        <f t="shared" si="5"/>
      </c>
      <c r="P16" s="14">
        <f>IF(H16="","",$D$5+SUM($O$5:O16))</f>
      </c>
    </row>
    <row r="17" spans="1:16" x14ac:dyDescent="0.35">
      <c r="A17" s="146" t="s">
        <v>99</v>
      </c>
      <c r="B17" s="147"/>
      <c r="C17" s="148"/>
      <c r="D17" s="183">
        <f>'Informe Subasta'!$D$23</f>
      </c>
      <c r="E17" s="148"/>
      <c r="G17" s="11">
        <f t="shared" si="0"/>
      </c>
      <c r="H17" s="12">
        <f t="shared" si="6"/>
      </c>
      <c r="I17" s="12">
        <f t="shared" si="1"/>
      </c>
      <c r="J17" s="11">
        <f t="shared" si="2"/>
      </c>
      <c r="K17" s="12">
        <f t="shared" si="7"/>
      </c>
      <c r="L17" s="13">
        <f>IF(H17="","",IFERROR(INDEX('Tipos BdE'!$B$7:$M$336,MATCH(DATE(YEAR(K17),MONTH(K17),1),'Tipos BdE'!$A$7:$A$336,1),MATCH($D$9,'Tipos BdE'!$B$6:$M$6,0)),0))</f>
      </c>
      <c r="M17" s="13">
        <f t="shared" si="3"/>
      </c>
      <c r="N17" s="13">
        <f t="shared" si="4"/>
      </c>
      <c r="O17" s="14">
        <f t="shared" si="5"/>
      </c>
      <c r="P17" s="14">
        <f>IF(H17="","",$D$5+SUM($O$5:O17))</f>
      </c>
    </row>
    <row r="18" spans="1:16" x14ac:dyDescent="0.35">
      <c r="A18" s="146" t="s">
        <v>175</v>
      </c>
      <c r="B18" s="147"/>
      <c r="C18" s="148"/>
      <c r="D18" s="185" t="str">
        <f>IF(OR(ISNUMBER(SEARCH("legal",$D$9)),ISNUMBER(SEARCH("demora",$D$9)),ISNUMBER(SEARCH("mora procesal",$D$9)),ISNUMBER(SEARCH("576",$D$9))),"LEGAL","VARIABLE")</f>
      </c>
      <c r="E18" s="148"/>
      <c r="G18" s="11">
        <f t="shared" si="0"/>
      </c>
      <c r="H18" s="12">
        <f t="shared" si="6"/>
      </c>
      <c r="I18" s="12">
        <f t="shared" si="1"/>
      </c>
      <c r="J18" s="11">
        <f t="shared" si="2"/>
      </c>
      <c r="K18" s="12">
        <f t="shared" si="7"/>
      </c>
      <c r="L18" s="13">
        <f>IF(H18="","",IFERROR(INDEX('Tipos BdE'!$B$7:$M$336,MATCH(DATE(YEAR(K18),MONTH(K18),1),'Tipos BdE'!$A$7:$A$336,1),MATCH($D$9,'Tipos BdE'!$B$6:$M$6,0)),0))</f>
      </c>
      <c r="M18" s="13">
        <f t="shared" si="3"/>
      </c>
      <c r="N18" s="13">
        <f t="shared" si="4"/>
      </c>
      <c r="O18" s="14">
        <f t="shared" si="5"/>
      </c>
      <c r="P18" s="14">
        <f>IF(H18="","",$D$5+SUM($O$5:O18))</f>
      </c>
    </row>
    <row r="19" spans="1:16" x14ac:dyDescent="0.35">
      <c r="G19" s="11">
        <f t="shared" si="0"/>
      </c>
      <c r="H19" s="12">
        <f t="shared" si="6"/>
      </c>
      <c r="I19" s="12">
        <f t="shared" si="1"/>
      </c>
      <c r="J19" s="11">
        <f t="shared" si="2"/>
      </c>
      <c r="K19" s="12">
        <f t="shared" si="7"/>
      </c>
      <c r="L19" s="13">
        <f>IF(H19="","",IFERROR(INDEX('Tipos BdE'!$B$7:$M$336,MATCH(DATE(YEAR(K19),MONTH(K19),1),'Tipos BdE'!$A$7:$A$336,1),MATCH($D$9,'Tipos BdE'!$B$6:$M$6,0)),0))</f>
      </c>
      <c r="M19" s="13">
        <f t="shared" si="3"/>
      </c>
      <c r="N19" s="13">
        <f t="shared" si="4"/>
      </c>
      <c r="O19" s="14">
        <f t="shared" si="5"/>
      </c>
      <c r="P19" s="14">
        <f>IF(H19="","",$D$5+SUM($O$5:O19))</f>
      </c>
    </row>
    <row r="20" spans="1:16" x14ac:dyDescent="0.35">
      <c r="A20" s="152" t="s">
        <v>176</v>
      </c>
      <c r="B20" s="147"/>
      <c r="C20" s="147"/>
      <c r="D20" s="147"/>
      <c r="E20" s="148"/>
      <c r="G20" s="11">
        <f t="shared" si="0"/>
      </c>
      <c r="H20" s="12">
        <f t="shared" si="6"/>
      </c>
      <c r="I20" s="12">
        <f t="shared" si="1"/>
      </c>
      <c r="J20" s="11">
        <f t="shared" si="2"/>
      </c>
      <c r="K20" s="12">
        <f t="shared" si="7"/>
      </c>
      <c r="L20" s="13">
        <f>IF(H20="","",IFERROR(INDEX('Tipos BdE'!$B$7:$M$336,MATCH(DATE(YEAR(K20),MONTH(K20),1),'Tipos BdE'!$A$7:$A$336,1),MATCH($D$9,'Tipos BdE'!$B$6:$M$6,0)),0))</f>
      </c>
      <c r="M20" s="13">
        <f t="shared" si="3"/>
      </c>
      <c r="N20" s="13">
        <f t="shared" si="4"/>
      </c>
      <c r="O20" s="14">
        <f t="shared" si="5"/>
      </c>
      <c r="P20" s="14">
        <f>IF(H20="","",$D$5+SUM($O$5:O20))</f>
      </c>
    </row>
    <row r="21" spans="1:16" x14ac:dyDescent="0.35">
      <c r="A21" s="146" t="s">
        <v>177</v>
      </c>
      <c r="B21" s="147"/>
      <c r="C21" s="148"/>
      <c r="D21" s="181">
        <f>IF($D$8="FIJO",($D$7-$D$6)*IF($D$15="Y",$D$16,$D$17)*$D$5/365,SUM($O$5:$O$304))</f>
      </c>
      <c r="E21" s="164"/>
      <c r="G21" s="11">
        <f t="shared" si="0"/>
      </c>
      <c r="H21" s="12">
        <f t="shared" si="6"/>
      </c>
      <c r="I21" s="12">
        <f t="shared" si="1"/>
      </c>
      <c r="J21" s="11">
        <f t="shared" si="2"/>
      </c>
      <c r="K21" s="12">
        <f t="shared" si="7"/>
      </c>
      <c r="L21" s="13">
        <f>IF(H21="","",IFERROR(INDEX('Tipos BdE'!$B$7:$M$336,MATCH(DATE(YEAR(K21),MONTH(K21),1),'Tipos BdE'!$A$7:$A$336,1),MATCH($D$9,'Tipos BdE'!$B$6:$M$6,0)),0))</f>
      </c>
      <c r="M21" s="13">
        <f t="shared" si="3"/>
      </c>
      <c r="N21" s="13">
        <f t="shared" si="4"/>
      </c>
      <c r="O21" s="14">
        <f t="shared" si="5"/>
      </c>
      <c r="P21" s="14">
        <f>IF(H21="","",$D$5+SUM($O$5:O21))</f>
      </c>
    </row>
    <row r="22" spans="1:16" x14ac:dyDescent="0.35">
      <c r="A22" s="72"/>
      <c r="D22" s="73"/>
      <c r="G22" s="11" t="str">
        <f t="shared" si="0"/>
      </c>
      <c r="H22" s="12" t="str">
        <f t="shared" si="6"/>
      </c>
      <c r="I22" s="12" t="str">
        <f t="shared" si="1"/>
      </c>
      <c r="J22" s="11" t="str">
        <f t="shared" si="2"/>
      </c>
      <c r="K22" s="12" t="str">
        <f t="shared" si="7"/>
      </c>
      <c r="L22" s="13" t="str">
        <f>IF(H22="","",IFERROR(INDEX('Tipos BdE'!$B$7:$M$336,MATCH(DATE(YEAR(K22),MONTH(K22),1),'Tipos BdE'!$A$7:$A$336,1),MATCH($D$9,'Tipos BdE'!$B$6:$M$6,0)),0))</f>
      </c>
      <c r="M22" s="13" t="str">
        <f t="shared" si="3"/>
      </c>
      <c r="N22" s="13" t="str">
        <f t="shared" si="4"/>
      </c>
      <c r="O22" s="14" t="str">
        <f t="shared" si="5"/>
      </c>
      <c r="P22" s="14" t="str">
        <f>IF(H22="","",$D$5+SUM($O$5:O22))</f>
      </c>
    </row>
    <row r="23" spans="1:16" x14ac:dyDescent="0.35">
      <c r="A23" s="146" t="s">
        <v>178</v>
      </c>
      <c r="B23" s="147"/>
      <c r="C23" s="148"/>
      <c r="D23" s="171">
        <f>COUNT($J$5:$J$304)</f>
      </c>
      <c r="E23" s="148"/>
      <c r="G23" s="11" t="str">
        <f t="shared" si="0"/>
      </c>
      <c r="H23" s="12" t="str">
        <f t="shared" si="6"/>
      </c>
      <c r="I23" s="12" t="str">
        <f t="shared" si="1"/>
      </c>
      <c r="J23" s="11" t="str">
        <f t="shared" si="2"/>
      </c>
      <c r="K23" s="12" t="str">
        <f t="shared" si="7"/>
      </c>
      <c r="L23" s="13" t="str">
        <f>IF(H23="","",IFERROR(INDEX('Tipos BdE'!$B$7:$M$336,MATCH(DATE(YEAR(K23),MONTH(K23),1),'Tipos BdE'!$A$7:$A$336,1),MATCH($D$9,'Tipos BdE'!$B$6:$M$6,0)),0))</f>
      </c>
      <c r="M23" s="13" t="str">
        <f t="shared" si="3"/>
      </c>
      <c r="N23" s="13" t="str">
        <f t="shared" si="4"/>
      </c>
      <c r="O23" s="14" t="str">
        <f t="shared" si="5"/>
      </c>
      <c r="P23" s="14" t="str">
        <f>IF(H23="","",$D$5+SUM($O$5:O23))</f>
      </c>
    </row>
    <row r="24" spans="1:16" x14ac:dyDescent="0.35">
      <c r="A24" s="146" t="s">
        <v>179</v>
      </c>
      <c r="B24" s="147"/>
      <c r="C24" s="148"/>
      <c r="D24" s="186">
        <f>IFERROR($D$21*36500/($D$5*IF($D$8="FIJO",$D$7-$D$6,SUM($J$5:$J$304))),0)</f>
      </c>
      <c r="E24" s="148"/>
      <c r="G24" s="11" t="str">
        <f t="shared" si="0"/>
      </c>
      <c r="H24" s="12" t="str">
        <f t="shared" si="6"/>
      </c>
      <c r="I24" s="12" t="str">
        <f t="shared" si="1"/>
      </c>
      <c r="J24" s="11" t="str">
        <f t="shared" si="2"/>
      </c>
      <c r="K24" s="12" t="str">
        <f t="shared" si="7"/>
      </c>
      <c r="L24" s="13" t="str">
        <f>IF(H24="","",IFERROR(INDEX('Tipos BdE'!$B$7:$M$336,MATCH(DATE(YEAR(K24),MONTH(K24),1),'Tipos BdE'!$A$7:$A$336,1),MATCH($D$9,'Tipos BdE'!$B$6:$M$6,0)),0))</f>
      </c>
      <c r="M24" s="13" t="str">
        <f t="shared" si="3"/>
      </c>
      <c r="N24" s="13" t="str">
        <f t="shared" si="4"/>
      </c>
      <c r="O24" s="14" t="str">
        <f t="shared" si="5"/>
      </c>
      <c r="P24" s="14" t="str">
        <f>IF(H24="","",$D$5+SUM($O$5:O24))</f>
      </c>
    </row>
    <row r="25" spans="1:16" x14ac:dyDescent="0.35">
      <c r="G25" s="11" t="str">
        <f t="shared" si="0"/>
      </c>
      <c r="H25" s="12" t="str">
        <f t="shared" si="6"/>
      </c>
      <c r="I25" s="12" t="str">
        <f t="shared" si="1"/>
      </c>
      <c r="J25" s="11" t="str">
        <f t="shared" si="2"/>
      </c>
      <c r="K25" s="12" t="str">
        <f t="shared" si="7"/>
      </c>
      <c r="L25" s="13" t="str">
        <f>IF(H25="","",IFERROR(INDEX('Tipos BdE'!$B$7:$M$336,MATCH(DATE(YEAR(K25),MONTH(K25),1),'Tipos BdE'!$A$7:$A$336,1),MATCH($D$9,'Tipos BdE'!$B$6:$M$6,0)),0))</f>
      </c>
      <c r="M25" s="13" t="str">
        <f t="shared" si="3"/>
      </c>
      <c r="N25" s="13" t="str">
        <f t="shared" si="4"/>
      </c>
      <c r="O25" s="14" t="str">
        <f t="shared" si="5"/>
      </c>
      <c r="P25" s="14" t="str">
        <f>IF(H25="","",$D$5+SUM($O$5:O25))</f>
      </c>
    </row>
    <row r="26" spans="1:16" x14ac:dyDescent="0.35">
      <c r="G26" s="11" t="str">
        <f t="shared" si="0"/>
      </c>
      <c r="H26" s="12" t="str">
        <f t="shared" si="6"/>
      </c>
      <c r="I26" s="12" t="str">
        <f t="shared" si="1"/>
      </c>
      <c r="J26" s="11" t="str">
        <f t="shared" si="2"/>
      </c>
      <c r="K26" s="12" t="str">
        <f t="shared" si="7"/>
      </c>
      <c r="L26" s="13" t="str">
        <f>IF(H26="","",IFERROR(INDEX('Tipos BdE'!$B$7:$M$336,MATCH(DATE(YEAR(K26),MONTH(K26),1),'Tipos BdE'!$A$7:$A$336,1),MATCH($D$9,'Tipos BdE'!$B$6:$M$6,0)),0))</f>
      </c>
      <c r="M26" s="13" t="str">
        <f t="shared" si="3"/>
      </c>
      <c r="N26" s="13" t="str">
        <f t="shared" si="4"/>
      </c>
      <c r="O26" s="14" t="str">
        <f t="shared" si="5"/>
      </c>
      <c r="P26" s="14" t="str">
        <f>IF(H26="","",$D$5+SUM($O$5:O26))</f>
      </c>
    </row>
    <row r="27" spans="1:16" x14ac:dyDescent="0.35">
      <c r="G27" s="11" t="str">
        <f t="shared" si="0"/>
      </c>
      <c r="H27" s="12" t="str">
        <f t="shared" si="6"/>
      </c>
      <c r="I27" s="12" t="str">
        <f t="shared" si="1"/>
      </c>
      <c r="J27" s="11" t="str">
        <f t="shared" si="2"/>
      </c>
      <c r="K27" s="12" t="str">
        <f t="shared" si="7"/>
      </c>
      <c r="L27" s="13" t="str">
        <f>IF(H27="","",IFERROR(INDEX('Tipos BdE'!$B$7:$M$336,MATCH(DATE(YEAR(K27),MONTH(K27),1),'Tipos BdE'!$A$7:$A$336,1),MATCH($D$9,'Tipos BdE'!$B$6:$M$6,0)),0))</f>
      </c>
      <c r="M27" s="13" t="str">
        <f t="shared" si="3"/>
      </c>
      <c r="N27" s="13" t="str">
        <f t="shared" si="4"/>
      </c>
      <c r="O27" s="14" t="str">
        <f t="shared" si="5"/>
      </c>
      <c r="P27" s="14" t="str">
        <f>IF(H27="","",$D$5+SUM($O$5:O27))</f>
      </c>
    </row>
    <row r="28" spans="1:16" x14ac:dyDescent="0.35">
      <c r="G28" s="11" t="str">
        <f t="shared" si="0"/>
      </c>
      <c r="H28" s="12" t="str">
        <f t="shared" si="6"/>
      </c>
      <c r="I28" s="12" t="str">
        <f t="shared" si="1"/>
      </c>
      <c r="J28" s="11" t="str">
        <f t="shared" si="2"/>
      </c>
      <c r="K28" s="12" t="str">
        <f t="shared" si="7"/>
      </c>
      <c r="L28" s="13" t="str">
        <f>IF(H28="","",IFERROR(INDEX('Tipos BdE'!$B$7:$M$336,MATCH(DATE(YEAR(K28),MONTH(K28),1),'Tipos BdE'!$A$7:$A$336,1),MATCH($D$9,'Tipos BdE'!$B$6:$M$6,0)),0))</f>
      </c>
      <c r="M28" s="13" t="str">
        <f t="shared" si="3"/>
      </c>
      <c r="N28" s="13" t="str">
        <f t="shared" si="4"/>
      </c>
      <c r="O28" s="14" t="str">
        <f t="shared" si="5"/>
      </c>
      <c r="P28" s="14" t="str">
        <f>IF(H28="","",$D$5+SUM($O$5:O28))</f>
      </c>
    </row>
    <row r="29" spans="1:16" x14ac:dyDescent="0.35">
      <c r="G29" s="11" t="str">
        <f t="shared" si="0"/>
      </c>
      <c r="H29" s="12" t="str">
        <f t="shared" si="6"/>
      </c>
      <c r="I29" s="12" t="str">
        <f t="shared" si="1"/>
      </c>
      <c r="J29" s="11" t="str">
        <f t="shared" si="2"/>
      </c>
      <c r="K29" s="12" t="str">
        <f t="shared" si="7"/>
      </c>
      <c r="L29" s="13" t="str">
        <f>IF(H29="","",IFERROR(INDEX('Tipos BdE'!$B$7:$M$336,MATCH(DATE(YEAR(K29),MONTH(K29),1),'Tipos BdE'!$A$7:$A$336,1),MATCH($D$9,'Tipos BdE'!$B$6:$M$6,0)),0))</f>
      </c>
      <c r="M29" s="13" t="str">
        <f t="shared" si="3"/>
      </c>
      <c r="N29" s="13" t="str">
        <f t="shared" si="4"/>
      </c>
      <c r="O29" s="14" t="str">
        <f t="shared" si="5"/>
      </c>
      <c r="P29" s="14" t="str">
        <f>IF(H29="","",$D$5+SUM($O$5:O29))</f>
      </c>
    </row>
    <row r="30" spans="1:16" x14ac:dyDescent="0.35">
      <c r="G30" s="11" t="str">
        <f t="shared" si="0"/>
      </c>
      <c r="H30" s="12" t="str">
        <f t="shared" si="6"/>
      </c>
      <c r="I30" s="12" t="str">
        <f t="shared" si="1"/>
      </c>
      <c r="J30" s="11" t="str">
        <f t="shared" si="2"/>
      </c>
      <c r="K30" s="12" t="str">
        <f t="shared" si="7"/>
      </c>
      <c r="L30" s="13" t="str">
        <f>IF(H30="","",IFERROR(INDEX('Tipos BdE'!$B$7:$M$336,MATCH(DATE(YEAR(K30),MONTH(K30),1),'Tipos BdE'!$A$7:$A$336,1),MATCH($D$9,'Tipos BdE'!$B$6:$M$6,0)),0))</f>
      </c>
      <c r="M30" s="13" t="str">
        <f t="shared" si="3"/>
      </c>
      <c r="N30" s="13" t="str">
        <f t="shared" si="4"/>
      </c>
      <c r="O30" s="14" t="str">
        <f t="shared" si="5"/>
      </c>
      <c r="P30" s="14" t="str">
        <f>IF(H30="","",$D$5+SUM($O$5:O30))</f>
      </c>
    </row>
    <row r="31" spans="1:16" x14ac:dyDescent="0.35">
      <c r="G31" s="11" t="str">
        <f t="shared" si="0"/>
      </c>
      <c r="H31" s="12" t="str">
        <f t="shared" si="6"/>
      </c>
      <c r="I31" s="12" t="str">
        <f t="shared" si="1"/>
      </c>
      <c r="J31" s="11" t="str">
        <f t="shared" si="2"/>
      </c>
      <c r="K31" s="12" t="str">
        <f t="shared" si="7"/>
      </c>
      <c r="L31" s="13" t="str">
        <f>IF(H31="","",IFERROR(INDEX('Tipos BdE'!$B$7:$M$336,MATCH(DATE(YEAR(K31),MONTH(K31),1),'Tipos BdE'!$A$7:$A$336,1),MATCH($D$9,'Tipos BdE'!$B$6:$M$6,0)),0))</f>
      </c>
      <c r="M31" s="13" t="str">
        <f t="shared" si="3"/>
      </c>
      <c r="N31" s="13" t="str">
        <f t="shared" si="4"/>
      </c>
      <c r="O31" s="14" t="str">
        <f t="shared" si="5"/>
      </c>
      <c r="P31" s="14" t="str">
        <f>IF(H31="","",$D$5+SUM($O$5:O31))</f>
      </c>
    </row>
    <row r="32" spans="1:16" x14ac:dyDescent="0.35">
      <c r="G32" s="11" t="str">
        <f t="shared" si="0"/>
      </c>
      <c r="H32" s="12" t="str">
        <f t="shared" si="6"/>
      </c>
      <c r="I32" s="12" t="str">
        <f t="shared" si="1"/>
      </c>
      <c r="J32" s="11" t="str">
        <f t="shared" si="2"/>
      </c>
      <c r="K32" s="12" t="str">
        <f t="shared" si="7"/>
      </c>
      <c r="L32" s="13" t="str">
        <f>IF(H32="","",IFERROR(INDEX('Tipos BdE'!$B$7:$M$336,MATCH(DATE(YEAR(K32),MONTH(K32),1),'Tipos BdE'!$A$7:$A$336,1),MATCH($D$9,'Tipos BdE'!$B$6:$M$6,0)),0))</f>
      </c>
      <c r="M32" s="13" t="str">
        <f t="shared" si="3"/>
      </c>
      <c r="N32" s="13" t="str">
        <f t="shared" si="4"/>
      </c>
      <c r="O32" s="14" t="str">
        <f t="shared" si="5"/>
      </c>
      <c r="P32" s="14" t="str">
        <f>IF(H32="","",$D$5+SUM($O$5:O32))</f>
      </c>
    </row>
    <row r="33" spans="7:16" x14ac:dyDescent="0.35">
      <c r="G33" s="11" t="str">
        <f t="shared" si="0"/>
      </c>
      <c r="H33" s="12" t="str">
        <f t="shared" si="6"/>
      </c>
      <c r="I33" s="12" t="str">
        <f t="shared" si="1"/>
      </c>
      <c r="J33" s="11" t="str">
        <f t="shared" si="2"/>
      </c>
      <c r="K33" s="12" t="str">
        <f t="shared" si="7"/>
      </c>
      <c r="L33" s="13" t="str">
        <f>IF(H33="","",IFERROR(INDEX('Tipos BdE'!$B$7:$M$336,MATCH(DATE(YEAR(K33),MONTH(K33),1),'Tipos BdE'!$A$7:$A$336,1),MATCH($D$9,'Tipos BdE'!$B$6:$M$6,0)),0))</f>
      </c>
      <c r="M33" s="13" t="str">
        <f t="shared" si="3"/>
      </c>
      <c r="N33" s="13" t="str">
        <f t="shared" si="4"/>
      </c>
      <c r="O33" s="14" t="str">
        <f t="shared" si="5"/>
      </c>
      <c r="P33" s="14" t="str">
        <f>IF(H33="","",$D$5+SUM($O$5:O33))</f>
      </c>
    </row>
    <row r="34" spans="7:16" x14ac:dyDescent="0.35">
      <c r="G34" s="11" t="str">
        <f t="shared" si="0"/>
      </c>
      <c r="H34" s="12" t="str">
        <f t="shared" si="6"/>
      </c>
      <c r="I34" s="12" t="str">
        <f t="shared" si="1"/>
      </c>
      <c r="J34" s="11" t="str">
        <f t="shared" si="2"/>
      </c>
      <c r="K34" s="12" t="str">
        <f t="shared" si="7"/>
      </c>
      <c r="L34" s="13" t="str">
        <f>IF(H34="","",IFERROR(INDEX('Tipos BdE'!$B$7:$M$336,MATCH(DATE(YEAR(K34),MONTH(K34),1),'Tipos BdE'!$A$7:$A$336,1),MATCH($D$9,'Tipos BdE'!$B$6:$M$6,0)),0))</f>
      </c>
      <c r="M34" s="13" t="str">
        <f t="shared" si="3"/>
      </c>
      <c r="N34" s="13" t="str">
        <f t="shared" si="4"/>
      </c>
      <c r="O34" s="14" t="str">
        <f t="shared" si="5"/>
      </c>
      <c r="P34" s="14" t="str">
        <f>IF(H34="","",$D$5+SUM($O$5:O34))</f>
      </c>
    </row>
    <row r="35" spans="7:16" x14ac:dyDescent="0.35">
      <c r="G35" s="11" t="str">
        <f t="shared" si="0"/>
      </c>
      <c r="H35" s="12" t="str">
        <f t="shared" si="6"/>
      </c>
      <c r="I35" s="12" t="str">
        <f t="shared" si="1"/>
      </c>
      <c r="J35" s="11" t="str">
        <f t="shared" si="2"/>
      </c>
      <c r="K35" s="12" t="str">
        <f t="shared" si="7"/>
      </c>
      <c r="L35" s="13" t="str">
        <f>IF(H35="","",IFERROR(INDEX('Tipos BdE'!$B$7:$M$336,MATCH(DATE(YEAR(K35),MONTH(K35),1),'Tipos BdE'!$A$7:$A$336,1),MATCH($D$9,'Tipos BdE'!$B$6:$M$6,0)),0))</f>
      </c>
      <c r="M35" s="13" t="str">
        <f t="shared" si="3"/>
      </c>
      <c r="N35" s="13" t="str">
        <f t="shared" si="4"/>
      </c>
      <c r="O35" s="14" t="str">
        <f t="shared" si="5"/>
      </c>
      <c r="P35" s="14" t="str">
        <f>IF(H35="","",$D$5+SUM($O$5:O35))</f>
      </c>
    </row>
    <row r="36" spans="7:16" x14ac:dyDescent="0.35">
      <c r="G36" s="11" t="str">
        <f t="shared" si="0"/>
      </c>
      <c r="H36" s="12" t="str">
        <f t="shared" si="6"/>
      </c>
      <c r="I36" s="12" t="str">
        <f t="shared" si="1"/>
      </c>
      <c r="J36" s="11" t="str">
        <f t="shared" si="2"/>
      </c>
      <c r="K36" s="12" t="str">
        <f t="shared" si="7"/>
      </c>
      <c r="L36" s="13" t="str">
        <f>IF(H36="","",IFERROR(INDEX('Tipos BdE'!$B$7:$M$336,MATCH(DATE(YEAR(K36),MONTH(K36),1),'Tipos BdE'!$A$7:$A$336,1),MATCH($D$9,'Tipos BdE'!$B$6:$M$6,0)),0))</f>
      </c>
      <c r="M36" s="13" t="str">
        <f t="shared" si="3"/>
      </c>
      <c r="N36" s="13" t="str">
        <f t="shared" si="4"/>
      </c>
      <c r="O36" s="14" t="str">
        <f t="shared" si="5"/>
      </c>
      <c r="P36" s="14" t="str">
        <f>IF(H36="","",$D$5+SUM($O$5:O36))</f>
      </c>
    </row>
    <row r="37" spans="7:16" x14ac:dyDescent="0.35">
      <c r="G37" s="11" t="str">
        <f t="shared" si="0"/>
      </c>
      <c r="H37" s="12" t="str">
        <f t="shared" si="6"/>
      </c>
      <c r="I37" s="12" t="str">
        <f t="shared" si="1"/>
      </c>
      <c r="J37" s="11" t="str">
        <f t="shared" si="2"/>
      </c>
      <c r="K37" s="12" t="str">
        <f t="shared" si="7"/>
      </c>
      <c r="L37" s="13" t="str">
        <f>IF(H37="","",IFERROR(INDEX('Tipos BdE'!$B$7:$M$336,MATCH(DATE(YEAR(K37),MONTH(K37),1),'Tipos BdE'!$A$7:$A$336,1),MATCH($D$9,'Tipos BdE'!$B$6:$M$6,0)),0))</f>
      </c>
      <c r="M37" s="13" t="str">
        <f t="shared" si="3"/>
      </c>
      <c r="N37" s="13" t="str">
        <f t="shared" si="4"/>
      </c>
      <c r="O37" s="14" t="str">
        <f t="shared" si="5"/>
      </c>
      <c r="P37" s="14" t="str">
        <f>IF(H37="","",$D$5+SUM($O$5:O37))</f>
      </c>
    </row>
    <row r="38" spans="7:16" x14ac:dyDescent="0.35">
      <c r="G38" s="11" t="str">
        <f t="shared" si="0"/>
      </c>
      <c r="H38" s="12" t="str">
        <f t="shared" si="6"/>
      </c>
      <c r="I38" s="12" t="str">
        <f t="shared" si="1"/>
      </c>
      <c r="J38" s="11" t="str">
        <f t="shared" si="2"/>
      </c>
      <c r="K38" s="12" t="str">
        <f t="shared" si="7"/>
      </c>
      <c r="L38" s="13" t="str">
        <f>IF(H38="","",IFERROR(INDEX('Tipos BdE'!$B$7:$M$336,MATCH(DATE(YEAR(K38),MONTH(K38),1),'Tipos BdE'!$A$7:$A$336,1),MATCH($D$9,'Tipos BdE'!$B$6:$M$6,0)),0))</f>
      </c>
      <c r="M38" s="13" t="str">
        <f t="shared" si="3"/>
      </c>
      <c r="N38" s="13" t="str">
        <f t="shared" si="4"/>
      </c>
      <c r="O38" s="14" t="str">
        <f t="shared" si="5"/>
      </c>
      <c r="P38" s="14" t="str">
        <f>IF(H38="","",$D$5+SUM($O$5:O38))</f>
      </c>
    </row>
    <row r="39" spans="7:16" x14ac:dyDescent="0.35">
      <c r="G39" s="11" t="str">
        <f t="shared" si="0"/>
      </c>
      <c r="H39" s="12" t="str">
        <f t="shared" si="6"/>
      </c>
      <c r="I39" s="12" t="str">
        <f t="shared" si="1"/>
      </c>
      <c r="J39" s="11" t="str">
        <f t="shared" si="2"/>
      </c>
      <c r="K39" s="12" t="str">
        <f t="shared" si="7"/>
      </c>
      <c r="L39" s="13" t="str">
        <f>IF(H39="","",IFERROR(INDEX('Tipos BdE'!$B$7:$M$336,MATCH(DATE(YEAR(K39),MONTH(K39),1),'Tipos BdE'!$A$7:$A$336,1),MATCH($D$9,'Tipos BdE'!$B$6:$M$6,0)),0))</f>
      </c>
      <c r="M39" s="13" t="str">
        <f t="shared" si="3"/>
      </c>
      <c r="N39" s="13" t="str">
        <f t="shared" si="4"/>
      </c>
      <c r="O39" s="14" t="str">
        <f t="shared" si="5"/>
      </c>
      <c r="P39" s="14" t="str">
        <f>IF(H39="","",$D$5+SUM($O$5:O39))</f>
      </c>
    </row>
    <row r="40" spans="7:16" x14ac:dyDescent="0.35">
      <c r="G40" s="11" t="str">
        <f t="shared" si="0"/>
      </c>
      <c r="H40" s="12" t="str">
        <f t="shared" si="6"/>
      </c>
      <c r="I40" s="12" t="str">
        <f t="shared" si="1"/>
      </c>
      <c r="J40" s="11" t="str">
        <f t="shared" si="2"/>
      </c>
      <c r="K40" s="12" t="str">
        <f t="shared" si="7"/>
      </c>
      <c r="L40" s="13" t="str">
        <f>IF(H40="","",IFERROR(INDEX('Tipos BdE'!$B$7:$M$336,MATCH(DATE(YEAR(K40),MONTH(K40),1),'Tipos BdE'!$A$7:$A$336,1),MATCH($D$9,'Tipos BdE'!$B$6:$M$6,0)),0))</f>
      </c>
      <c r="M40" s="13" t="str">
        <f t="shared" si="3"/>
      </c>
      <c r="N40" s="13" t="str">
        <f t="shared" si="4"/>
      </c>
      <c r="O40" s="14" t="str">
        <f t="shared" si="5"/>
      </c>
      <c r="P40" s="14" t="str">
        <f>IF(H40="","",$D$5+SUM($O$5:O40))</f>
      </c>
    </row>
    <row r="41" spans="7:16" x14ac:dyDescent="0.35">
      <c r="G41" s="11" t="str">
        <f t="shared" si="0"/>
      </c>
      <c r="H41" s="12" t="str">
        <f t="shared" si="6"/>
      </c>
      <c r="I41" s="12" t="str">
        <f t="shared" si="1"/>
      </c>
      <c r="J41" s="11" t="str">
        <f t="shared" si="2"/>
      </c>
      <c r="K41" s="12" t="str">
        <f t="shared" si="7"/>
      </c>
      <c r="L41" s="13" t="str">
        <f>IF(H41="","",IFERROR(INDEX('Tipos BdE'!$B$7:$M$336,MATCH(DATE(YEAR(K41),MONTH(K41),1),'Tipos BdE'!$A$7:$A$336,1),MATCH($D$9,'Tipos BdE'!$B$6:$M$6,0)),0))</f>
      </c>
      <c r="M41" s="13" t="str">
        <f t="shared" si="3"/>
      </c>
      <c r="N41" s="13" t="str">
        <f t="shared" si="4"/>
      </c>
      <c r="O41" s="14" t="str">
        <f t="shared" si="5"/>
      </c>
      <c r="P41" s="14" t="str">
        <f>IF(H41="","",$D$5+SUM($O$5:O41))</f>
      </c>
    </row>
    <row r="42" spans="7:16" x14ac:dyDescent="0.35">
      <c r="G42" s="11" t="str">
        <f t="shared" si="0"/>
      </c>
      <c r="H42" s="12" t="str">
        <f t="shared" si="6"/>
      </c>
      <c r="I42" s="12" t="str">
        <f t="shared" si="1"/>
      </c>
      <c r="J42" s="11" t="str">
        <f t="shared" si="2"/>
      </c>
      <c r="K42" s="12" t="str">
        <f t="shared" si="7"/>
      </c>
      <c r="L42" s="13" t="str">
        <f>IF(H42="","",IFERROR(INDEX('Tipos BdE'!$B$7:$M$336,MATCH(DATE(YEAR(K42),MONTH(K42),1),'Tipos BdE'!$A$7:$A$336,1),MATCH($D$9,'Tipos BdE'!$B$6:$M$6,0)),0))</f>
      </c>
      <c r="M42" s="13" t="str">
        <f t="shared" si="3"/>
      </c>
      <c r="N42" s="13" t="str">
        <f t="shared" si="4"/>
      </c>
      <c r="O42" s="14" t="str">
        <f t="shared" si="5"/>
      </c>
      <c r="P42" s="14" t="str">
        <f>IF(H42="","",$D$5+SUM($O$5:O42))</f>
      </c>
    </row>
    <row r="43" spans="7:16" x14ac:dyDescent="0.35">
      <c r="G43" s="11" t="str">
        <f t="shared" si="0"/>
      </c>
      <c r="H43" s="12" t="str">
        <f t="shared" si="6"/>
      </c>
      <c r="I43" s="12" t="str">
        <f t="shared" si="1"/>
      </c>
      <c r="J43" s="11" t="str">
        <f t="shared" si="2"/>
      </c>
      <c r="K43" s="12" t="str">
        <f t="shared" si="7"/>
      </c>
      <c r="L43" s="13" t="str">
        <f>IF(H43="","",IFERROR(INDEX('Tipos BdE'!$B$7:$M$336,MATCH(DATE(YEAR(K43),MONTH(K43),1),'Tipos BdE'!$A$7:$A$336,1),MATCH($D$9,'Tipos BdE'!$B$6:$M$6,0)),0))</f>
      </c>
      <c r="M43" s="13" t="str">
        <f t="shared" si="3"/>
      </c>
      <c r="N43" s="13" t="str">
        <f t="shared" si="4"/>
      </c>
      <c r="O43" s="14" t="str">
        <f t="shared" si="5"/>
      </c>
      <c r="P43" s="14" t="str">
        <f>IF(H43="","",$D$5+SUM($O$5:O43))</f>
      </c>
    </row>
    <row r="44" spans="7:16" x14ac:dyDescent="0.35">
      <c r="G44" s="11" t="str">
        <f t="shared" si="0"/>
      </c>
      <c r="H44" s="12" t="str">
        <f t="shared" si="6"/>
      </c>
      <c r="I44" s="12" t="str">
        <f t="shared" si="1"/>
      </c>
      <c r="J44" s="11" t="str">
        <f t="shared" si="2"/>
      </c>
      <c r="K44" s="12" t="str">
        <f t="shared" si="7"/>
      </c>
      <c r="L44" s="13" t="str">
        <f>IF(H44="","",IFERROR(INDEX('Tipos BdE'!$B$7:$M$336,MATCH(DATE(YEAR(K44),MONTH(K44),1),'Tipos BdE'!$A$7:$A$336,1),MATCH($D$9,'Tipos BdE'!$B$6:$M$6,0)),0))</f>
      </c>
      <c r="M44" s="13" t="str">
        <f t="shared" si="3"/>
      </c>
      <c r="N44" s="13" t="str">
        <f t="shared" si="4"/>
      </c>
      <c r="O44" s="14" t="str">
        <f t="shared" si="5"/>
      </c>
      <c r="P44" s="14" t="str">
        <f>IF(H44="","",$D$5+SUM($O$5:O44))</f>
      </c>
    </row>
    <row r="45" spans="7:16" x14ac:dyDescent="0.35">
      <c r="G45" s="11" t="str">
        <f t="shared" si="0"/>
      </c>
      <c r="H45" s="12" t="str">
        <f t="shared" si="6"/>
      </c>
      <c r="I45" s="12" t="str">
        <f t="shared" si="1"/>
      </c>
      <c r="J45" s="11" t="str">
        <f t="shared" si="2"/>
      </c>
      <c r="K45" s="12" t="str">
        <f t="shared" si="7"/>
      </c>
      <c r="L45" s="13" t="str">
        <f>IF(H45="","",IFERROR(INDEX('Tipos BdE'!$B$7:$M$336,MATCH(DATE(YEAR(K45),MONTH(K45),1),'Tipos BdE'!$A$7:$A$336,1),MATCH($D$9,'Tipos BdE'!$B$6:$M$6,0)),0))</f>
      </c>
      <c r="M45" s="13" t="str">
        <f t="shared" si="3"/>
      </c>
      <c r="N45" s="13" t="str">
        <f t="shared" si="4"/>
      </c>
      <c r="O45" s="14" t="str">
        <f t="shared" si="5"/>
      </c>
      <c r="P45" s="14" t="str">
        <f>IF(H45="","",$D$5+SUM($O$5:O45))</f>
      </c>
    </row>
    <row r="46" spans="7:16" x14ac:dyDescent="0.35">
      <c r="G46" s="11" t="str">
        <f t="shared" si="0"/>
      </c>
      <c r="H46" s="12" t="str">
        <f t="shared" si="6"/>
      </c>
      <c r="I46" s="12" t="str">
        <f t="shared" si="1"/>
      </c>
      <c r="J46" s="11" t="str">
        <f t="shared" si="2"/>
      </c>
      <c r="K46" s="12" t="str">
        <f t="shared" si="7"/>
      </c>
      <c r="L46" s="13" t="str">
        <f>IF(H46="","",IFERROR(INDEX('Tipos BdE'!$B$7:$M$336,MATCH(DATE(YEAR(K46),MONTH(K46),1),'Tipos BdE'!$A$7:$A$336,1),MATCH($D$9,'Tipos BdE'!$B$6:$M$6,0)),0))</f>
      </c>
      <c r="M46" s="13" t="str">
        <f t="shared" si="3"/>
      </c>
      <c r="N46" s="13" t="str">
        <f t="shared" si="4"/>
      </c>
      <c r="O46" s="14" t="str">
        <f t="shared" si="5"/>
      </c>
      <c r="P46" s="14" t="str">
        <f>IF(H46="","",$D$5+SUM($O$5:O46))</f>
      </c>
    </row>
    <row r="47" spans="7:16" x14ac:dyDescent="0.35">
      <c r="G47" s="11" t="str">
        <f t="shared" si="0"/>
      </c>
      <c r="H47" s="12" t="str">
        <f t="shared" si="6"/>
      </c>
      <c r="I47" s="12" t="str">
        <f t="shared" si="1"/>
      </c>
      <c r="J47" s="11" t="str">
        <f t="shared" si="2"/>
      </c>
      <c r="K47" s="12" t="str">
        <f t="shared" si="7"/>
      </c>
      <c r="L47" s="13" t="str">
        <f>IF(H47="","",IFERROR(INDEX('Tipos BdE'!$B$7:$M$336,MATCH(DATE(YEAR(K47),MONTH(K47),1),'Tipos BdE'!$A$7:$A$336,1),MATCH($D$9,'Tipos BdE'!$B$6:$M$6,0)),0))</f>
      </c>
      <c r="M47" s="13" t="str">
        <f t="shared" si="3"/>
      </c>
      <c r="N47" s="13" t="str">
        <f t="shared" si="4"/>
      </c>
      <c r="O47" s="14" t="str">
        <f t="shared" si="5"/>
      </c>
      <c r="P47" s="14" t="str">
        <f>IF(H47="","",$D$5+SUM($O$5:O47))</f>
      </c>
    </row>
    <row r="48" spans="7:16" x14ac:dyDescent="0.35">
      <c r="G48" s="11" t="str">
        <f t="shared" si="0"/>
      </c>
      <c r="H48" s="12" t="str">
        <f t="shared" si="6"/>
      </c>
      <c r="I48" s="12" t="str">
        <f t="shared" si="1"/>
      </c>
      <c r="J48" s="11" t="str">
        <f t="shared" si="2"/>
      </c>
      <c r="K48" s="12" t="str">
        <f t="shared" si="7"/>
      </c>
      <c r="L48" s="13" t="str">
        <f>IF(H48="","",IFERROR(INDEX('Tipos BdE'!$B$7:$M$336,MATCH(DATE(YEAR(K48),MONTH(K48),1),'Tipos BdE'!$A$7:$A$336,1),MATCH($D$9,'Tipos BdE'!$B$6:$M$6,0)),0))</f>
      </c>
      <c r="M48" s="13" t="str">
        <f t="shared" si="3"/>
      </c>
      <c r="N48" s="13" t="str">
        <f t="shared" si="4"/>
      </c>
      <c r="O48" s="14" t="str">
        <f t="shared" si="5"/>
      </c>
      <c r="P48" s="14" t="str">
        <f>IF(H48="","",$D$5+SUM($O$5:O48))</f>
      </c>
    </row>
    <row r="49" spans="7:16" x14ac:dyDescent="0.35">
      <c r="G49" s="11" t="str">
        <f t="shared" si="0"/>
      </c>
      <c r="H49" s="12" t="str">
        <f t="shared" si="6"/>
      </c>
      <c r="I49" s="12" t="str">
        <f t="shared" si="1"/>
      </c>
      <c r="J49" s="11" t="str">
        <f t="shared" si="2"/>
      </c>
      <c r="K49" s="12" t="str">
        <f t="shared" si="7"/>
      </c>
      <c r="L49" s="13" t="str">
        <f>IF(H49="","",IFERROR(INDEX('Tipos BdE'!$B$7:$M$336,MATCH(DATE(YEAR(K49),MONTH(K49),1),'Tipos BdE'!$A$7:$A$336,1),MATCH($D$9,'Tipos BdE'!$B$6:$M$6,0)),0))</f>
      </c>
      <c r="M49" s="13" t="str">
        <f t="shared" si="3"/>
      </c>
      <c r="N49" s="13" t="str">
        <f t="shared" si="4"/>
      </c>
      <c r="O49" s="14" t="str">
        <f t="shared" si="5"/>
      </c>
      <c r="P49" s="14" t="str">
        <f>IF(H49="","",$D$5+SUM($O$5:O49))</f>
      </c>
    </row>
    <row r="50" spans="7:16" x14ac:dyDescent="0.35">
      <c r="G50" s="11" t="str">
        <f t="shared" si="0"/>
      </c>
      <c r="H50" s="12" t="str">
        <f t="shared" si="6"/>
      </c>
      <c r="I50" s="12" t="str">
        <f t="shared" si="1"/>
      </c>
      <c r="J50" s="11" t="str">
        <f t="shared" si="2"/>
      </c>
      <c r="K50" s="12" t="str">
        <f t="shared" si="7"/>
      </c>
      <c r="L50" s="13" t="str">
        <f>IF(H50="","",IFERROR(INDEX('Tipos BdE'!$B$7:$M$336,MATCH(DATE(YEAR(K50),MONTH(K50),1),'Tipos BdE'!$A$7:$A$336,1),MATCH($D$9,'Tipos BdE'!$B$6:$M$6,0)),0))</f>
      </c>
      <c r="M50" s="13" t="str">
        <f t="shared" si="3"/>
      </c>
      <c r="N50" s="13" t="str">
        <f t="shared" si="4"/>
      </c>
      <c r="O50" s="14" t="str">
        <f t="shared" si="5"/>
      </c>
      <c r="P50" s="14" t="str">
        <f>IF(H50="","",$D$5+SUM($O$5:O50))</f>
      </c>
    </row>
    <row r="51" spans="7:16" x14ac:dyDescent="0.35">
      <c r="G51" s="11" t="str">
        <f t="shared" si="0"/>
      </c>
      <c r="H51" s="12" t="str">
        <f t="shared" si="6"/>
      </c>
      <c r="I51" s="12" t="str">
        <f t="shared" si="1"/>
      </c>
      <c r="J51" s="11" t="str">
        <f t="shared" si="2"/>
      </c>
      <c r="K51" s="12" t="str">
        <f t="shared" si="7"/>
      </c>
      <c r="L51" s="13" t="str">
        <f>IF(H51="","",IFERROR(INDEX('Tipos BdE'!$B$7:$M$336,MATCH(DATE(YEAR(K51),MONTH(K51),1),'Tipos BdE'!$A$7:$A$336,1),MATCH($D$9,'Tipos BdE'!$B$6:$M$6,0)),0))</f>
      </c>
      <c r="M51" s="13" t="str">
        <f t="shared" si="3"/>
      </c>
      <c r="N51" s="13" t="str">
        <f t="shared" si="4"/>
      </c>
      <c r="O51" s="14" t="str">
        <f t="shared" si="5"/>
      </c>
      <c r="P51" s="14" t="str">
        <f>IF(H51="","",$D$5+SUM($O$5:O51))</f>
      </c>
    </row>
    <row r="52" spans="7:16" x14ac:dyDescent="0.35">
      <c r="G52" s="11" t="str">
        <f t="shared" si="0"/>
      </c>
      <c r="H52" s="12" t="str">
        <f t="shared" si="6"/>
      </c>
      <c r="I52" s="12" t="str">
        <f t="shared" si="1"/>
      </c>
      <c r="J52" s="11" t="str">
        <f t="shared" si="2"/>
      </c>
      <c r="K52" s="12" t="str">
        <f t="shared" si="7"/>
      </c>
      <c r="L52" s="13" t="str">
        <f>IF(H52="","",IFERROR(INDEX('Tipos BdE'!$B$7:$M$336,MATCH(DATE(YEAR(K52),MONTH(K52),1),'Tipos BdE'!$A$7:$A$336,1),MATCH($D$9,'Tipos BdE'!$B$6:$M$6,0)),0))</f>
      </c>
      <c r="M52" s="13" t="str">
        <f t="shared" si="3"/>
      </c>
      <c r="N52" s="13" t="str">
        <f t="shared" si="4"/>
      </c>
      <c r="O52" s="14" t="str">
        <f t="shared" si="5"/>
      </c>
      <c r="P52" s="14" t="str">
        <f>IF(H52="","",$D$5+SUM($O$5:O52))</f>
      </c>
    </row>
    <row r="53" spans="7:16" x14ac:dyDescent="0.35">
      <c r="G53" s="11" t="str">
        <f t="shared" si="0"/>
      </c>
      <c r="H53" s="12" t="str">
        <f t="shared" si="6"/>
      </c>
      <c r="I53" s="12" t="str">
        <f t="shared" si="1"/>
      </c>
      <c r="J53" s="11" t="str">
        <f t="shared" si="2"/>
      </c>
      <c r="K53" s="12" t="str">
        <f t="shared" si="7"/>
      </c>
      <c r="L53" s="13" t="str">
        <f>IF(H53="","",IFERROR(INDEX('Tipos BdE'!$B$7:$M$336,MATCH(DATE(YEAR(K53),MONTH(K53),1),'Tipos BdE'!$A$7:$A$336,1),MATCH($D$9,'Tipos BdE'!$B$6:$M$6,0)),0))</f>
      </c>
      <c r="M53" s="13" t="str">
        <f t="shared" si="3"/>
      </c>
      <c r="N53" s="13" t="str">
        <f t="shared" si="4"/>
      </c>
      <c r="O53" s="14" t="str">
        <f t="shared" si="5"/>
      </c>
      <c r="P53" s="14" t="str">
        <f>IF(H53="","",$D$5+SUM($O$5:O53))</f>
      </c>
    </row>
    <row r="54" spans="7:16" x14ac:dyDescent="0.35">
      <c r="G54" s="11" t="str">
        <f t="shared" si="0"/>
      </c>
      <c r="H54" s="12" t="str">
        <f t="shared" si="6"/>
      </c>
      <c r="I54" s="12" t="str">
        <f t="shared" si="1"/>
      </c>
      <c r="J54" s="11" t="str">
        <f t="shared" si="2"/>
      </c>
      <c r="K54" s="12" t="str">
        <f t="shared" si="7"/>
      </c>
      <c r="L54" s="13" t="str">
        <f>IF(H54="","",IFERROR(INDEX('Tipos BdE'!$B$7:$M$336,MATCH(DATE(YEAR(K54),MONTH(K54),1),'Tipos BdE'!$A$7:$A$336,1),MATCH($D$9,'Tipos BdE'!$B$6:$M$6,0)),0))</f>
      </c>
      <c r="M54" s="13" t="str">
        <f t="shared" si="3"/>
      </c>
      <c r="N54" s="13" t="str">
        <f t="shared" si="4"/>
      </c>
      <c r="O54" s="14" t="str">
        <f t="shared" si="5"/>
      </c>
      <c r="P54" s="14" t="str">
        <f>IF(H54="","",$D$5+SUM($O$5:O54))</f>
      </c>
    </row>
    <row r="55" spans="7:16" x14ac:dyDescent="0.35">
      <c r="G55" s="11" t="str">
        <f t="shared" si="0"/>
      </c>
      <c r="H55" s="12" t="str">
        <f t="shared" si="6"/>
      </c>
      <c r="I55" s="12" t="str">
        <f t="shared" si="1"/>
      </c>
      <c r="J55" s="11" t="str">
        <f t="shared" si="2"/>
      </c>
      <c r="K55" s="12" t="str">
        <f t="shared" si="7"/>
      </c>
      <c r="L55" s="13" t="str">
        <f>IF(H55="","",IFERROR(INDEX('Tipos BdE'!$B$7:$M$336,MATCH(DATE(YEAR(K55),MONTH(K55),1),'Tipos BdE'!$A$7:$A$336,1),MATCH($D$9,'Tipos BdE'!$B$6:$M$6,0)),0))</f>
      </c>
      <c r="M55" s="13" t="str">
        <f t="shared" si="3"/>
      </c>
      <c r="N55" s="13" t="str">
        <f t="shared" si="4"/>
      </c>
      <c r="O55" s="14" t="str">
        <f t="shared" si="5"/>
      </c>
      <c r="P55" s="14" t="str">
        <f>IF(H55="","",$D$5+SUM($O$5:O55))</f>
      </c>
    </row>
    <row r="56" spans="7:16" x14ac:dyDescent="0.35">
      <c r="G56" s="11" t="str">
        <f t="shared" si="0"/>
      </c>
      <c r="H56" s="12" t="str">
        <f t="shared" si="6"/>
      </c>
      <c r="I56" s="12" t="str">
        <f t="shared" si="1"/>
      </c>
      <c r="J56" s="11" t="str">
        <f t="shared" si="2"/>
      </c>
      <c r="K56" s="12" t="str">
        <f t="shared" si="7"/>
      </c>
      <c r="L56" s="13" t="str">
        <f>IF(H56="","",IFERROR(INDEX('Tipos BdE'!$B$7:$M$336,MATCH(DATE(YEAR(K56),MONTH(K56),1),'Tipos BdE'!$A$7:$A$336,1),MATCH($D$9,'Tipos BdE'!$B$6:$M$6,0)),0))</f>
      </c>
      <c r="M56" s="13" t="str">
        <f t="shared" si="3"/>
      </c>
      <c r="N56" s="13" t="str">
        <f t="shared" si="4"/>
      </c>
      <c r="O56" s="14" t="str">
        <f t="shared" si="5"/>
      </c>
      <c r="P56" s="14" t="str">
        <f>IF(H56="","",$D$5+SUM($O$5:O56))</f>
      </c>
    </row>
    <row r="57" spans="7:16" x14ac:dyDescent="0.35">
      <c r="G57" s="11" t="str">
        <f t="shared" si="0"/>
      </c>
      <c r="H57" s="12" t="str">
        <f t="shared" si="6"/>
      </c>
      <c r="I57" s="12" t="str">
        <f t="shared" si="1"/>
      </c>
      <c r="J57" s="11" t="str">
        <f t="shared" si="2"/>
      </c>
      <c r="K57" s="12" t="str">
        <f t="shared" si="7"/>
      </c>
      <c r="L57" s="13" t="str">
        <f>IF(H57="","",IFERROR(INDEX('Tipos BdE'!$B$7:$M$336,MATCH(DATE(YEAR(K57),MONTH(K57),1),'Tipos BdE'!$A$7:$A$336,1),MATCH($D$9,'Tipos BdE'!$B$6:$M$6,0)),0))</f>
      </c>
      <c r="M57" s="13" t="str">
        <f t="shared" si="3"/>
      </c>
      <c r="N57" s="13" t="str">
        <f t="shared" si="4"/>
      </c>
      <c r="O57" s="14" t="str">
        <f t="shared" si="5"/>
      </c>
      <c r="P57" s="14" t="str">
        <f>IF(H57="","",$D$5+SUM($O$5:O57))</f>
      </c>
    </row>
    <row r="58" spans="7:16" x14ac:dyDescent="0.35">
      <c r="G58" s="11" t="str">
        <f t="shared" si="0"/>
      </c>
      <c r="H58" s="12" t="str">
        <f t="shared" si="6"/>
      </c>
      <c r="I58" s="12" t="str">
        <f t="shared" si="1"/>
      </c>
      <c r="J58" s="11" t="str">
        <f t="shared" si="2"/>
      </c>
      <c r="K58" s="12" t="str">
        <f t="shared" si="7"/>
      </c>
      <c r="L58" s="13" t="str">
        <f>IF(H58="","",IFERROR(INDEX('Tipos BdE'!$B$7:$M$336,MATCH(DATE(YEAR(K58),MONTH(K58),1),'Tipos BdE'!$A$7:$A$336,1),MATCH($D$9,'Tipos BdE'!$B$6:$M$6,0)),0))</f>
      </c>
      <c r="M58" s="13" t="str">
        <f t="shared" si="3"/>
      </c>
      <c r="N58" s="13" t="str">
        <f t="shared" si="4"/>
      </c>
      <c r="O58" s="14" t="str">
        <f t="shared" si="5"/>
      </c>
      <c r="P58" s="14" t="str">
        <f>IF(H58="","",$D$5+SUM($O$5:O58))</f>
      </c>
    </row>
    <row r="59" spans="7:16" x14ac:dyDescent="0.35">
      <c r="G59" s="11" t="str">
        <f t="shared" si="0"/>
      </c>
      <c r="H59" s="12" t="str">
        <f t="shared" si="6"/>
      </c>
      <c r="I59" s="12" t="str">
        <f t="shared" si="1"/>
      </c>
      <c r="J59" s="11" t="str">
        <f t="shared" si="2"/>
      </c>
      <c r="K59" s="12" t="str">
        <f t="shared" si="7"/>
      </c>
      <c r="L59" s="13" t="str">
        <f>IF(H59="","",IFERROR(INDEX('Tipos BdE'!$B$7:$M$336,MATCH(DATE(YEAR(K59),MONTH(K59),1),'Tipos BdE'!$A$7:$A$336,1),MATCH($D$9,'Tipos BdE'!$B$6:$M$6,0)),0))</f>
      </c>
      <c r="M59" s="13" t="str">
        <f t="shared" si="3"/>
      </c>
      <c r="N59" s="13" t="str">
        <f t="shared" si="4"/>
      </c>
      <c r="O59" s="14" t="str">
        <f t="shared" si="5"/>
      </c>
      <c r="P59" s="14" t="str">
        <f>IF(H59="","",$D$5+SUM($O$5:O59))</f>
      </c>
    </row>
    <row r="60" spans="7:16" x14ac:dyDescent="0.35">
      <c r="G60" s="11" t="str">
        <f t="shared" si="0"/>
      </c>
      <c r="H60" s="12" t="str">
        <f t="shared" si="6"/>
      </c>
      <c r="I60" s="12" t="str">
        <f t="shared" si="1"/>
      </c>
      <c r="J60" s="11" t="str">
        <f t="shared" si="2"/>
      </c>
      <c r="K60" s="12" t="str">
        <f t="shared" si="7"/>
      </c>
      <c r="L60" s="13" t="str">
        <f>IF(H60="","",IFERROR(INDEX('Tipos BdE'!$B$7:$M$336,MATCH(DATE(YEAR(K60),MONTH(K60),1),'Tipos BdE'!$A$7:$A$336,1),MATCH($D$9,'Tipos BdE'!$B$6:$M$6,0)),0))</f>
      </c>
      <c r="M60" s="13" t="str">
        <f t="shared" si="3"/>
      </c>
      <c r="N60" s="13" t="str">
        <f t="shared" si="4"/>
      </c>
      <c r="O60" s="14" t="str">
        <f t="shared" si="5"/>
      </c>
      <c r="P60" s="14" t="str">
        <f>IF(H60="","",$D$5+SUM($O$5:O60))</f>
      </c>
    </row>
    <row r="61" spans="7:16" x14ac:dyDescent="0.35">
      <c r="G61" s="11" t="str">
        <f t="shared" si="0"/>
      </c>
      <c r="H61" s="12" t="str">
        <f t="shared" si="6"/>
      </c>
      <c r="I61" s="12" t="str">
        <f t="shared" si="1"/>
      </c>
      <c r="J61" s="11" t="str">
        <f t="shared" si="2"/>
      </c>
      <c r="K61" s="12" t="str">
        <f t="shared" si="7"/>
      </c>
      <c r="L61" s="13" t="str">
        <f>IF(H61="","",IFERROR(INDEX('Tipos BdE'!$B$7:$M$336,MATCH(DATE(YEAR(K61),MONTH(K61),1),'Tipos BdE'!$A$7:$A$336,1),MATCH($D$9,'Tipos BdE'!$B$6:$M$6,0)),0))</f>
      </c>
      <c r="M61" s="13" t="str">
        <f t="shared" si="3"/>
      </c>
      <c r="N61" s="13" t="str">
        <f t="shared" si="4"/>
      </c>
      <c r="O61" s="14" t="str">
        <f t="shared" si="5"/>
      </c>
      <c r="P61" s="14" t="str">
        <f>IF(H61="","",$D$5+SUM($O$5:O61))</f>
      </c>
    </row>
    <row r="62" spans="7:16" x14ac:dyDescent="0.35">
      <c r="G62" s="11" t="str">
        <f t="shared" si="0"/>
      </c>
      <c r="H62" s="12" t="str">
        <f t="shared" si="6"/>
      </c>
      <c r="I62" s="12" t="str">
        <f t="shared" si="1"/>
      </c>
      <c r="J62" s="11" t="str">
        <f t="shared" si="2"/>
      </c>
      <c r="K62" s="12" t="str">
        <f t="shared" si="7"/>
      </c>
      <c r="L62" s="13" t="str">
        <f>IF(H62="","",IFERROR(INDEX('Tipos BdE'!$B$7:$M$336,MATCH(DATE(YEAR(K62),MONTH(K62),1),'Tipos BdE'!$A$7:$A$336,1),MATCH($D$9,'Tipos BdE'!$B$6:$M$6,0)),0))</f>
      </c>
      <c r="M62" s="13" t="str">
        <f t="shared" si="3"/>
      </c>
      <c r="N62" s="13" t="str">
        <f t="shared" si="4"/>
      </c>
      <c r="O62" s="14" t="str">
        <f t="shared" si="5"/>
      </c>
      <c r="P62" s="14" t="str">
        <f>IF(H62="","",$D$5+SUM($O$5:O62))</f>
      </c>
    </row>
    <row r="63" spans="7:16" x14ac:dyDescent="0.35">
      <c r="G63" s="11" t="str">
        <f t="shared" si="0"/>
      </c>
      <c r="H63" s="12" t="str">
        <f t="shared" si="6"/>
      </c>
      <c r="I63" s="12" t="str">
        <f t="shared" si="1"/>
      </c>
      <c r="J63" s="11" t="str">
        <f t="shared" si="2"/>
      </c>
      <c r="K63" s="12" t="str">
        <f t="shared" si="7"/>
      </c>
      <c r="L63" s="13" t="str">
        <f>IF(H63="","",IFERROR(INDEX('Tipos BdE'!$B$7:$M$336,MATCH(DATE(YEAR(K63),MONTH(K63),1),'Tipos BdE'!$A$7:$A$336,1),MATCH($D$9,'Tipos BdE'!$B$6:$M$6,0)),0))</f>
      </c>
      <c r="M63" s="13" t="str">
        <f t="shared" si="3"/>
      </c>
      <c r="N63" s="13" t="str">
        <f t="shared" si="4"/>
      </c>
      <c r="O63" s="14" t="str">
        <f t="shared" si="5"/>
      </c>
      <c r="P63" s="14" t="str">
        <f>IF(H63="","",$D$5+SUM($O$5:O63))</f>
      </c>
    </row>
    <row r="64" spans="7:16" x14ac:dyDescent="0.35">
      <c r="G64" s="11" t="str">
        <f t="shared" si="0"/>
      </c>
      <c r="H64" s="12" t="str">
        <f t="shared" si="6"/>
      </c>
      <c r="I64" s="12" t="str">
        <f t="shared" si="1"/>
      </c>
      <c r="J64" s="11" t="str">
        <f t="shared" si="2"/>
      </c>
      <c r="K64" s="12" t="str">
        <f t="shared" si="7"/>
      </c>
      <c r="L64" s="13" t="str">
        <f>IF(H64="","",IFERROR(INDEX('Tipos BdE'!$B$7:$M$336,MATCH(DATE(YEAR(K64),MONTH(K64),1),'Tipos BdE'!$A$7:$A$336,1),MATCH($D$9,'Tipos BdE'!$B$6:$M$6,0)),0))</f>
      </c>
      <c r="M64" s="13" t="str">
        <f t="shared" si="3"/>
      </c>
      <c r="N64" s="13" t="str">
        <f t="shared" si="4"/>
      </c>
      <c r="O64" s="14" t="str">
        <f t="shared" si="5"/>
      </c>
      <c r="P64" s="14" t="str">
        <f>IF(H64="","",$D$5+SUM($O$5:O64))</f>
      </c>
    </row>
    <row r="65" spans="7:16" x14ac:dyDescent="0.35">
      <c r="G65" s="11" t="str">
        <f t="shared" si="0"/>
      </c>
      <c r="H65" s="12" t="str">
        <f t="shared" si="6"/>
      </c>
      <c r="I65" s="12" t="str">
        <f t="shared" si="1"/>
      </c>
      <c r="J65" s="11" t="str">
        <f t="shared" si="2"/>
      </c>
      <c r="K65" s="12" t="str">
        <f t="shared" si="7"/>
      </c>
      <c r="L65" s="13" t="str">
        <f>IF(H65="","",IFERROR(INDEX('Tipos BdE'!$B$7:$M$336,MATCH(DATE(YEAR(K65),MONTH(K65),1),'Tipos BdE'!$A$7:$A$336,1),MATCH($D$9,'Tipos BdE'!$B$6:$M$6,0)),0))</f>
      </c>
      <c r="M65" s="13" t="str">
        <f t="shared" si="3"/>
      </c>
      <c r="N65" s="13" t="str">
        <f t="shared" si="4"/>
      </c>
      <c r="O65" s="14" t="str">
        <f t="shared" si="5"/>
      </c>
      <c r="P65" s="14" t="str">
        <f>IF(H65="","",$D$5+SUM($O$5:O65))</f>
      </c>
    </row>
    <row r="66" spans="7:16" x14ac:dyDescent="0.35">
      <c r="G66" s="11" t="str">
        <f t="shared" si="0"/>
      </c>
      <c r="H66" s="12" t="str">
        <f t="shared" si="6"/>
      </c>
      <c r="I66" s="12" t="str">
        <f t="shared" si="1"/>
      </c>
      <c r="J66" s="11" t="str">
        <f t="shared" si="2"/>
      </c>
      <c r="K66" s="12" t="str">
        <f t="shared" si="7"/>
      </c>
      <c r="L66" s="13" t="str">
        <f>IF(H66="","",IFERROR(INDEX('Tipos BdE'!$B$7:$M$336,MATCH(DATE(YEAR(K66),MONTH(K66),1),'Tipos BdE'!$A$7:$A$336,1),MATCH($D$9,'Tipos BdE'!$B$6:$M$6,0)),0))</f>
      </c>
      <c r="M66" s="13" t="str">
        <f t="shared" si="3"/>
      </c>
      <c r="N66" s="13" t="str">
        <f t="shared" si="4"/>
      </c>
      <c r="O66" s="14" t="str">
        <f t="shared" si="5"/>
      </c>
      <c r="P66" s="14" t="str">
        <f>IF(H66="","",$D$5+SUM($O$5:O66))</f>
      </c>
    </row>
    <row r="67" spans="7:16" x14ac:dyDescent="0.35">
      <c r="G67" s="11" t="str">
        <f t="shared" si="0"/>
      </c>
      <c r="H67" s="12" t="str">
        <f t="shared" si="6"/>
      </c>
      <c r="I67" s="12" t="str">
        <f t="shared" si="1"/>
      </c>
      <c r="J67" s="11" t="str">
        <f t="shared" si="2"/>
      </c>
      <c r="K67" s="12" t="str">
        <f t="shared" si="7"/>
      </c>
      <c r="L67" s="13" t="str">
        <f>IF(H67="","",IFERROR(INDEX('Tipos BdE'!$B$7:$M$336,MATCH(DATE(YEAR(K67),MONTH(K67),1),'Tipos BdE'!$A$7:$A$336,1),MATCH($D$9,'Tipos BdE'!$B$6:$M$6,0)),0))</f>
      </c>
      <c r="M67" s="13" t="str">
        <f t="shared" si="3"/>
      </c>
      <c r="N67" s="13" t="str">
        <f t="shared" si="4"/>
      </c>
      <c r="O67" s="14" t="str">
        <f t="shared" si="5"/>
      </c>
      <c r="P67" s="14" t="str">
        <f>IF(H67="","",$D$5+SUM($O$5:O67))</f>
      </c>
    </row>
    <row r="68" spans="7:16" x14ac:dyDescent="0.35">
      <c r="G68" s="11" t="str">
        <f t="shared" si="0"/>
      </c>
      <c r="H68" s="12" t="str">
        <f t="shared" si="6"/>
      </c>
      <c r="I68" s="12" t="str">
        <f t="shared" si="1"/>
      </c>
      <c r="J68" s="11" t="str">
        <f t="shared" si="2"/>
      </c>
      <c r="K68" s="12" t="str">
        <f t="shared" si="7"/>
      </c>
      <c r="L68" s="13" t="str">
        <f>IF(H68="","",IFERROR(INDEX('Tipos BdE'!$B$7:$M$336,MATCH(DATE(YEAR(K68),MONTH(K68),1),'Tipos BdE'!$A$7:$A$336,1),MATCH($D$9,'Tipos BdE'!$B$6:$M$6,0)),0))</f>
      </c>
      <c r="M68" s="13" t="str">
        <f t="shared" si="3"/>
      </c>
      <c r="N68" s="13" t="str">
        <f t="shared" si="4"/>
      </c>
      <c r="O68" s="14" t="str">
        <f t="shared" si="5"/>
      </c>
      <c r="P68" s="14" t="str">
        <f>IF(H68="","",$D$5+SUM($O$5:O68))</f>
      </c>
    </row>
    <row r="69" spans="7:16" x14ac:dyDescent="0.35">
      <c r="G69" s="11" t="str">
        <f t="shared" ref="G69:G132" si="8">IF(H69="","",ROW()-4)</f>
      </c>
      <c r="H69" s="12" t="str">
        <f t="shared" si="6"/>
      </c>
      <c r="I69" s="12" t="str">
        <f t="shared" ref="I69:I132" si="9">IF(H69="","",MIN(IF($D$18="LEGAL",DATE(YEAR(H69)+1,1,1),EDATE($D$12,$D$11*(INT((((YEAR(H69)-YEAR($D$12))*12+(MONTH(H69)-MONTH($D$12))-IF(DAY(H69)&lt;DAY($D$12),1,0))/$D$11))+1))),$D$7))</f>
      </c>
      <c r="J69" s="11" t="str">
        <f t="shared" ref="J69:J132" si="10">IF(H69="","",I69-H69)</f>
      </c>
      <c r="K69" s="12" t="str">
        <f t="shared" si="7"/>
      </c>
      <c r="L69" s="13" t="str">
        <f>IF(H69="","",IFERROR(INDEX('Tipos BdE'!$B$7:$M$336,MATCH(DATE(YEAR(K69),MONTH(K69),1),'Tipos BdE'!$A$7:$A$336,1),MATCH($D$9,'Tipos BdE'!$B$6:$M$6,0)),0))</f>
      </c>
      <c r="M69" s="13" t="str">
        <f t="shared" ref="M69:M132" si="11">IF(H69="","",IF($D$18="LEGAL",0,$D$10))</f>
      </c>
      <c r="N69" s="13" t="str">
        <f t="shared" ref="N69:N132" si="12">IF(H69="","",IF(AND($D$14="Sí",(L69+M69)&lt;0),0,L69+M69))</f>
      </c>
      <c r="O69" s="14" t="str">
        <f t="shared" ref="O69:O132" si="13">IF(H69="","",$D$5*N69*J69/36500)</f>
      </c>
      <c r="P69" s="14" t="str">
        <f>IF(H69="","",$D$5+SUM($O$5:O69))</f>
      </c>
    </row>
    <row r="70" spans="7:16" x14ac:dyDescent="0.35">
      <c r="G70" s="11" t="str">
        <f t="shared" si="8"/>
      </c>
      <c r="H70" s="12" t="str">
        <f t="shared" ref="H70:H133" si="14">IF(OR(I69="",I69&gt;=$D$7),"",I69)</f>
      </c>
      <c r="I70" s="12" t="str">
        <f t="shared" si="9"/>
      </c>
      <c r="J70" s="11" t="str">
        <f t="shared" si="10"/>
      </c>
      <c r="K70" s="12" t="str">
        <f t="shared" ref="K70:K133" si="15">IF(H70="","",IF($D$18="LEGAL",H70,EDATE(H70,-$D$13)))</f>
      </c>
      <c r="L70" s="13" t="str">
        <f>IF(H70="","",IFERROR(INDEX('Tipos BdE'!$B$7:$M$336,MATCH(DATE(YEAR(K70),MONTH(K70),1),'Tipos BdE'!$A$7:$A$336,1),MATCH($D$9,'Tipos BdE'!$B$6:$M$6,0)),0))</f>
      </c>
      <c r="M70" s="13" t="str">
        <f t="shared" si="11"/>
      </c>
      <c r="N70" s="13" t="str">
        <f t="shared" si="12"/>
      </c>
      <c r="O70" s="14" t="str">
        <f t="shared" si="13"/>
      </c>
      <c r="P70" s="14" t="str">
        <f>IF(H70="","",$D$5+SUM($O$5:O70))</f>
      </c>
    </row>
    <row r="71" spans="7:16" x14ac:dyDescent="0.35">
      <c r="G71" s="11" t="str">
        <f t="shared" si="8"/>
      </c>
      <c r="H71" s="12" t="str">
        <f t="shared" si="14"/>
      </c>
      <c r="I71" s="12" t="str">
        <f t="shared" si="9"/>
      </c>
      <c r="J71" s="11" t="str">
        <f t="shared" si="10"/>
      </c>
      <c r="K71" s="12" t="str">
        <f t="shared" si="15"/>
      </c>
      <c r="L71" s="13" t="str">
        <f>IF(H71="","",IFERROR(INDEX('Tipos BdE'!$B$7:$M$336,MATCH(DATE(YEAR(K71),MONTH(K71),1),'Tipos BdE'!$A$7:$A$336,1),MATCH($D$9,'Tipos BdE'!$B$6:$M$6,0)),0))</f>
      </c>
      <c r="M71" s="13" t="str">
        <f t="shared" si="11"/>
      </c>
      <c r="N71" s="13" t="str">
        <f t="shared" si="12"/>
      </c>
      <c r="O71" s="14" t="str">
        <f t="shared" si="13"/>
      </c>
      <c r="P71" s="14" t="str">
        <f>IF(H71="","",$D$5+SUM($O$5:O71))</f>
      </c>
    </row>
    <row r="72" spans="7:16" x14ac:dyDescent="0.35">
      <c r="G72" s="11" t="str">
        <f t="shared" si="8"/>
      </c>
      <c r="H72" s="12" t="str">
        <f t="shared" si="14"/>
      </c>
      <c r="I72" s="12" t="str">
        <f t="shared" si="9"/>
      </c>
      <c r="J72" s="11" t="str">
        <f t="shared" si="10"/>
      </c>
      <c r="K72" s="12" t="str">
        <f t="shared" si="15"/>
      </c>
      <c r="L72" s="13" t="str">
        <f>IF(H72="","",IFERROR(INDEX('Tipos BdE'!$B$7:$M$336,MATCH(DATE(YEAR(K72),MONTH(K72),1),'Tipos BdE'!$A$7:$A$336,1),MATCH($D$9,'Tipos BdE'!$B$6:$M$6,0)),0))</f>
      </c>
      <c r="M72" s="13" t="str">
        <f t="shared" si="11"/>
      </c>
      <c r="N72" s="13" t="str">
        <f t="shared" si="12"/>
      </c>
      <c r="O72" s="14" t="str">
        <f t="shared" si="13"/>
      </c>
      <c r="P72" s="14" t="str">
        <f>IF(H72="","",$D$5+SUM($O$5:O72))</f>
      </c>
    </row>
    <row r="73" spans="7:16" x14ac:dyDescent="0.35">
      <c r="G73" s="11" t="str">
        <f t="shared" si="8"/>
      </c>
      <c r="H73" s="12" t="str">
        <f t="shared" si="14"/>
      </c>
      <c r="I73" s="12" t="str">
        <f t="shared" si="9"/>
      </c>
      <c r="J73" s="11" t="str">
        <f t="shared" si="10"/>
      </c>
      <c r="K73" s="12" t="str">
        <f t="shared" si="15"/>
      </c>
      <c r="L73" s="13" t="str">
        <f>IF(H73="","",IFERROR(INDEX('Tipos BdE'!$B$7:$M$336,MATCH(DATE(YEAR(K73),MONTH(K73),1),'Tipos BdE'!$A$7:$A$336,1),MATCH($D$9,'Tipos BdE'!$B$6:$M$6,0)),0))</f>
      </c>
      <c r="M73" s="13" t="str">
        <f t="shared" si="11"/>
      </c>
      <c r="N73" s="13" t="str">
        <f t="shared" si="12"/>
      </c>
      <c r="O73" s="14" t="str">
        <f t="shared" si="13"/>
      </c>
      <c r="P73" s="14" t="str">
        <f>IF(H73="","",$D$5+SUM($O$5:O73))</f>
      </c>
    </row>
    <row r="74" spans="7:16" x14ac:dyDescent="0.35">
      <c r="G74" s="11" t="str">
        <f t="shared" si="8"/>
      </c>
      <c r="H74" s="12" t="str">
        <f t="shared" si="14"/>
      </c>
      <c r="I74" s="12" t="str">
        <f t="shared" si="9"/>
      </c>
      <c r="J74" s="11" t="str">
        <f t="shared" si="10"/>
      </c>
      <c r="K74" s="12" t="str">
        <f t="shared" si="15"/>
      </c>
      <c r="L74" s="13" t="str">
        <f>IF(H74="","",IFERROR(INDEX('Tipos BdE'!$B$7:$M$336,MATCH(DATE(YEAR(K74),MONTH(K74),1),'Tipos BdE'!$A$7:$A$336,1),MATCH($D$9,'Tipos BdE'!$B$6:$M$6,0)),0))</f>
      </c>
      <c r="M74" s="13" t="str">
        <f t="shared" si="11"/>
      </c>
      <c r="N74" s="13" t="str">
        <f t="shared" si="12"/>
      </c>
      <c r="O74" s="14" t="str">
        <f t="shared" si="13"/>
      </c>
      <c r="P74" s="14" t="str">
        <f>IF(H74="","",$D$5+SUM($O$5:O74))</f>
      </c>
    </row>
    <row r="75" spans="7:16" x14ac:dyDescent="0.35">
      <c r="G75" s="11" t="str">
        <f t="shared" si="8"/>
      </c>
      <c r="H75" s="12" t="str">
        <f t="shared" si="14"/>
      </c>
      <c r="I75" s="12" t="str">
        <f t="shared" si="9"/>
      </c>
      <c r="J75" s="11" t="str">
        <f t="shared" si="10"/>
      </c>
      <c r="K75" s="12" t="str">
        <f t="shared" si="15"/>
      </c>
      <c r="L75" s="13" t="str">
        <f>IF(H75="","",IFERROR(INDEX('Tipos BdE'!$B$7:$M$336,MATCH(DATE(YEAR(K75),MONTH(K75),1),'Tipos BdE'!$A$7:$A$336,1),MATCH($D$9,'Tipos BdE'!$B$6:$M$6,0)),0))</f>
      </c>
      <c r="M75" s="13" t="str">
        <f t="shared" si="11"/>
      </c>
      <c r="N75" s="13" t="str">
        <f t="shared" si="12"/>
      </c>
      <c r="O75" s="14" t="str">
        <f t="shared" si="13"/>
      </c>
      <c r="P75" s="14" t="str">
        <f>IF(H75="","",$D$5+SUM($O$5:O75))</f>
      </c>
    </row>
    <row r="76" spans="7:16" x14ac:dyDescent="0.35">
      <c r="G76" s="11" t="str">
        <f t="shared" si="8"/>
      </c>
      <c r="H76" s="12" t="str">
        <f t="shared" si="14"/>
      </c>
      <c r="I76" s="12" t="str">
        <f t="shared" si="9"/>
      </c>
      <c r="J76" s="11" t="str">
        <f t="shared" si="10"/>
      </c>
      <c r="K76" s="12" t="str">
        <f t="shared" si="15"/>
      </c>
      <c r="L76" s="13" t="str">
        <f>IF(H76="","",IFERROR(INDEX('Tipos BdE'!$B$7:$M$336,MATCH(DATE(YEAR(K76),MONTH(K76),1),'Tipos BdE'!$A$7:$A$336,1),MATCH($D$9,'Tipos BdE'!$B$6:$M$6,0)),0))</f>
      </c>
      <c r="M76" s="13" t="str">
        <f t="shared" si="11"/>
      </c>
      <c r="N76" s="13" t="str">
        <f t="shared" si="12"/>
      </c>
      <c r="O76" s="14" t="str">
        <f t="shared" si="13"/>
      </c>
      <c r="P76" s="14" t="str">
        <f>IF(H76="","",$D$5+SUM($O$5:O76))</f>
      </c>
    </row>
    <row r="77" spans="7:16" x14ac:dyDescent="0.35">
      <c r="G77" s="11" t="str">
        <f t="shared" si="8"/>
      </c>
      <c r="H77" s="12" t="str">
        <f t="shared" si="14"/>
      </c>
      <c r="I77" s="12" t="str">
        <f t="shared" si="9"/>
      </c>
      <c r="J77" s="11" t="str">
        <f t="shared" si="10"/>
      </c>
      <c r="K77" s="12" t="str">
        <f t="shared" si="15"/>
      </c>
      <c r="L77" s="13" t="str">
        <f>IF(H77="","",IFERROR(INDEX('Tipos BdE'!$B$7:$M$336,MATCH(DATE(YEAR(K77),MONTH(K77),1),'Tipos BdE'!$A$7:$A$336,1),MATCH($D$9,'Tipos BdE'!$B$6:$M$6,0)),0))</f>
      </c>
      <c r="M77" s="13" t="str">
        <f t="shared" si="11"/>
      </c>
      <c r="N77" s="13" t="str">
        <f t="shared" si="12"/>
      </c>
      <c r="O77" s="14" t="str">
        <f t="shared" si="13"/>
      </c>
      <c r="P77" s="14" t="str">
        <f>IF(H77="","",$D$5+SUM($O$5:O77))</f>
      </c>
    </row>
    <row r="78" spans="7:16" x14ac:dyDescent="0.35">
      <c r="G78" s="11" t="str">
        <f t="shared" si="8"/>
      </c>
      <c r="H78" s="12" t="str">
        <f t="shared" si="14"/>
      </c>
      <c r="I78" s="12" t="str">
        <f t="shared" si="9"/>
      </c>
      <c r="J78" s="11" t="str">
        <f t="shared" si="10"/>
      </c>
      <c r="K78" s="12" t="str">
        <f t="shared" si="15"/>
      </c>
      <c r="L78" s="13" t="str">
        <f>IF(H78="","",IFERROR(INDEX('Tipos BdE'!$B$7:$M$336,MATCH(DATE(YEAR(K78),MONTH(K78),1),'Tipos BdE'!$A$7:$A$336,1),MATCH($D$9,'Tipos BdE'!$B$6:$M$6,0)),0))</f>
      </c>
      <c r="M78" s="13" t="str">
        <f t="shared" si="11"/>
      </c>
      <c r="N78" s="13" t="str">
        <f t="shared" si="12"/>
      </c>
      <c r="O78" s="14" t="str">
        <f t="shared" si="13"/>
      </c>
      <c r="P78" s="14" t="str">
        <f>IF(H78="","",$D$5+SUM($O$5:O78))</f>
      </c>
    </row>
    <row r="79" spans="7:16" x14ac:dyDescent="0.35">
      <c r="G79" s="11" t="str">
        <f t="shared" si="8"/>
      </c>
      <c r="H79" s="12" t="str">
        <f t="shared" si="14"/>
      </c>
      <c r="I79" s="12" t="str">
        <f t="shared" si="9"/>
      </c>
      <c r="J79" s="11" t="str">
        <f t="shared" si="10"/>
      </c>
      <c r="K79" s="12" t="str">
        <f t="shared" si="15"/>
      </c>
      <c r="L79" s="13" t="str">
        <f>IF(H79="","",IFERROR(INDEX('Tipos BdE'!$B$7:$M$336,MATCH(DATE(YEAR(K79),MONTH(K79),1),'Tipos BdE'!$A$7:$A$336,1),MATCH($D$9,'Tipos BdE'!$B$6:$M$6,0)),0))</f>
      </c>
      <c r="M79" s="13" t="str">
        <f t="shared" si="11"/>
      </c>
      <c r="N79" s="13" t="str">
        <f t="shared" si="12"/>
      </c>
      <c r="O79" s="14" t="str">
        <f t="shared" si="13"/>
      </c>
      <c r="P79" s="14" t="str">
        <f>IF(H79="","",$D$5+SUM($O$5:O79))</f>
      </c>
    </row>
    <row r="80" spans="7:16" x14ac:dyDescent="0.35">
      <c r="G80" s="11" t="str">
        <f t="shared" si="8"/>
      </c>
      <c r="H80" s="12" t="str">
        <f t="shared" si="14"/>
      </c>
      <c r="I80" s="12" t="str">
        <f t="shared" si="9"/>
      </c>
      <c r="J80" s="11" t="str">
        <f t="shared" si="10"/>
      </c>
      <c r="K80" s="12" t="str">
        <f t="shared" si="15"/>
      </c>
      <c r="L80" s="13" t="str">
        <f>IF(H80="","",IFERROR(INDEX('Tipos BdE'!$B$7:$M$336,MATCH(DATE(YEAR(K80),MONTH(K80),1),'Tipos BdE'!$A$7:$A$336,1),MATCH($D$9,'Tipos BdE'!$B$6:$M$6,0)),0))</f>
      </c>
      <c r="M80" s="13" t="str">
        <f t="shared" si="11"/>
      </c>
      <c r="N80" s="13" t="str">
        <f t="shared" si="12"/>
      </c>
      <c r="O80" s="14" t="str">
        <f t="shared" si="13"/>
      </c>
      <c r="P80" s="14" t="str">
        <f>IF(H80="","",$D$5+SUM($O$5:O80))</f>
      </c>
    </row>
    <row r="81" spans="7:16" x14ac:dyDescent="0.35">
      <c r="G81" s="11" t="str">
        <f t="shared" si="8"/>
      </c>
      <c r="H81" s="12" t="str">
        <f t="shared" si="14"/>
      </c>
      <c r="I81" s="12" t="str">
        <f t="shared" si="9"/>
      </c>
      <c r="J81" s="11" t="str">
        <f t="shared" si="10"/>
      </c>
      <c r="K81" s="12" t="str">
        <f t="shared" si="15"/>
      </c>
      <c r="L81" s="13" t="str">
        <f>IF(H81="","",IFERROR(INDEX('Tipos BdE'!$B$7:$M$336,MATCH(DATE(YEAR(K81),MONTH(K81),1),'Tipos BdE'!$A$7:$A$336,1),MATCH($D$9,'Tipos BdE'!$B$6:$M$6,0)),0))</f>
      </c>
      <c r="M81" s="13" t="str">
        <f t="shared" si="11"/>
      </c>
      <c r="N81" s="13" t="str">
        <f t="shared" si="12"/>
      </c>
      <c r="O81" s="14" t="str">
        <f t="shared" si="13"/>
      </c>
      <c r="P81" s="14" t="str">
        <f>IF(H81="","",$D$5+SUM($O$5:O81))</f>
      </c>
    </row>
    <row r="82" spans="7:16" x14ac:dyDescent="0.35">
      <c r="G82" s="11" t="str">
        <f t="shared" si="8"/>
      </c>
      <c r="H82" s="12" t="str">
        <f t="shared" si="14"/>
      </c>
      <c r="I82" s="12" t="str">
        <f t="shared" si="9"/>
      </c>
      <c r="J82" s="11" t="str">
        <f t="shared" si="10"/>
      </c>
      <c r="K82" s="12" t="str">
        <f t="shared" si="15"/>
      </c>
      <c r="L82" s="13" t="str">
        <f>IF(H82="","",IFERROR(INDEX('Tipos BdE'!$B$7:$M$336,MATCH(DATE(YEAR(K82),MONTH(K82),1),'Tipos BdE'!$A$7:$A$336,1),MATCH($D$9,'Tipos BdE'!$B$6:$M$6,0)),0))</f>
      </c>
      <c r="M82" s="13" t="str">
        <f t="shared" si="11"/>
      </c>
      <c r="N82" s="13" t="str">
        <f t="shared" si="12"/>
      </c>
      <c r="O82" s="14" t="str">
        <f t="shared" si="13"/>
      </c>
      <c r="P82" s="14" t="str">
        <f>IF(H82="","",$D$5+SUM($O$5:O82))</f>
      </c>
    </row>
    <row r="83" spans="7:16" x14ac:dyDescent="0.35">
      <c r="G83" s="11" t="str">
        <f t="shared" si="8"/>
      </c>
      <c r="H83" s="12" t="str">
        <f t="shared" si="14"/>
      </c>
      <c r="I83" s="12" t="str">
        <f t="shared" si="9"/>
      </c>
      <c r="J83" s="11" t="str">
        <f t="shared" si="10"/>
      </c>
      <c r="K83" s="12" t="str">
        <f t="shared" si="15"/>
      </c>
      <c r="L83" s="13" t="str">
        <f>IF(H83="","",IFERROR(INDEX('Tipos BdE'!$B$7:$M$336,MATCH(DATE(YEAR(K83),MONTH(K83),1),'Tipos BdE'!$A$7:$A$336,1),MATCH($D$9,'Tipos BdE'!$B$6:$M$6,0)),0))</f>
      </c>
      <c r="M83" s="13" t="str">
        <f t="shared" si="11"/>
      </c>
      <c r="N83" s="13" t="str">
        <f t="shared" si="12"/>
      </c>
      <c r="O83" s="14" t="str">
        <f t="shared" si="13"/>
      </c>
      <c r="P83" s="14" t="str">
        <f>IF(H83="","",$D$5+SUM($O$5:O83))</f>
      </c>
    </row>
    <row r="84" spans="7:16" x14ac:dyDescent="0.35">
      <c r="G84" s="11" t="str">
        <f t="shared" si="8"/>
      </c>
      <c r="H84" s="12" t="str">
        <f t="shared" si="14"/>
      </c>
      <c r="I84" s="12" t="str">
        <f t="shared" si="9"/>
      </c>
      <c r="J84" s="11" t="str">
        <f t="shared" si="10"/>
      </c>
      <c r="K84" s="12" t="str">
        <f t="shared" si="15"/>
      </c>
      <c r="L84" s="13" t="str">
        <f>IF(H84="","",IFERROR(INDEX('Tipos BdE'!$B$7:$M$336,MATCH(DATE(YEAR(K84),MONTH(K84),1),'Tipos BdE'!$A$7:$A$336,1),MATCH($D$9,'Tipos BdE'!$B$6:$M$6,0)),0))</f>
      </c>
      <c r="M84" s="13" t="str">
        <f t="shared" si="11"/>
      </c>
      <c r="N84" s="13" t="str">
        <f t="shared" si="12"/>
      </c>
      <c r="O84" s="14" t="str">
        <f t="shared" si="13"/>
      </c>
      <c r="P84" s="14" t="str">
        <f>IF(H84="","",$D$5+SUM($O$5:O84))</f>
      </c>
    </row>
    <row r="85" spans="7:16" x14ac:dyDescent="0.35">
      <c r="G85" s="11" t="str">
        <f t="shared" si="8"/>
      </c>
      <c r="H85" s="12" t="str">
        <f t="shared" si="14"/>
      </c>
      <c r="I85" s="12" t="str">
        <f t="shared" si="9"/>
      </c>
      <c r="J85" s="11" t="str">
        <f t="shared" si="10"/>
      </c>
      <c r="K85" s="12" t="str">
        <f t="shared" si="15"/>
      </c>
      <c r="L85" s="13" t="str">
        <f>IF(H85="","",IFERROR(INDEX('Tipos BdE'!$B$7:$M$336,MATCH(DATE(YEAR(K85),MONTH(K85),1),'Tipos BdE'!$A$7:$A$336,1),MATCH($D$9,'Tipos BdE'!$B$6:$M$6,0)),0))</f>
      </c>
      <c r="M85" s="13" t="str">
        <f t="shared" si="11"/>
      </c>
      <c r="N85" s="13" t="str">
        <f t="shared" si="12"/>
      </c>
      <c r="O85" s="14" t="str">
        <f t="shared" si="13"/>
      </c>
      <c r="P85" s="14" t="str">
        <f>IF(H85="","",$D$5+SUM($O$5:O85))</f>
      </c>
    </row>
    <row r="86" spans="7:16" x14ac:dyDescent="0.35">
      <c r="G86" s="11" t="str">
        <f t="shared" si="8"/>
      </c>
      <c r="H86" s="12" t="str">
        <f t="shared" si="14"/>
      </c>
      <c r="I86" s="12" t="str">
        <f t="shared" si="9"/>
      </c>
      <c r="J86" s="11" t="str">
        <f t="shared" si="10"/>
      </c>
      <c r="K86" s="12" t="str">
        <f t="shared" si="15"/>
      </c>
      <c r="L86" s="13" t="str">
        <f>IF(H86="","",IFERROR(INDEX('Tipos BdE'!$B$7:$M$336,MATCH(DATE(YEAR(K86),MONTH(K86),1),'Tipos BdE'!$A$7:$A$336,1),MATCH($D$9,'Tipos BdE'!$B$6:$M$6,0)),0))</f>
      </c>
      <c r="M86" s="13" t="str">
        <f t="shared" si="11"/>
      </c>
      <c r="N86" s="13" t="str">
        <f t="shared" si="12"/>
      </c>
      <c r="O86" s="14" t="str">
        <f t="shared" si="13"/>
      </c>
      <c r="P86" s="14" t="str">
        <f>IF(H86="","",$D$5+SUM($O$5:O86))</f>
      </c>
    </row>
    <row r="87" spans="7:16" x14ac:dyDescent="0.35">
      <c r="G87" s="11" t="str">
        <f t="shared" si="8"/>
      </c>
      <c r="H87" s="12" t="str">
        <f t="shared" si="14"/>
      </c>
      <c r="I87" s="12" t="str">
        <f t="shared" si="9"/>
      </c>
      <c r="J87" s="11" t="str">
        <f t="shared" si="10"/>
      </c>
      <c r="K87" s="12" t="str">
        <f t="shared" si="15"/>
      </c>
      <c r="L87" s="13" t="str">
        <f>IF(H87="","",IFERROR(INDEX('Tipos BdE'!$B$7:$M$336,MATCH(DATE(YEAR(K87),MONTH(K87),1),'Tipos BdE'!$A$7:$A$336,1),MATCH($D$9,'Tipos BdE'!$B$6:$M$6,0)),0))</f>
      </c>
      <c r="M87" s="13" t="str">
        <f t="shared" si="11"/>
      </c>
      <c r="N87" s="13" t="str">
        <f t="shared" si="12"/>
      </c>
      <c r="O87" s="14" t="str">
        <f t="shared" si="13"/>
      </c>
      <c r="P87" s="14" t="str">
        <f>IF(H87="","",$D$5+SUM($O$5:O87))</f>
      </c>
    </row>
    <row r="88" spans="7:16" x14ac:dyDescent="0.35">
      <c r="G88" s="11" t="str">
        <f t="shared" si="8"/>
      </c>
      <c r="H88" s="12" t="str">
        <f t="shared" si="14"/>
      </c>
      <c r="I88" s="12" t="str">
        <f t="shared" si="9"/>
      </c>
      <c r="J88" s="11" t="str">
        <f t="shared" si="10"/>
      </c>
      <c r="K88" s="12" t="str">
        <f t="shared" si="15"/>
      </c>
      <c r="L88" s="13" t="str">
        <f>IF(H88="","",IFERROR(INDEX('Tipos BdE'!$B$7:$M$336,MATCH(DATE(YEAR(K88),MONTH(K88),1),'Tipos BdE'!$A$7:$A$336,1),MATCH($D$9,'Tipos BdE'!$B$6:$M$6,0)),0))</f>
      </c>
      <c r="M88" s="13" t="str">
        <f t="shared" si="11"/>
      </c>
      <c r="N88" s="13" t="str">
        <f t="shared" si="12"/>
      </c>
      <c r="O88" s="14" t="str">
        <f t="shared" si="13"/>
      </c>
      <c r="P88" s="14" t="str">
        <f>IF(H88="","",$D$5+SUM($O$5:O88))</f>
      </c>
    </row>
    <row r="89" spans="7:16" x14ac:dyDescent="0.35">
      <c r="G89" s="11" t="str">
        <f t="shared" si="8"/>
      </c>
      <c r="H89" s="12" t="str">
        <f t="shared" si="14"/>
      </c>
      <c r="I89" s="12" t="str">
        <f t="shared" si="9"/>
      </c>
      <c r="J89" s="11" t="str">
        <f t="shared" si="10"/>
      </c>
      <c r="K89" s="12" t="str">
        <f t="shared" si="15"/>
      </c>
      <c r="L89" s="13" t="str">
        <f>IF(H89="","",IFERROR(INDEX('Tipos BdE'!$B$7:$M$336,MATCH(DATE(YEAR(K89),MONTH(K89),1),'Tipos BdE'!$A$7:$A$336,1),MATCH($D$9,'Tipos BdE'!$B$6:$M$6,0)),0))</f>
      </c>
      <c r="M89" s="13" t="str">
        <f t="shared" si="11"/>
      </c>
      <c r="N89" s="13" t="str">
        <f t="shared" si="12"/>
      </c>
      <c r="O89" s="14" t="str">
        <f t="shared" si="13"/>
      </c>
      <c r="P89" s="14" t="str">
        <f>IF(H89="","",$D$5+SUM($O$5:O89))</f>
      </c>
    </row>
    <row r="90" spans="7:16" x14ac:dyDescent="0.35">
      <c r="G90" s="11" t="str">
        <f t="shared" si="8"/>
      </c>
      <c r="H90" s="12" t="str">
        <f t="shared" si="14"/>
      </c>
      <c r="I90" s="12" t="str">
        <f t="shared" si="9"/>
      </c>
      <c r="J90" s="11" t="str">
        <f t="shared" si="10"/>
      </c>
      <c r="K90" s="12" t="str">
        <f t="shared" si="15"/>
      </c>
      <c r="L90" s="13" t="str">
        <f>IF(H90="","",IFERROR(INDEX('Tipos BdE'!$B$7:$M$336,MATCH(DATE(YEAR(K90),MONTH(K90),1),'Tipos BdE'!$A$7:$A$336,1),MATCH($D$9,'Tipos BdE'!$B$6:$M$6,0)),0))</f>
      </c>
      <c r="M90" s="13" t="str">
        <f t="shared" si="11"/>
      </c>
      <c r="N90" s="13" t="str">
        <f t="shared" si="12"/>
      </c>
      <c r="O90" s="14" t="str">
        <f t="shared" si="13"/>
      </c>
      <c r="P90" s="14" t="str">
        <f>IF(H90="","",$D$5+SUM($O$5:O90))</f>
      </c>
    </row>
    <row r="91" spans="7:16" x14ac:dyDescent="0.35">
      <c r="G91" s="11" t="str">
        <f t="shared" si="8"/>
      </c>
      <c r="H91" s="12" t="str">
        <f t="shared" si="14"/>
      </c>
      <c r="I91" s="12" t="str">
        <f t="shared" si="9"/>
      </c>
      <c r="J91" s="11" t="str">
        <f t="shared" si="10"/>
      </c>
      <c r="K91" s="12" t="str">
        <f t="shared" si="15"/>
      </c>
      <c r="L91" s="13" t="str">
        <f>IF(H91="","",IFERROR(INDEX('Tipos BdE'!$B$7:$M$336,MATCH(DATE(YEAR(K91),MONTH(K91),1),'Tipos BdE'!$A$7:$A$336,1),MATCH($D$9,'Tipos BdE'!$B$6:$M$6,0)),0))</f>
      </c>
      <c r="M91" s="13" t="str">
        <f t="shared" si="11"/>
      </c>
      <c r="N91" s="13" t="str">
        <f t="shared" si="12"/>
      </c>
      <c r="O91" s="14" t="str">
        <f t="shared" si="13"/>
      </c>
      <c r="P91" s="14" t="str">
        <f>IF(H91="","",$D$5+SUM($O$5:O91))</f>
      </c>
    </row>
    <row r="92" spans="7:16" x14ac:dyDescent="0.35">
      <c r="G92" s="11" t="str">
        <f t="shared" si="8"/>
      </c>
      <c r="H92" s="12" t="str">
        <f t="shared" si="14"/>
      </c>
      <c r="I92" s="12" t="str">
        <f t="shared" si="9"/>
      </c>
      <c r="J92" s="11" t="str">
        <f t="shared" si="10"/>
      </c>
      <c r="K92" s="12" t="str">
        <f t="shared" si="15"/>
      </c>
      <c r="L92" s="13" t="str">
        <f>IF(H92="","",IFERROR(INDEX('Tipos BdE'!$B$7:$M$336,MATCH(DATE(YEAR(K92),MONTH(K92),1),'Tipos BdE'!$A$7:$A$336,1),MATCH($D$9,'Tipos BdE'!$B$6:$M$6,0)),0))</f>
      </c>
      <c r="M92" s="13" t="str">
        <f t="shared" si="11"/>
      </c>
      <c r="N92" s="13" t="str">
        <f t="shared" si="12"/>
      </c>
      <c r="O92" s="14" t="str">
        <f t="shared" si="13"/>
      </c>
      <c r="P92" s="14" t="str">
        <f>IF(H92="","",$D$5+SUM($O$5:O92))</f>
      </c>
    </row>
    <row r="93" spans="7:16" x14ac:dyDescent="0.35">
      <c r="G93" s="11" t="str">
        <f t="shared" si="8"/>
      </c>
      <c r="H93" s="12" t="str">
        <f t="shared" si="14"/>
      </c>
      <c r="I93" s="12" t="str">
        <f t="shared" si="9"/>
      </c>
      <c r="J93" s="11" t="str">
        <f t="shared" si="10"/>
      </c>
      <c r="K93" s="12" t="str">
        <f t="shared" si="15"/>
      </c>
      <c r="L93" s="13" t="str">
        <f>IF(H93="","",IFERROR(INDEX('Tipos BdE'!$B$7:$M$336,MATCH(DATE(YEAR(K93),MONTH(K93),1),'Tipos BdE'!$A$7:$A$336,1),MATCH($D$9,'Tipos BdE'!$B$6:$M$6,0)),0))</f>
      </c>
      <c r="M93" s="13" t="str">
        <f t="shared" si="11"/>
      </c>
      <c r="N93" s="13" t="str">
        <f t="shared" si="12"/>
      </c>
      <c r="O93" s="14" t="str">
        <f t="shared" si="13"/>
      </c>
      <c r="P93" s="14" t="str">
        <f>IF(H93="","",$D$5+SUM($O$5:O93))</f>
      </c>
    </row>
    <row r="94" spans="7:16" x14ac:dyDescent="0.35">
      <c r="G94" s="11" t="str">
        <f t="shared" si="8"/>
      </c>
      <c r="H94" s="12" t="str">
        <f t="shared" si="14"/>
      </c>
      <c r="I94" s="12" t="str">
        <f t="shared" si="9"/>
      </c>
      <c r="J94" s="11" t="str">
        <f t="shared" si="10"/>
      </c>
      <c r="K94" s="12" t="str">
        <f t="shared" si="15"/>
      </c>
      <c r="L94" s="13" t="str">
        <f>IF(H94="","",IFERROR(INDEX('Tipos BdE'!$B$7:$M$336,MATCH(DATE(YEAR(K94),MONTH(K94),1),'Tipos BdE'!$A$7:$A$336,1),MATCH($D$9,'Tipos BdE'!$B$6:$M$6,0)),0))</f>
      </c>
      <c r="M94" s="13" t="str">
        <f t="shared" si="11"/>
      </c>
      <c r="N94" s="13" t="str">
        <f t="shared" si="12"/>
      </c>
      <c r="O94" s="14" t="str">
        <f t="shared" si="13"/>
      </c>
      <c r="P94" s="14" t="str">
        <f>IF(H94="","",$D$5+SUM($O$5:O94))</f>
      </c>
    </row>
    <row r="95" spans="7:16" x14ac:dyDescent="0.35">
      <c r="G95" s="11" t="str">
        <f t="shared" si="8"/>
      </c>
      <c r="H95" s="12" t="str">
        <f t="shared" si="14"/>
      </c>
      <c r="I95" s="12" t="str">
        <f t="shared" si="9"/>
      </c>
      <c r="J95" s="11" t="str">
        <f t="shared" si="10"/>
      </c>
      <c r="K95" s="12" t="str">
        <f t="shared" si="15"/>
      </c>
      <c r="L95" s="13" t="str">
        <f>IF(H95="","",IFERROR(INDEX('Tipos BdE'!$B$7:$M$336,MATCH(DATE(YEAR(K95),MONTH(K95),1),'Tipos BdE'!$A$7:$A$336,1),MATCH($D$9,'Tipos BdE'!$B$6:$M$6,0)),0))</f>
      </c>
      <c r="M95" s="13" t="str">
        <f t="shared" si="11"/>
      </c>
      <c r="N95" s="13" t="str">
        <f t="shared" si="12"/>
      </c>
      <c r="O95" s="14" t="str">
        <f t="shared" si="13"/>
      </c>
      <c r="P95" s="14" t="str">
        <f>IF(H95="","",$D$5+SUM($O$5:O95))</f>
      </c>
    </row>
    <row r="96" spans="7:16" x14ac:dyDescent="0.35">
      <c r="G96" s="11" t="str">
        <f t="shared" si="8"/>
      </c>
      <c r="H96" s="12" t="str">
        <f t="shared" si="14"/>
      </c>
      <c r="I96" s="12" t="str">
        <f t="shared" si="9"/>
      </c>
      <c r="J96" s="11" t="str">
        <f t="shared" si="10"/>
      </c>
      <c r="K96" s="12" t="str">
        <f t="shared" si="15"/>
      </c>
      <c r="L96" s="13" t="str">
        <f>IF(H96="","",IFERROR(INDEX('Tipos BdE'!$B$7:$M$336,MATCH(DATE(YEAR(K96),MONTH(K96),1),'Tipos BdE'!$A$7:$A$336,1),MATCH($D$9,'Tipos BdE'!$B$6:$M$6,0)),0))</f>
      </c>
      <c r="M96" s="13" t="str">
        <f t="shared" si="11"/>
      </c>
      <c r="N96" s="13" t="str">
        <f t="shared" si="12"/>
      </c>
      <c r="O96" s="14" t="str">
        <f t="shared" si="13"/>
      </c>
      <c r="P96" s="14" t="str">
        <f>IF(H96="","",$D$5+SUM($O$5:O96))</f>
      </c>
    </row>
    <row r="97" spans="7:16" x14ac:dyDescent="0.35">
      <c r="G97" s="11" t="str">
        <f t="shared" si="8"/>
      </c>
      <c r="H97" s="12" t="str">
        <f t="shared" si="14"/>
      </c>
      <c r="I97" s="12" t="str">
        <f t="shared" si="9"/>
      </c>
      <c r="J97" s="11" t="str">
        <f t="shared" si="10"/>
      </c>
      <c r="K97" s="12" t="str">
        <f t="shared" si="15"/>
      </c>
      <c r="L97" s="13" t="str">
        <f>IF(H97="","",IFERROR(INDEX('Tipos BdE'!$B$7:$M$336,MATCH(DATE(YEAR(K97),MONTH(K97),1),'Tipos BdE'!$A$7:$A$336,1),MATCH($D$9,'Tipos BdE'!$B$6:$M$6,0)),0))</f>
      </c>
      <c r="M97" s="13" t="str">
        <f t="shared" si="11"/>
      </c>
      <c r="N97" s="13" t="str">
        <f t="shared" si="12"/>
      </c>
      <c r="O97" s="14" t="str">
        <f t="shared" si="13"/>
      </c>
      <c r="P97" s="14" t="str">
        <f>IF(H97="","",$D$5+SUM($O$5:O97))</f>
      </c>
    </row>
    <row r="98" spans="7:16" x14ac:dyDescent="0.35">
      <c r="G98" s="11" t="str">
        <f t="shared" si="8"/>
      </c>
      <c r="H98" s="12" t="str">
        <f t="shared" si="14"/>
      </c>
      <c r="I98" s="12" t="str">
        <f t="shared" si="9"/>
      </c>
      <c r="J98" s="11" t="str">
        <f t="shared" si="10"/>
      </c>
      <c r="K98" s="12" t="str">
        <f t="shared" si="15"/>
      </c>
      <c r="L98" s="13" t="str">
        <f>IF(H98="","",IFERROR(INDEX('Tipos BdE'!$B$7:$M$336,MATCH(DATE(YEAR(K98),MONTH(K98),1),'Tipos BdE'!$A$7:$A$336,1),MATCH($D$9,'Tipos BdE'!$B$6:$M$6,0)),0))</f>
      </c>
      <c r="M98" s="13" t="str">
        <f t="shared" si="11"/>
      </c>
      <c r="N98" s="13" t="str">
        <f t="shared" si="12"/>
      </c>
      <c r="O98" s="14" t="str">
        <f t="shared" si="13"/>
      </c>
      <c r="P98" s="14" t="str">
        <f>IF(H98="","",$D$5+SUM($O$5:O98))</f>
      </c>
    </row>
    <row r="99" spans="7:16" x14ac:dyDescent="0.35">
      <c r="G99" s="11" t="str">
        <f t="shared" si="8"/>
      </c>
      <c r="H99" s="12" t="str">
        <f t="shared" si="14"/>
      </c>
      <c r="I99" s="12" t="str">
        <f t="shared" si="9"/>
      </c>
      <c r="J99" s="11" t="str">
        <f t="shared" si="10"/>
      </c>
      <c r="K99" s="12" t="str">
        <f t="shared" si="15"/>
      </c>
      <c r="L99" s="13" t="str">
        <f>IF(H99="","",IFERROR(INDEX('Tipos BdE'!$B$7:$M$336,MATCH(DATE(YEAR(K99),MONTH(K99),1),'Tipos BdE'!$A$7:$A$336,1),MATCH($D$9,'Tipos BdE'!$B$6:$M$6,0)),0))</f>
      </c>
      <c r="M99" s="13" t="str">
        <f t="shared" si="11"/>
      </c>
      <c r="N99" s="13" t="str">
        <f t="shared" si="12"/>
      </c>
      <c r="O99" s="14" t="str">
        <f t="shared" si="13"/>
      </c>
      <c r="P99" s="14" t="str">
        <f>IF(H99="","",$D$5+SUM($O$5:O99))</f>
      </c>
    </row>
    <row r="100" spans="7:16" x14ac:dyDescent="0.35">
      <c r="G100" s="11" t="str">
        <f t="shared" si="8"/>
      </c>
      <c r="H100" s="12" t="str">
        <f t="shared" si="14"/>
      </c>
      <c r="I100" s="12" t="str">
        <f t="shared" si="9"/>
      </c>
      <c r="J100" s="11" t="str">
        <f t="shared" si="10"/>
      </c>
      <c r="K100" s="12" t="str">
        <f t="shared" si="15"/>
      </c>
      <c r="L100" s="13" t="str">
        <f>IF(H100="","",IFERROR(INDEX('Tipos BdE'!$B$7:$M$336,MATCH(DATE(YEAR(K100),MONTH(K100),1),'Tipos BdE'!$A$7:$A$336,1),MATCH($D$9,'Tipos BdE'!$B$6:$M$6,0)),0))</f>
      </c>
      <c r="M100" s="13" t="str">
        <f t="shared" si="11"/>
      </c>
      <c r="N100" s="13" t="str">
        <f t="shared" si="12"/>
      </c>
      <c r="O100" s="14" t="str">
        <f t="shared" si="13"/>
      </c>
      <c r="P100" s="14" t="str">
        <f>IF(H100="","",$D$5+SUM($O$5:O100))</f>
      </c>
    </row>
    <row r="101" spans="7:16" x14ac:dyDescent="0.35">
      <c r="G101" s="11" t="str">
        <f t="shared" si="8"/>
      </c>
      <c r="H101" s="12" t="str">
        <f t="shared" si="14"/>
      </c>
      <c r="I101" s="12" t="str">
        <f t="shared" si="9"/>
      </c>
      <c r="J101" s="11" t="str">
        <f t="shared" si="10"/>
      </c>
      <c r="K101" s="12" t="str">
        <f t="shared" si="15"/>
      </c>
      <c r="L101" s="13" t="str">
        <f>IF(H101="","",IFERROR(INDEX('Tipos BdE'!$B$7:$M$336,MATCH(DATE(YEAR(K101),MONTH(K101),1),'Tipos BdE'!$A$7:$A$336,1),MATCH($D$9,'Tipos BdE'!$B$6:$M$6,0)),0))</f>
      </c>
      <c r="M101" s="13" t="str">
        <f t="shared" si="11"/>
      </c>
      <c r="N101" s="13" t="str">
        <f t="shared" si="12"/>
      </c>
      <c r="O101" s="14" t="str">
        <f t="shared" si="13"/>
      </c>
      <c r="P101" s="14" t="str">
        <f>IF(H101="","",$D$5+SUM($O$5:O101))</f>
      </c>
    </row>
    <row r="102" spans="7:16" x14ac:dyDescent="0.35">
      <c r="G102" s="11" t="str">
        <f t="shared" si="8"/>
      </c>
      <c r="H102" s="12" t="str">
        <f t="shared" si="14"/>
      </c>
      <c r="I102" s="12" t="str">
        <f t="shared" si="9"/>
      </c>
      <c r="J102" s="11" t="str">
        <f t="shared" si="10"/>
      </c>
      <c r="K102" s="12" t="str">
        <f t="shared" si="15"/>
      </c>
      <c r="L102" s="13" t="str">
        <f>IF(H102="","",IFERROR(INDEX('Tipos BdE'!$B$7:$M$336,MATCH(DATE(YEAR(K102),MONTH(K102),1),'Tipos BdE'!$A$7:$A$336,1),MATCH($D$9,'Tipos BdE'!$B$6:$M$6,0)),0))</f>
      </c>
      <c r="M102" s="13" t="str">
        <f t="shared" si="11"/>
      </c>
      <c r="N102" s="13" t="str">
        <f t="shared" si="12"/>
      </c>
      <c r="O102" s="14" t="str">
        <f t="shared" si="13"/>
      </c>
      <c r="P102" s="14" t="str">
        <f>IF(H102="","",$D$5+SUM($O$5:O102))</f>
      </c>
    </row>
    <row r="103" spans="7:16" x14ac:dyDescent="0.35">
      <c r="G103" s="11" t="str">
        <f t="shared" si="8"/>
      </c>
      <c r="H103" s="12" t="str">
        <f t="shared" si="14"/>
      </c>
      <c r="I103" s="12" t="str">
        <f t="shared" si="9"/>
      </c>
      <c r="J103" s="11" t="str">
        <f t="shared" si="10"/>
      </c>
      <c r="K103" s="12" t="str">
        <f t="shared" si="15"/>
      </c>
      <c r="L103" s="13" t="str">
        <f>IF(H103="","",IFERROR(INDEX('Tipos BdE'!$B$7:$M$336,MATCH(DATE(YEAR(K103),MONTH(K103),1),'Tipos BdE'!$A$7:$A$336,1),MATCH($D$9,'Tipos BdE'!$B$6:$M$6,0)),0))</f>
      </c>
      <c r="M103" s="13" t="str">
        <f t="shared" si="11"/>
      </c>
      <c r="N103" s="13" t="str">
        <f t="shared" si="12"/>
      </c>
      <c r="O103" s="14" t="str">
        <f t="shared" si="13"/>
      </c>
      <c r="P103" s="14" t="str">
        <f>IF(H103="","",$D$5+SUM($O$5:O103))</f>
      </c>
    </row>
    <row r="104" spans="7:16" x14ac:dyDescent="0.35">
      <c r="G104" s="11" t="str">
        <f t="shared" si="8"/>
      </c>
      <c r="H104" s="12" t="str">
        <f t="shared" si="14"/>
      </c>
      <c r="I104" s="12" t="str">
        <f t="shared" si="9"/>
      </c>
      <c r="J104" s="11" t="str">
        <f t="shared" si="10"/>
      </c>
      <c r="K104" s="12" t="str">
        <f t="shared" si="15"/>
      </c>
      <c r="L104" s="13" t="str">
        <f>IF(H104="","",IFERROR(INDEX('Tipos BdE'!$B$7:$M$336,MATCH(DATE(YEAR(K104),MONTH(K104),1),'Tipos BdE'!$A$7:$A$336,1),MATCH($D$9,'Tipos BdE'!$B$6:$M$6,0)),0))</f>
      </c>
      <c r="M104" s="13" t="str">
        <f t="shared" si="11"/>
      </c>
      <c r="N104" s="13" t="str">
        <f t="shared" si="12"/>
      </c>
      <c r="O104" s="14" t="str">
        <f t="shared" si="13"/>
      </c>
      <c r="P104" s="14" t="str">
        <f>IF(H104="","",$D$5+SUM($O$5:O104))</f>
      </c>
    </row>
    <row r="105" spans="7:16" x14ac:dyDescent="0.35">
      <c r="G105" s="11" t="str">
        <f t="shared" si="8"/>
      </c>
      <c r="H105" s="12" t="str">
        <f t="shared" si="14"/>
      </c>
      <c r="I105" s="12" t="str">
        <f t="shared" si="9"/>
      </c>
      <c r="J105" s="11" t="str">
        <f t="shared" si="10"/>
      </c>
      <c r="K105" s="12" t="str">
        <f t="shared" si="15"/>
      </c>
      <c r="L105" s="13" t="str">
        <f>IF(H105="","",IFERROR(INDEX('Tipos BdE'!$B$7:$M$336,MATCH(DATE(YEAR(K105),MONTH(K105),1),'Tipos BdE'!$A$7:$A$336,1),MATCH($D$9,'Tipos BdE'!$B$6:$M$6,0)),0))</f>
      </c>
      <c r="M105" s="13" t="str">
        <f t="shared" si="11"/>
      </c>
      <c r="N105" s="13" t="str">
        <f t="shared" si="12"/>
      </c>
      <c r="O105" s="14" t="str">
        <f t="shared" si="13"/>
      </c>
      <c r="P105" s="14" t="str">
        <f>IF(H105="","",$D$5+SUM($O$5:O105))</f>
      </c>
    </row>
    <row r="106" spans="7:16" x14ac:dyDescent="0.35">
      <c r="G106" s="11" t="str">
        <f t="shared" si="8"/>
      </c>
      <c r="H106" s="12" t="str">
        <f t="shared" si="14"/>
      </c>
      <c r="I106" s="12" t="str">
        <f t="shared" si="9"/>
      </c>
      <c r="J106" s="11" t="str">
        <f t="shared" si="10"/>
      </c>
      <c r="K106" s="12" t="str">
        <f t="shared" si="15"/>
      </c>
      <c r="L106" s="13" t="str">
        <f>IF(H106="","",IFERROR(INDEX('Tipos BdE'!$B$7:$M$336,MATCH(DATE(YEAR(K106),MONTH(K106),1),'Tipos BdE'!$A$7:$A$336,1),MATCH($D$9,'Tipos BdE'!$B$6:$M$6,0)),0))</f>
      </c>
      <c r="M106" s="13" t="str">
        <f t="shared" si="11"/>
      </c>
      <c r="N106" s="13" t="str">
        <f t="shared" si="12"/>
      </c>
      <c r="O106" s="14" t="str">
        <f t="shared" si="13"/>
      </c>
      <c r="P106" s="14" t="str">
        <f>IF(H106="","",$D$5+SUM($O$5:O106))</f>
      </c>
    </row>
    <row r="107" spans="7:16" x14ac:dyDescent="0.35">
      <c r="G107" s="11" t="str">
        <f t="shared" si="8"/>
      </c>
      <c r="H107" s="12" t="str">
        <f t="shared" si="14"/>
      </c>
      <c r="I107" s="12" t="str">
        <f t="shared" si="9"/>
      </c>
      <c r="J107" s="11" t="str">
        <f t="shared" si="10"/>
      </c>
      <c r="K107" s="12" t="str">
        <f t="shared" si="15"/>
      </c>
      <c r="L107" s="13" t="str">
        <f>IF(H107="","",IFERROR(INDEX('Tipos BdE'!$B$7:$M$336,MATCH(DATE(YEAR(K107),MONTH(K107),1),'Tipos BdE'!$A$7:$A$336,1),MATCH($D$9,'Tipos BdE'!$B$6:$M$6,0)),0))</f>
      </c>
      <c r="M107" s="13" t="str">
        <f t="shared" si="11"/>
      </c>
      <c r="N107" s="13" t="str">
        <f t="shared" si="12"/>
      </c>
      <c r="O107" s="14" t="str">
        <f t="shared" si="13"/>
      </c>
      <c r="P107" s="14" t="str">
        <f>IF(H107="","",$D$5+SUM($O$5:O107))</f>
      </c>
    </row>
    <row r="108" spans="7:16" x14ac:dyDescent="0.35">
      <c r="G108" s="11" t="str">
        <f t="shared" si="8"/>
      </c>
      <c r="H108" s="12" t="str">
        <f t="shared" si="14"/>
      </c>
      <c r="I108" s="12" t="str">
        <f t="shared" si="9"/>
      </c>
      <c r="J108" s="11" t="str">
        <f t="shared" si="10"/>
      </c>
      <c r="K108" s="12" t="str">
        <f t="shared" si="15"/>
      </c>
      <c r="L108" s="13" t="str">
        <f>IF(H108="","",IFERROR(INDEX('Tipos BdE'!$B$7:$M$336,MATCH(DATE(YEAR(K108),MONTH(K108),1),'Tipos BdE'!$A$7:$A$336,1),MATCH($D$9,'Tipos BdE'!$B$6:$M$6,0)),0))</f>
      </c>
      <c r="M108" s="13" t="str">
        <f t="shared" si="11"/>
      </c>
      <c r="N108" s="13" t="str">
        <f t="shared" si="12"/>
      </c>
      <c r="O108" s="14" t="str">
        <f t="shared" si="13"/>
      </c>
      <c r="P108" s="14" t="str">
        <f>IF(H108="","",$D$5+SUM($O$5:O108))</f>
      </c>
    </row>
    <row r="109" spans="7:16" x14ac:dyDescent="0.35">
      <c r="G109" s="11" t="str">
        <f t="shared" si="8"/>
      </c>
      <c r="H109" s="12" t="str">
        <f t="shared" si="14"/>
      </c>
      <c r="I109" s="12" t="str">
        <f t="shared" si="9"/>
      </c>
      <c r="J109" s="11" t="str">
        <f t="shared" si="10"/>
      </c>
      <c r="K109" s="12" t="str">
        <f t="shared" si="15"/>
      </c>
      <c r="L109" s="13" t="str">
        <f>IF(H109="","",IFERROR(INDEX('Tipos BdE'!$B$7:$M$336,MATCH(DATE(YEAR(K109),MONTH(K109),1),'Tipos BdE'!$A$7:$A$336,1),MATCH($D$9,'Tipos BdE'!$B$6:$M$6,0)),0))</f>
      </c>
      <c r="M109" s="13" t="str">
        <f t="shared" si="11"/>
      </c>
      <c r="N109" s="13" t="str">
        <f t="shared" si="12"/>
      </c>
      <c r="O109" s="14" t="str">
        <f t="shared" si="13"/>
      </c>
      <c r="P109" s="14" t="str">
        <f>IF(H109="","",$D$5+SUM($O$5:O109))</f>
      </c>
    </row>
    <row r="110" spans="7:16" x14ac:dyDescent="0.35">
      <c r="G110" s="11" t="str">
        <f t="shared" si="8"/>
      </c>
      <c r="H110" s="12" t="str">
        <f t="shared" si="14"/>
      </c>
      <c r="I110" s="12" t="str">
        <f t="shared" si="9"/>
      </c>
      <c r="J110" s="11" t="str">
        <f t="shared" si="10"/>
      </c>
      <c r="K110" s="12" t="str">
        <f t="shared" si="15"/>
      </c>
      <c r="L110" s="13" t="str">
        <f>IF(H110="","",IFERROR(INDEX('Tipos BdE'!$B$7:$M$336,MATCH(DATE(YEAR(K110),MONTH(K110),1),'Tipos BdE'!$A$7:$A$336,1),MATCH($D$9,'Tipos BdE'!$B$6:$M$6,0)),0))</f>
      </c>
      <c r="M110" s="13" t="str">
        <f t="shared" si="11"/>
      </c>
      <c r="N110" s="13" t="str">
        <f t="shared" si="12"/>
      </c>
      <c r="O110" s="14" t="str">
        <f t="shared" si="13"/>
      </c>
      <c r="P110" s="14" t="str">
        <f>IF(H110="","",$D$5+SUM($O$5:O110))</f>
      </c>
    </row>
    <row r="111" spans="7:16" x14ac:dyDescent="0.35">
      <c r="G111" s="11" t="str">
        <f t="shared" si="8"/>
      </c>
      <c r="H111" s="12" t="str">
        <f t="shared" si="14"/>
      </c>
      <c r="I111" s="12" t="str">
        <f t="shared" si="9"/>
      </c>
      <c r="J111" s="11" t="str">
        <f t="shared" si="10"/>
      </c>
      <c r="K111" s="12" t="str">
        <f t="shared" si="15"/>
      </c>
      <c r="L111" s="13" t="str">
        <f>IF(H111="","",IFERROR(INDEX('Tipos BdE'!$B$7:$M$336,MATCH(DATE(YEAR(K111),MONTH(K111),1),'Tipos BdE'!$A$7:$A$336,1),MATCH($D$9,'Tipos BdE'!$B$6:$M$6,0)),0))</f>
      </c>
      <c r="M111" s="13" t="str">
        <f t="shared" si="11"/>
      </c>
      <c r="N111" s="13" t="str">
        <f t="shared" si="12"/>
      </c>
      <c r="O111" s="14" t="str">
        <f t="shared" si="13"/>
      </c>
      <c r="P111" s="14" t="str">
        <f>IF(H111="","",$D$5+SUM($O$5:O111))</f>
      </c>
    </row>
    <row r="112" spans="7:16" x14ac:dyDescent="0.35">
      <c r="G112" s="11" t="str">
        <f t="shared" si="8"/>
      </c>
      <c r="H112" s="12" t="str">
        <f t="shared" si="14"/>
      </c>
      <c r="I112" s="12" t="str">
        <f t="shared" si="9"/>
      </c>
      <c r="J112" s="11" t="str">
        <f t="shared" si="10"/>
      </c>
      <c r="K112" s="12" t="str">
        <f t="shared" si="15"/>
      </c>
      <c r="L112" s="13" t="str">
        <f>IF(H112="","",IFERROR(INDEX('Tipos BdE'!$B$7:$M$336,MATCH(DATE(YEAR(K112),MONTH(K112),1),'Tipos BdE'!$A$7:$A$336,1),MATCH($D$9,'Tipos BdE'!$B$6:$M$6,0)),0))</f>
      </c>
      <c r="M112" s="13" t="str">
        <f t="shared" si="11"/>
      </c>
      <c r="N112" s="13" t="str">
        <f t="shared" si="12"/>
      </c>
      <c r="O112" s="14" t="str">
        <f t="shared" si="13"/>
      </c>
      <c r="P112" s="14" t="str">
        <f>IF(H112="","",$D$5+SUM($O$5:O112))</f>
      </c>
    </row>
    <row r="113" spans="7:16" x14ac:dyDescent="0.35">
      <c r="G113" s="11" t="str">
        <f t="shared" si="8"/>
      </c>
      <c r="H113" s="12" t="str">
        <f t="shared" si="14"/>
      </c>
      <c r="I113" s="12" t="str">
        <f t="shared" si="9"/>
      </c>
      <c r="J113" s="11" t="str">
        <f t="shared" si="10"/>
      </c>
      <c r="K113" s="12" t="str">
        <f t="shared" si="15"/>
      </c>
      <c r="L113" s="13" t="str">
        <f>IF(H113="","",IFERROR(INDEX('Tipos BdE'!$B$7:$M$336,MATCH(DATE(YEAR(K113),MONTH(K113),1),'Tipos BdE'!$A$7:$A$336,1),MATCH($D$9,'Tipos BdE'!$B$6:$M$6,0)),0))</f>
      </c>
      <c r="M113" s="13" t="str">
        <f t="shared" si="11"/>
      </c>
      <c r="N113" s="13" t="str">
        <f t="shared" si="12"/>
      </c>
      <c r="O113" s="14" t="str">
        <f t="shared" si="13"/>
      </c>
      <c r="P113" s="14" t="str">
        <f>IF(H113="","",$D$5+SUM($O$5:O113))</f>
      </c>
    </row>
    <row r="114" spans="7:16" x14ac:dyDescent="0.35">
      <c r="G114" s="11" t="str">
        <f t="shared" si="8"/>
      </c>
      <c r="H114" s="12" t="str">
        <f t="shared" si="14"/>
      </c>
      <c r="I114" s="12" t="str">
        <f t="shared" si="9"/>
      </c>
      <c r="J114" s="11" t="str">
        <f t="shared" si="10"/>
      </c>
      <c r="K114" s="12" t="str">
        <f t="shared" si="15"/>
      </c>
      <c r="L114" s="13" t="str">
        <f>IF(H114="","",IFERROR(INDEX('Tipos BdE'!$B$7:$M$336,MATCH(DATE(YEAR(K114),MONTH(K114),1),'Tipos BdE'!$A$7:$A$336,1),MATCH($D$9,'Tipos BdE'!$B$6:$M$6,0)),0))</f>
      </c>
      <c r="M114" s="13" t="str">
        <f t="shared" si="11"/>
      </c>
      <c r="N114" s="13" t="str">
        <f t="shared" si="12"/>
      </c>
      <c r="O114" s="14" t="str">
        <f t="shared" si="13"/>
      </c>
      <c r="P114" s="14" t="str">
        <f>IF(H114="","",$D$5+SUM($O$5:O114))</f>
      </c>
    </row>
    <row r="115" spans="7:16" x14ac:dyDescent="0.35">
      <c r="G115" s="11" t="str">
        <f t="shared" si="8"/>
      </c>
      <c r="H115" s="12" t="str">
        <f t="shared" si="14"/>
      </c>
      <c r="I115" s="12" t="str">
        <f t="shared" si="9"/>
      </c>
      <c r="J115" s="11" t="str">
        <f t="shared" si="10"/>
      </c>
      <c r="K115" s="12" t="str">
        <f t="shared" si="15"/>
      </c>
      <c r="L115" s="13" t="str">
        <f>IF(H115="","",IFERROR(INDEX('Tipos BdE'!$B$7:$M$336,MATCH(DATE(YEAR(K115),MONTH(K115),1),'Tipos BdE'!$A$7:$A$336,1),MATCH($D$9,'Tipos BdE'!$B$6:$M$6,0)),0))</f>
      </c>
      <c r="M115" s="13" t="str">
        <f t="shared" si="11"/>
      </c>
      <c r="N115" s="13" t="str">
        <f t="shared" si="12"/>
      </c>
      <c r="O115" s="14" t="str">
        <f t="shared" si="13"/>
      </c>
      <c r="P115" s="14" t="str">
        <f>IF(H115="","",$D$5+SUM($O$5:O115))</f>
      </c>
    </row>
    <row r="116" spans="7:16" x14ac:dyDescent="0.35">
      <c r="G116" s="11" t="str">
        <f t="shared" si="8"/>
      </c>
      <c r="H116" s="12" t="str">
        <f t="shared" si="14"/>
      </c>
      <c r="I116" s="12" t="str">
        <f t="shared" si="9"/>
      </c>
      <c r="J116" s="11" t="str">
        <f t="shared" si="10"/>
      </c>
      <c r="K116" s="12" t="str">
        <f t="shared" si="15"/>
      </c>
      <c r="L116" s="13" t="str">
        <f>IF(H116="","",IFERROR(INDEX('Tipos BdE'!$B$7:$M$336,MATCH(DATE(YEAR(K116),MONTH(K116),1),'Tipos BdE'!$A$7:$A$336,1),MATCH($D$9,'Tipos BdE'!$B$6:$M$6,0)),0))</f>
      </c>
      <c r="M116" s="13" t="str">
        <f t="shared" si="11"/>
      </c>
      <c r="N116" s="13" t="str">
        <f t="shared" si="12"/>
      </c>
      <c r="O116" s="14" t="str">
        <f t="shared" si="13"/>
      </c>
      <c r="P116" s="14" t="str">
        <f>IF(H116="","",$D$5+SUM($O$5:O116))</f>
      </c>
    </row>
    <row r="117" spans="7:16" x14ac:dyDescent="0.35">
      <c r="G117" s="11" t="str">
        <f t="shared" si="8"/>
      </c>
      <c r="H117" s="12" t="str">
        <f t="shared" si="14"/>
      </c>
      <c r="I117" s="12" t="str">
        <f t="shared" si="9"/>
      </c>
      <c r="J117" s="11" t="str">
        <f t="shared" si="10"/>
      </c>
      <c r="K117" s="12" t="str">
        <f t="shared" si="15"/>
      </c>
      <c r="L117" s="13" t="str">
        <f>IF(H117="","",IFERROR(INDEX('Tipos BdE'!$B$7:$M$336,MATCH(DATE(YEAR(K117),MONTH(K117),1),'Tipos BdE'!$A$7:$A$336,1),MATCH($D$9,'Tipos BdE'!$B$6:$M$6,0)),0))</f>
      </c>
      <c r="M117" s="13" t="str">
        <f t="shared" si="11"/>
      </c>
      <c r="N117" s="13" t="str">
        <f t="shared" si="12"/>
      </c>
      <c r="O117" s="14" t="str">
        <f t="shared" si="13"/>
      </c>
      <c r="P117" s="14" t="str">
        <f>IF(H117="","",$D$5+SUM($O$5:O117))</f>
      </c>
    </row>
    <row r="118" spans="7:16" x14ac:dyDescent="0.35">
      <c r="G118" s="11" t="str">
        <f t="shared" si="8"/>
      </c>
      <c r="H118" s="12" t="str">
        <f t="shared" si="14"/>
      </c>
      <c r="I118" s="12" t="str">
        <f t="shared" si="9"/>
      </c>
      <c r="J118" s="11" t="str">
        <f t="shared" si="10"/>
      </c>
      <c r="K118" s="12" t="str">
        <f t="shared" si="15"/>
      </c>
      <c r="L118" s="13" t="str">
        <f>IF(H118="","",IFERROR(INDEX('Tipos BdE'!$B$7:$M$336,MATCH(DATE(YEAR(K118),MONTH(K118),1),'Tipos BdE'!$A$7:$A$336,1),MATCH($D$9,'Tipos BdE'!$B$6:$M$6,0)),0))</f>
      </c>
      <c r="M118" s="13" t="str">
        <f t="shared" si="11"/>
      </c>
      <c r="N118" s="13" t="str">
        <f t="shared" si="12"/>
      </c>
      <c r="O118" s="14" t="str">
        <f t="shared" si="13"/>
      </c>
      <c r="P118" s="14" t="str">
        <f>IF(H118="","",$D$5+SUM($O$5:O118))</f>
      </c>
    </row>
    <row r="119" spans="7:16" x14ac:dyDescent="0.35">
      <c r="G119" s="11" t="str">
        <f t="shared" si="8"/>
      </c>
      <c r="H119" s="12" t="str">
        <f t="shared" si="14"/>
      </c>
      <c r="I119" s="12" t="str">
        <f t="shared" si="9"/>
      </c>
      <c r="J119" s="11" t="str">
        <f t="shared" si="10"/>
      </c>
      <c r="K119" s="12" t="str">
        <f t="shared" si="15"/>
      </c>
      <c r="L119" s="13" t="str">
        <f>IF(H119="","",IFERROR(INDEX('Tipos BdE'!$B$7:$M$336,MATCH(DATE(YEAR(K119),MONTH(K119),1),'Tipos BdE'!$A$7:$A$336,1),MATCH($D$9,'Tipos BdE'!$B$6:$M$6,0)),0))</f>
      </c>
      <c r="M119" s="13" t="str">
        <f t="shared" si="11"/>
      </c>
      <c r="N119" s="13" t="str">
        <f t="shared" si="12"/>
      </c>
      <c r="O119" s="14" t="str">
        <f t="shared" si="13"/>
      </c>
      <c r="P119" s="14" t="str">
        <f>IF(H119="","",$D$5+SUM($O$5:O119))</f>
      </c>
    </row>
    <row r="120" spans="7:16" x14ac:dyDescent="0.35">
      <c r="G120" s="11" t="str">
        <f t="shared" si="8"/>
      </c>
      <c r="H120" s="12" t="str">
        <f t="shared" si="14"/>
      </c>
      <c r="I120" s="12" t="str">
        <f t="shared" si="9"/>
      </c>
      <c r="J120" s="11" t="str">
        <f t="shared" si="10"/>
      </c>
      <c r="K120" s="12" t="str">
        <f t="shared" si="15"/>
      </c>
      <c r="L120" s="13" t="str">
        <f>IF(H120="","",IFERROR(INDEX('Tipos BdE'!$B$7:$M$336,MATCH(DATE(YEAR(K120),MONTH(K120),1),'Tipos BdE'!$A$7:$A$336,1),MATCH($D$9,'Tipos BdE'!$B$6:$M$6,0)),0))</f>
      </c>
      <c r="M120" s="13" t="str">
        <f t="shared" si="11"/>
      </c>
      <c r="N120" s="13" t="str">
        <f t="shared" si="12"/>
      </c>
      <c r="O120" s="14" t="str">
        <f t="shared" si="13"/>
      </c>
      <c r="P120" s="14" t="str">
        <f>IF(H120="","",$D$5+SUM($O$5:O120))</f>
      </c>
    </row>
    <row r="121" spans="7:16" x14ac:dyDescent="0.35">
      <c r="G121" s="11" t="str">
        <f t="shared" si="8"/>
      </c>
      <c r="H121" s="12" t="str">
        <f t="shared" si="14"/>
      </c>
      <c r="I121" s="12" t="str">
        <f t="shared" si="9"/>
      </c>
      <c r="J121" s="11" t="str">
        <f t="shared" si="10"/>
      </c>
      <c r="K121" s="12" t="str">
        <f t="shared" si="15"/>
      </c>
      <c r="L121" s="13" t="str">
        <f>IF(H121="","",IFERROR(INDEX('Tipos BdE'!$B$7:$M$336,MATCH(DATE(YEAR(K121),MONTH(K121),1),'Tipos BdE'!$A$7:$A$336,1),MATCH($D$9,'Tipos BdE'!$B$6:$M$6,0)),0))</f>
      </c>
      <c r="M121" s="13" t="str">
        <f t="shared" si="11"/>
      </c>
      <c r="N121" s="13" t="str">
        <f t="shared" si="12"/>
      </c>
      <c r="O121" s="14" t="str">
        <f t="shared" si="13"/>
      </c>
      <c r="P121" s="14" t="str">
        <f>IF(H121="","",$D$5+SUM($O$5:O121))</f>
      </c>
    </row>
    <row r="122" spans="7:16" x14ac:dyDescent="0.35">
      <c r="G122" s="11" t="str">
        <f t="shared" si="8"/>
      </c>
      <c r="H122" s="12" t="str">
        <f t="shared" si="14"/>
      </c>
      <c r="I122" s="12" t="str">
        <f t="shared" si="9"/>
      </c>
      <c r="J122" s="11" t="str">
        <f t="shared" si="10"/>
      </c>
      <c r="K122" s="12" t="str">
        <f t="shared" si="15"/>
      </c>
      <c r="L122" s="13" t="str">
        <f>IF(H122="","",IFERROR(INDEX('Tipos BdE'!$B$7:$M$336,MATCH(DATE(YEAR(K122),MONTH(K122),1),'Tipos BdE'!$A$7:$A$336,1),MATCH($D$9,'Tipos BdE'!$B$6:$M$6,0)),0))</f>
      </c>
      <c r="M122" s="13" t="str">
        <f t="shared" si="11"/>
      </c>
      <c r="N122" s="13" t="str">
        <f t="shared" si="12"/>
      </c>
      <c r="O122" s="14" t="str">
        <f t="shared" si="13"/>
      </c>
      <c r="P122" s="14" t="str">
        <f>IF(H122="","",$D$5+SUM($O$5:O122))</f>
      </c>
    </row>
    <row r="123" spans="7:16" x14ac:dyDescent="0.35">
      <c r="G123" s="11" t="str">
        <f t="shared" si="8"/>
      </c>
      <c r="H123" s="12" t="str">
        <f t="shared" si="14"/>
      </c>
      <c r="I123" s="12" t="str">
        <f t="shared" si="9"/>
      </c>
      <c r="J123" s="11" t="str">
        <f t="shared" si="10"/>
      </c>
      <c r="K123" s="12" t="str">
        <f t="shared" si="15"/>
      </c>
      <c r="L123" s="13" t="str">
        <f>IF(H123="","",IFERROR(INDEX('Tipos BdE'!$B$7:$M$336,MATCH(DATE(YEAR(K123),MONTH(K123),1),'Tipos BdE'!$A$7:$A$336,1),MATCH($D$9,'Tipos BdE'!$B$6:$M$6,0)),0))</f>
      </c>
      <c r="M123" s="13" t="str">
        <f t="shared" si="11"/>
      </c>
      <c r="N123" s="13" t="str">
        <f t="shared" si="12"/>
      </c>
      <c r="O123" s="14" t="str">
        <f t="shared" si="13"/>
      </c>
      <c r="P123" s="14" t="str">
        <f>IF(H123="","",$D$5+SUM($O$5:O123))</f>
      </c>
    </row>
    <row r="124" spans="7:16" x14ac:dyDescent="0.35">
      <c r="G124" s="11" t="str">
        <f t="shared" si="8"/>
      </c>
      <c r="H124" s="12" t="str">
        <f t="shared" si="14"/>
      </c>
      <c r="I124" s="12" t="str">
        <f t="shared" si="9"/>
      </c>
      <c r="J124" s="11" t="str">
        <f t="shared" si="10"/>
      </c>
      <c r="K124" s="12" t="str">
        <f t="shared" si="15"/>
      </c>
      <c r="L124" s="13" t="str">
        <f>IF(H124="","",IFERROR(INDEX('Tipos BdE'!$B$7:$M$336,MATCH(DATE(YEAR(K124),MONTH(K124),1),'Tipos BdE'!$A$7:$A$336,1),MATCH($D$9,'Tipos BdE'!$B$6:$M$6,0)),0))</f>
      </c>
      <c r="M124" s="13" t="str">
        <f t="shared" si="11"/>
      </c>
      <c r="N124" s="13" t="str">
        <f t="shared" si="12"/>
      </c>
      <c r="O124" s="14" t="str">
        <f t="shared" si="13"/>
      </c>
      <c r="P124" s="14" t="str">
        <f>IF(H124="","",$D$5+SUM($O$5:O124))</f>
      </c>
    </row>
    <row r="125" spans="7:16" x14ac:dyDescent="0.35">
      <c r="G125" s="11" t="str">
        <f t="shared" si="8"/>
      </c>
      <c r="H125" s="12" t="str">
        <f t="shared" si="14"/>
      </c>
      <c r="I125" s="12" t="str">
        <f t="shared" si="9"/>
      </c>
      <c r="J125" s="11" t="str">
        <f t="shared" si="10"/>
      </c>
      <c r="K125" s="12" t="str">
        <f t="shared" si="15"/>
      </c>
      <c r="L125" s="13" t="str">
        <f>IF(H125="","",IFERROR(INDEX('Tipos BdE'!$B$7:$M$336,MATCH(DATE(YEAR(K125),MONTH(K125),1),'Tipos BdE'!$A$7:$A$336,1),MATCH($D$9,'Tipos BdE'!$B$6:$M$6,0)),0))</f>
      </c>
      <c r="M125" s="13" t="str">
        <f t="shared" si="11"/>
      </c>
      <c r="N125" s="13" t="str">
        <f t="shared" si="12"/>
      </c>
      <c r="O125" s="14" t="str">
        <f t="shared" si="13"/>
      </c>
      <c r="P125" s="14" t="str">
        <f>IF(H125="","",$D$5+SUM($O$5:O125))</f>
      </c>
    </row>
    <row r="126" spans="7:16" x14ac:dyDescent="0.35">
      <c r="G126" s="11" t="str">
        <f t="shared" si="8"/>
      </c>
      <c r="H126" s="12" t="str">
        <f t="shared" si="14"/>
      </c>
      <c r="I126" s="12" t="str">
        <f t="shared" si="9"/>
      </c>
      <c r="J126" s="11" t="str">
        <f t="shared" si="10"/>
      </c>
      <c r="K126" s="12" t="str">
        <f t="shared" si="15"/>
      </c>
      <c r="L126" s="13" t="str">
        <f>IF(H126="","",IFERROR(INDEX('Tipos BdE'!$B$7:$M$336,MATCH(DATE(YEAR(K126),MONTH(K126),1),'Tipos BdE'!$A$7:$A$336,1),MATCH($D$9,'Tipos BdE'!$B$6:$M$6,0)),0))</f>
      </c>
      <c r="M126" s="13" t="str">
        <f t="shared" si="11"/>
      </c>
      <c r="N126" s="13" t="str">
        <f t="shared" si="12"/>
      </c>
      <c r="O126" s="14" t="str">
        <f t="shared" si="13"/>
      </c>
      <c r="P126" s="14" t="str">
        <f>IF(H126="","",$D$5+SUM($O$5:O126))</f>
      </c>
    </row>
    <row r="127" spans="7:16" x14ac:dyDescent="0.35">
      <c r="G127" s="11" t="str">
        <f t="shared" si="8"/>
      </c>
      <c r="H127" s="12" t="str">
        <f t="shared" si="14"/>
      </c>
      <c r="I127" s="12" t="str">
        <f t="shared" si="9"/>
      </c>
      <c r="J127" s="11" t="str">
        <f t="shared" si="10"/>
      </c>
      <c r="K127" s="12" t="str">
        <f t="shared" si="15"/>
      </c>
      <c r="L127" s="13" t="str">
        <f>IF(H127="","",IFERROR(INDEX('Tipos BdE'!$B$7:$M$336,MATCH(DATE(YEAR(K127),MONTH(K127),1),'Tipos BdE'!$A$7:$A$336,1),MATCH($D$9,'Tipos BdE'!$B$6:$M$6,0)),0))</f>
      </c>
      <c r="M127" s="13" t="str">
        <f t="shared" si="11"/>
      </c>
      <c r="N127" s="13" t="str">
        <f t="shared" si="12"/>
      </c>
      <c r="O127" s="14" t="str">
        <f t="shared" si="13"/>
      </c>
      <c r="P127" s="14" t="str">
        <f>IF(H127="","",$D$5+SUM($O$5:O127))</f>
      </c>
    </row>
    <row r="128" spans="7:16" x14ac:dyDescent="0.35">
      <c r="G128" s="11" t="str">
        <f t="shared" si="8"/>
      </c>
      <c r="H128" s="12" t="str">
        <f t="shared" si="14"/>
      </c>
      <c r="I128" s="12" t="str">
        <f t="shared" si="9"/>
      </c>
      <c r="J128" s="11" t="str">
        <f t="shared" si="10"/>
      </c>
      <c r="K128" s="12" t="str">
        <f t="shared" si="15"/>
      </c>
      <c r="L128" s="13" t="str">
        <f>IF(H128="","",IFERROR(INDEX('Tipos BdE'!$B$7:$M$336,MATCH(DATE(YEAR(K128),MONTH(K128),1),'Tipos BdE'!$A$7:$A$336,1),MATCH($D$9,'Tipos BdE'!$B$6:$M$6,0)),0))</f>
      </c>
      <c r="M128" s="13" t="str">
        <f t="shared" si="11"/>
      </c>
      <c r="N128" s="13" t="str">
        <f t="shared" si="12"/>
      </c>
      <c r="O128" s="14" t="str">
        <f t="shared" si="13"/>
      </c>
      <c r="P128" s="14" t="str">
        <f>IF(H128="","",$D$5+SUM($O$5:O128))</f>
      </c>
    </row>
    <row r="129" spans="7:16" x14ac:dyDescent="0.35">
      <c r="G129" s="11" t="str">
        <f t="shared" si="8"/>
      </c>
      <c r="H129" s="12" t="str">
        <f t="shared" si="14"/>
      </c>
      <c r="I129" s="12" t="str">
        <f t="shared" si="9"/>
      </c>
      <c r="J129" s="11" t="str">
        <f t="shared" si="10"/>
      </c>
      <c r="K129" s="12" t="str">
        <f t="shared" si="15"/>
      </c>
      <c r="L129" s="13" t="str">
        <f>IF(H129="","",IFERROR(INDEX('Tipos BdE'!$B$7:$M$336,MATCH(DATE(YEAR(K129),MONTH(K129),1),'Tipos BdE'!$A$7:$A$336,1),MATCH($D$9,'Tipos BdE'!$B$6:$M$6,0)),0))</f>
      </c>
      <c r="M129" s="13" t="str">
        <f t="shared" si="11"/>
      </c>
      <c r="N129" s="13" t="str">
        <f t="shared" si="12"/>
      </c>
      <c r="O129" s="14" t="str">
        <f t="shared" si="13"/>
      </c>
      <c r="P129" s="14" t="str">
        <f>IF(H129="","",$D$5+SUM($O$5:O129))</f>
      </c>
    </row>
    <row r="130" spans="7:16" x14ac:dyDescent="0.35">
      <c r="G130" s="11" t="str">
        <f t="shared" si="8"/>
      </c>
      <c r="H130" s="12" t="str">
        <f t="shared" si="14"/>
      </c>
      <c r="I130" s="12" t="str">
        <f t="shared" si="9"/>
      </c>
      <c r="J130" s="11" t="str">
        <f t="shared" si="10"/>
      </c>
      <c r="K130" s="12" t="str">
        <f t="shared" si="15"/>
      </c>
      <c r="L130" s="13" t="str">
        <f>IF(H130="","",IFERROR(INDEX('Tipos BdE'!$B$7:$M$336,MATCH(DATE(YEAR(K130),MONTH(K130),1),'Tipos BdE'!$A$7:$A$336,1),MATCH($D$9,'Tipos BdE'!$B$6:$M$6,0)),0))</f>
      </c>
      <c r="M130" s="13" t="str">
        <f t="shared" si="11"/>
      </c>
      <c r="N130" s="13" t="str">
        <f t="shared" si="12"/>
      </c>
      <c r="O130" s="14" t="str">
        <f t="shared" si="13"/>
      </c>
      <c r="P130" s="14" t="str">
        <f>IF(H130="","",$D$5+SUM($O$5:O130))</f>
      </c>
    </row>
    <row r="131" spans="7:16" x14ac:dyDescent="0.35">
      <c r="G131" s="11" t="str">
        <f t="shared" si="8"/>
      </c>
      <c r="H131" s="12" t="str">
        <f t="shared" si="14"/>
      </c>
      <c r="I131" s="12" t="str">
        <f t="shared" si="9"/>
      </c>
      <c r="J131" s="11" t="str">
        <f t="shared" si="10"/>
      </c>
      <c r="K131" s="12" t="str">
        <f t="shared" si="15"/>
      </c>
      <c r="L131" s="13" t="str">
        <f>IF(H131="","",IFERROR(INDEX('Tipos BdE'!$B$7:$M$336,MATCH(DATE(YEAR(K131),MONTH(K131),1),'Tipos BdE'!$A$7:$A$336,1),MATCH($D$9,'Tipos BdE'!$B$6:$M$6,0)),0))</f>
      </c>
      <c r="M131" s="13" t="str">
        <f t="shared" si="11"/>
      </c>
      <c r="N131" s="13" t="str">
        <f t="shared" si="12"/>
      </c>
      <c r="O131" s="14" t="str">
        <f t="shared" si="13"/>
      </c>
      <c r="P131" s="14" t="str">
        <f>IF(H131="","",$D$5+SUM($O$5:O131))</f>
      </c>
    </row>
    <row r="132" spans="7:16" x14ac:dyDescent="0.35">
      <c r="G132" s="11" t="str">
        <f t="shared" si="8"/>
      </c>
      <c r="H132" s="12" t="str">
        <f t="shared" si="14"/>
      </c>
      <c r="I132" s="12" t="str">
        <f t="shared" si="9"/>
      </c>
      <c r="J132" s="11" t="str">
        <f t="shared" si="10"/>
      </c>
      <c r="K132" s="12" t="str">
        <f t="shared" si="15"/>
      </c>
      <c r="L132" s="13" t="str">
        <f>IF(H132="","",IFERROR(INDEX('Tipos BdE'!$B$7:$M$336,MATCH(DATE(YEAR(K132),MONTH(K132),1),'Tipos BdE'!$A$7:$A$336,1),MATCH($D$9,'Tipos BdE'!$B$6:$M$6,0)),0))</f>
      </c>
      <c r="M132" s="13" t="str">
        <f t="shared" si="11"/>
      </c>
      <c r="N132" s="13" t="str">
        <f t="shared" si="12"/>
      </c>
      <c r="O132" s="14" t="str">
        <f t="shared" si="13"/>
      </c>
      <c r="P132" s="14" t="str">
        <f>IF(H132="","",$D$5+SUM($O$5:O132))</f>
      </c>
    </row>
    <row r="133" spans="7:16" x14ac:dyDescent="0.35">
      <c r="G133" s="11" t="str">
        <f t="shared" ref="G133:G196" si="16">IF(H133="","",ROW()-4)</f>
      </c>
      <c r="H133" s="12" t="str">
        <f t="shared" si="14"/>
      </c>
      <c r="I133" s="12" t="str">
        <f t="shared" ref="I133:I196" si="17">IF(H133="","",MIN(IF($D$18="LEGAL",DATE(YEAR(H133)+1,1,1),EDATE($D$12,$D$11*(INT((((YEAR(H133)-YEAR($D$12))*12+(MONTH(H133)-MONTH($D$12))-IF(DAY(H133)&lt;DAY($D$12),1,0))/$D$11))+1))),$D$7))</f>
      </c>
      <c r="J133" s="11" t="str">
        <f t="shared" ref="J133:J196" si="18">IF(H133="","",I133-H133)</f>
      </c>
      <c r="K133" s="12" t="str">
        <f t="shared" si="15"/>
      </c>
      <c r="L133" s="13" t="str">
        <f>IF(H133="","",IFERROR(INDEX('Tipos BdE'!$B$7:$M$336,MATCH(DATE(YEAR(K133),MONTH(K133),1),'Tipos BdE'!$A$7:$A$336,1),MATCH($D$9,'Tipos BdE'!$B$6:$M$6,0)),0))</f>
      </c>
      <c r="M133" s="13" t="str">
        <f t="shared" ref="M133:M196" si="19">IF(H133="","",IF($D$18="LEGAL",0,$D$10))</f>
      </c>
      <c r="N133" s="13" t="str">
        <f t="shared" ref="N133:N196" si="20">IF(H133="","",IF(AND($D$14="Sí",(L133+M133)&lt;0),0,L133+M133))</f>
      </c>
      <c r="O133" s="14" t="str">
        <f t="shared" ref="O133:O196" si="21">IF(H133="","",$D$5*N133*J133/36500)</f>
      </c>
      <c r="P133" s="14" t="str">
        <f>IF(H133="","",$D$5+SUM($O$5:O133))</f>
      </c>
    </row>
    <row r="134" spans="7:16" x14ac:dyDescent="0.35">
      <c r="G134" s="11" t="str">
        <f t="shared" si="16"/>
      </c>
      <c r="H134" s="12" t="str">
        <f t="shared" ref="H134:H197" si="22">IF(OR(I133="",I133&gt;=$D$7),"",I133)</f>
      </c>
      <c r="I134" s="12" t="str">
        <f t="shared" si="17"/>
      </c>
      <c r="J134" s="11" t="str">
        <f t="shared" si="18"/>
      </c>
      <c r="K134" s="12" t="str">
        <f t="shared" ref="K134:K197" si="23">IF(H134="","",IF($D$18="LEGAL",H134,EDATE(H134,-$D$13)))</f>
      </c>
      <c r="L134" s="13" t="str">
        <f>IF(H134="","",IFERROR(INDEX('Tipos BdE'!$B$7:$M$336,MATCH(DATE(YEAR(K134),MONTH(K134),1),'Tipos BdE'!$A$7:$A$336,1),MATCH($D$9,'Tipos BdE'!$B$6:$M$6,0)),0))</f>
      </c>
      <c r="M134" s="13" t="str">
        <f t="shared" si="19"/>
      </c>
      <c r="N134" s="13" t="str">
        <f t="shared" si="20"/>
      </c>
      <c r="O134" s="14" t="str">
        <f t="shared" si="21"/>
      </c>
      <c r="P134" s="14" t="str">
        <f>IF(H134="","",$D$5+SUM($O$5:O134))</f>
      </c>
    </row>
    <row r="135" spans="7:16" x14ac:dyDescent="0.35">
      <c r="G135" s="11" t="str">
        <f t="shared" si="16"/>
      </c>
      <c r="H135" s="12" t="str">
        <f t="shared" si="22"/>
      </c>
      <c r="I135" s="12" t="str">
        <f t="shared" si="17"/>
      </c>
      <c r="J135" s="11" t="str">
        <f t="shared" si="18"/>
      </c>
      <c r="K135" s="12" t="str">
        <f t="shared" si="23"/>
      </c>
      <c r="L135" s="13" t="str">
        <f>IF(H135="","",IFERROR(INDEX('Tipos BdE'!$B$7:$M$336,MATCH(DATE(YEAR(K135),MONTH(K135),1),'Tipos BdE'!$A$7:$A$336,1),MATCH($D$9,'Tipos BdE'!$B$6:$M$6,0)),0))</f>
      </c>
      <c r="M135" s="13" t="str">
        <f t="shared" si="19"/>
      </c>
      <c r="N135" s="13" t="str">
        <f t="shared" si="20"/>
      </c>
      <c r="O135" s="14" t="str">
        <f t="shared" si="21"/>
      </c>
      <c r="P135" s="14" t="str">
        <f>IF(H135="","",$D$5+SUM($O$5:O135))</f>
      </c>
    </row>
    <row r="136" spans="7:16" x14ac:dyDescent="0.35">
      <c r="G136" s="11" t="str">
        <f t="shared" si="16"/>
      </c>
      <c r="H136" s="12" t="str">
        <f t="shared" si="22"/>
      </c>
      <c r="I136" s="12" t="str">
        <f t="shared" si="17"/>
      </c>
      <c r="J136" s="11" t="str">
        <f t="shared" si="18"/>
      </c>
      <c r="K136" s="12" t="str">
        <f t="shared" si="23"/>
      </c>
      <c r="L136" s="13" t="str">
        <f>IF(H136="","",IFERROR(INDEX('Tipos BdE'!$B$7:$M$336,MATCH(DATE(YEAR(K136),MONTH(K136),1),'Tipos BdE'!$A$7:$A$336,1),MATCH($D$9,'Tipos BdE'!$B$6:$M$6,0)),0))</f>
      </c>
      <c r="M136" s="13" t="str">
        <f t="shared" si="19"/>
      </c>
      <c r="N136" s="13" t="str">
        <f t="shared" si="20"/>
      </c>
      <c r="O136" s="14" t="str">
        <f t="shared" si="21"/>
      </c>
      <c r="P136" s="14" t="str">
        <f>IF(H136="","",$D$5+SUM($O$5:O136))</f>
      </c>
    </row>
    <row r="137" spans="7:16" x14ac:dyDescent="0.35">
      <c r="G137" s="11" t="str">
        <f t="shared" si="16"/>
      </c>
      <c r="H137" s="12" t="str">
        <f t="shared" si="22"/>
      </c>
      <c r="I137" s="12" t="str">
        <f t="shared" si="17"/>
      </c>
      <c r="J137" s="11" t="str">
        <f t="shared" si="18"/>
      </c>
      <c r="K137" s="12" t="str">
        <f t="shared" si="23"/>
      </c>
      <c r="L137" s="13" t="str">
        <f>IF(H137="","",IFERROR(INDEX('Tipos BdE'!$B$7:$M$336,MATCH(DATE(YEAR(K137),MONTH(K137),1),'Tipos BdE'!$A$7:$A$336,1),MATCH($D$9,'Tipos BdE'!$B$6:$M$6,0)),0))</f>
      </c>
      <c r="M137" s="13" t="str">
        <f t="shared" si="19"/>
      </c>
      <c r="N137" s="13" t="str">
        <f t="shared" si="20"/>
      </c>
      <c r="O137" s="14" t="str">
        <f t="shared" si="21"/>
      </c>
      <c r="P137" s="14" t="str">
        <f>IF(H137="","",$D$5+SUM($O$5:O137))</f>
      </c>
    </row>
    <row r="138" spans="7:16" x14ac:dyDescent="0.35">
      <c r="G138" s="11" t="str">
        <f t="shared" si="16"/>
      </c>
      <c r="H138" s="12" t="str">
        <f t="shared" si="22"/>
      </c>
      <c r="I138" s="12" t="str">
        <f t="shared" si="17"/>
      </c>
      <c r="J138" s="11" t="str">
        <f t="shared" si="18"/>
      </c>
      <c r="K138" s="12" t="str">
        <f t="shared" si="23"/>
      </c>
      <c r="L138" s="13" t="str">
        <f>IF(H138="","",IFERROR(INDEX('Tipos BdE'!$B$7:$M$336,MATCH(DATE(YEAR(K138),MONTH(K138),1),'Tipos BdE'!$A$7:$A$336,1),MATCH($D$9,'Tipos BdE'!$B$6:$M$6,0)),0))</f>
      </c>
      <c r="M138" s="13" t="str">
        <f t="shared" si="19"/>
      </c>
      <c r="N138" s="13" t="str">
        <f t="shared" si="20"/>
      </c>
      <c r="O138" s="14" t="str">
        <f t="shared" si="21"/>
      </c>
      <c r="P138" s="14" t="str">
        <f>IF(H138="","",$D$5+SUM($O$5:O138))</f>
      </c>
    </row>
    <row r="139" spans="7:16" x14ac:dyDescent="0.35">
      <c r="G139" s="11" t="str">
        <f t="shared" si="16"/>
      </c>
      <c r="H139" s="12" t="str">
        <f t="shared" si="22"/>
      </c>
      <c r="I139" s="12" t="str">
        <f t="shared" si="17"/>
      </c>
      <c r="J139" s="11" t="str">
        <f t="shared" si="18"/>
      </c>
      <c r="K139" s="12" t="str">
        <f t="shared" si="23"/>
      </c>
      <c r="L139" s="13" t="str">
        <f>IF(H139="","",IFERROR(INDEX('Tipos BdE'!$B$7:$M$336,MATCH(DATE(YEAR(K139),MONTH(K139),1),'Tipos BdE'!$A$7:$A$336,1),MATCH($D$9,'Tipos BdE'!$B$6:$M$6,0)),0))</f>
      </c>
      <c r="M139" s="13" t="str">
        <f t="shared" si="19"/>
      </c>
      <c r="N139" s="13" t="str">
        <f t="shared" si="20"/>
      </c>
      <c r="O139" s="14" t="str">
        <f t="shared" si="21"/>
      </c>
      <c r="P139" s="14" t="str">
        <f>IF(H139="","",$D$5+SUM($O$5:O139))</f>
      </c>
    </row>
    <row r="140" spans="7:16" x14ac:dyDescent="0.35">
      <c r="G140" s="11" t="str">
        <f t="shared" si="16"/>
      </c>
      <c r="H140" s="12" t="str">
        <f t="shared" si="22"/>
      </c>
      <c r="I140" s="12" t="str">
        <f t="shared" si="17"/>
      </c>
      <c r="J140" s="11" t="str">
        <f t="shared" si="18"/>
      </c>
      <c r="K140" s="12" t="str">
        <f t="shared" si="23"/>
      </c>
      <c r="L140" s="13" t="str">
        <f>IF(H140="","",IFERROR(INDEX('Tipos BdE'!$B$7:$M$336,MATCH(DATE(YEAR(K140),MONTH(K140),1),'Tipos BdE'!$A$7:$A$336,1),MATCH($D$9,'Tipos BdE'!$B$6:$M$6,0)),0))</f>
      </c>
      <c r="M140" s="13" t="str">
        <f t="shared" si="19"/>
      </c>
      <c r="N140" s="13" t="str">
        <f t="shared" si="20"/>
      </c>
      <c r="O140" s="14" t="str">
        <f t="shared" si="21"/>
      </c>
      <c r="P140" s="14" t="str">
        <f>IF(H140="","",$D$5+SUM($O$5:O140))</f>
      </c>
    </row>
    <row r="141" spans="7:16" x14ac:dyDescent="0.35">
      <c r="G141" s="11" t="str">
        <f t="shared" si="16"/>
      </c>
      <c r="H141" s="12" t="str">
        <f t="shared" si="22"/>
      </c>
      <c r="I141" s="12" t="str">
        <f t="shared" si="17"/>
      </c>
      <c r="J141" s="11" t="str">
        <f t="shared" si="18"/>
      </c>
      <c r="K141" s="12" t="str">
        <f t="shared" si="23"/>
      </c>
      <c r="L141" s="13" t="str">
        <f>IF(H141="","",IFERROR(INDEX('Tipos BdE'!$B$7:$M$336,MATCH(DATE(YEAR(K141),MONTH(K141),1),'Tipos BdE'!$A$7:$A$336,1),MATCH($D$9,'Tipos BdE'!$B$6:$M$6,0)),0))</f>
      </c>
      <c r="M141" s="13" t="str">
        <f t="shared" si="19"/>
      </c>
      <c r="N141" s="13" t="str">
        <f t="shared" si="20"/>
      </c>
      <c r="O141" s="14" t="str">
        <f t="shared" si="21"/>
      </c>
      <c r="P141" s="14" t="str">
        <f>IF(H141="","",$D$5+SUM($O$5:O141))</f>
      </c>
    </row>
    <row r="142" spans="7:16" x14ac:dyDescent="0.35">
      <c r="G142" s="11" t="str">
        <f t="shared" si="16"/>
      </c>
      <c r="H142" s="12" t="str">
        <f t="shared" si="22"/>
      </c>
      <c r="I142" s="12" t="str">
        <f t="shared" si="17"/>
      </c>
      <c r="J142" s="11" t="str">
        <f t="shared" si="18"/>
      </c>
      <c r="K142" s="12" t="str">
        <f t="shared" si="23"/>
      </c>
      <c r="L142" s="13" t="str">
        <f>IF(H142="","",IFERROR(INDEX('Tipos BdE'!$B$7:$M$336,MATCH(DATE(YEAR(K142),MONTH(K142),1),'Tipos BdE'!$A$7:$A$336,1),MATCH($D$9,'Tipos BdE'!$B$6:$M$6,0)),0))</f>
      </c>
      <c r="M142" s="13" t="str">
        <f t="shared" si="19"/>
      </c>
      <c r="N142" s="13" t="str">
        <f t="shared" si="20"/>
      </c>
      <c r="O142" s="14" t="str">
        <f t="shared" si="21"/>
      </c>
      <c r="P142" s="14" t="str">
        <f>IF(H142="","",$D$5+SUM($O$5:O142))</f>
      </c>
    </row>
    <row r="143" spans="7:16" x14ac:dyDescent="0.35">
      <c r="G143" s="11" t="str">
        <f t="shared" si="16"/>
      </c>
      <c r="H143" s="12" t="str">
        <f t="shared" si="22"/>
      </c>
      <c r="I143" s="12" t="str">
        <f t="shared" si="17"/>
      </c>
      <c r="J143" s="11" t="str">
        <f t="shared" si="18"/>
      </c>
      <c r="K143" s="12" t="str">
        <f t="shared" si="23"/>
      </c>
      <c r="L143" s="13" t="str">
        <f>IF(H143="","",IFERROR(INDEX('Tipos BdE'!$B$7:$M$336,MATCH(DATE(YEAR(K143),MONTH(K143),1),'Tipos BdE'!$A$7:$A$336,1),MATCH($D$9,'Tipos BdE'!$B$6:$M$6,0)),0))</f>
      </c>
      <c r="M143" s="13" t="str">
        <f t="shared" si="19"/>
      </c>
      <c r="N143" s="13" t="str">
        <f t="shared" si="20"/>
      </c>
      <c r="O143" s="14" t="str">
        <f t="shared" si="21"/>
      </c>
      <c r="P143" s="14" t="str">
        <f>IF(H143="","",$D$5+SUM($O$5:O143))</f>
      </c>
    </row>
    <row r="144" spans="7:16" x14ac:dyDescent="0.35">
      <c r="G144" s="11" t="str">
        <f t="shared" si="16"/>
      </c>
      <c r="H144" s="12" t="str">
        <f t="shared" si="22"/>
      </c>
      <c r="I144" s="12" t="str">
        <f t="shared" si="17"/>
      </c>
      <c r="J144" s="11" t="str">
        <f t="shared" si="18"/>
      </c>
      <c r="K144" s="12" t="str">
        <f t="shared" si="23"/>
      </c>
      <c r="L144" s="13" t="str">
        <f>IF(H144="","",IFERROR(INDEX('Tipos BdE'!$B$7:$M$336,MATCH(DATE(YEAR(K144),MONTH(K144),1),'Tipos BdE'!$A$7:$A$336,1),MATCH($D$9,'Tipos BdE'!$B$6:$M$6,0)),0))</f>
      </c>
      <c r="M144" s="13" t="str">
        <f t="shared" si="19"/>
      </c>
      <c r="N144" s="13" t="str">
        <f t="shared" si="20"/>
      </c>
      <c r="O144" s="14" t="str">
        <f t="shared" si="21"/>
      </c>
      <c r="P144" s="14" t="str">
        <f>IF(H144="","",$D$5+SUM($O$5:O144))</f>
      </c>
    </row>
    <row r="145" spans="7:16" x14ac:dyDescent="0.35">
      <c r="G145" s="11" t="str">
        <f t="shared" si="16"/>
      </c>
      <c r="H145" s="12" t="str">
        <f t="shared" si="22"/>
      </c>
      <c r="I145" s="12" t="str">
        <f t="shared" si="17"/>
      </c>
      <c r="J145" s="11" t="str">
        <f t="shared" si="18"/>
      </c>
      <c r="K145" s="12" t="str">
        <f t="shared" si="23"/>
      </c>
      <c r="L145" s="13" t="str">
        <f>IF(H145="","",IFERROR(INDEX('Tipos BdE'!$B$7:$M$336,MATCH(DATE(YEAR(K145),MONTH(K145),1),'Tipos BdE'!$A$7:$A$336,1),MATCH($D$9,'Tipos BdE'!$B$6:$M$6,0)),0))</f>
      </c>
      <c r="M145" s="13" t="str">
        <f t="shared" si="19"/>
      </c>
      <c r="N145" s="13" t="str">
        <f t="shared" si="20"/>
      </c>
      <c r="O145" s="14" t="str">
        <f t="shared" si="21"/>
      </c>
      <c r="P145" s="14" t="str">
        <f>IF(H145="","",$D$5+SUM($O$5:O145))</f>
      </c>
    </row>
    <row r="146" spans="7:16" x14ac:dyDescent="0.35">
      <c r="G146" s="11" t="str">
        <f t="shared" si="16"/>
      </c>
      <c r="H146" s="12" t="str">
        <f t="shared" si="22"/>
      </c>
      <c r="I146" s="12" t="str">
        <f t="shared" si="17"/>
      </c>
      <c r="J146" s="11" t="str">
        <f t="shared" si="18"/>
      </c>
      <c r="K146" s="12" t="str">
        <f t="shared" si="23"/>
      </c>
      <c r="L146" s="13" t="str">
        <f>IF(H146="","",IFERROR(INDEX('Tipos BdE'!$B$7:$M$336,MATCH(DATE(YEAR(K146),MONTH(K146),1),'Tipos BdE'!$A$7:$A$336,1),MATCH($D$9,'Tipos BdE'!$B$6:$M$6,0)),0))</f>
      </c>
      <c r="M146" s="13" t="str">
        <f t="shared" si="19"/>
      </c>
      <c r="N146" s="13" t="str">
        <f t="shared" si="20"/>
      </c>
      <c r="O146" s="14" t="str">
        <f t="shared" si="21"/>
      </c>
      <c r="P146" s="14" t="str">
        <f>IF(H146="","",$D$5+SUM($O$5:O146))</f>
      </c>
    </row>
    <row r="147" spans="7:16" x14ac:dyDescent="0.35">
      <c r="G147" s="11" t="str">
        <f t="shared" si="16"/>
      </c>
      <c r="H147" s="12" t="str">
        <f t="shared" si="22"/>
      </c>
      <c r="I147" s="12" t="str">
        <f t="shared" si="17"/>
      </c>
      <c r="J147" s="11" t="str">
        <f t="shared" si="18"/>
      </c>
      <c r="K147" s="12" t="str">
        <f t="shared" si="23"/>
      </c>
      <c r="L147" s="13" t="str">
        <f>IF(H147="","",IFERROR(INDEX('Tipos BdE'!$B$7:$M$336,MATCH(DATE(YEAR(K147),MONTH(K147),1),'Tipos BdE'!$A$7:$A$336,1),MATCH($D$9,'Tipos BdE'!$B$6:$M$6,0)),0))</f>
      </c>
      <c r="M147" s="13" t="str">
        <f t="shared" si="19"/>
      </c>
      <c r="N147" s="13" t="str">
        <f t="shared" si="20"/>
      </c>
      <c r="O147" s="14" t="str">
        <f t="shared" si="21"/>
      </c>
      <c r="P147" s="14" t="str">
        <f>IF(H147="","",$D$5+SUM($O$5:O147))</f>
      </c>
    </row>
    <row r="148" spans="7:16" x14ac:dyDescent="0.35">
      <c r="G148" s="11" t="str">
        <f t="shared" si="16"/>
      </c>
      <c r="H148" s="12" t="str">
        <f t="shared" si="22"/>
      </c>
      <c r="I148" s="12" t="str">
        <f t="shared" si="17"/>
      </c>
      <c r="J148" s="11" t="str">
        <f t="shared" si="18"/>
      </c>
      <c r="K148" s="12" t="str">
        <f t="shared" si="23"/>
      </c>
      <c r="L148" s="13" t="str">
        <f>IF(H148="","",IFERROR(INDEX('Tipos BdE'!$B$7:$M$336,MATCH(DATE(YEAR(K148),MONTH(K148),1),'Tipos BdE'!$A$7:$A$336,1),MATCH($D$9,'Tipos BdE'!$B$6:$M$6,0)),0))</f>
      </c>
      <c r="M148" s="13" t="str">
        <f t="shared" si="19"/>
      </c>
      <c r="N148" s="13" t="str">
        <f t="shared" si="20"/>
      </c>
      <c r="O148" s="14" t="str">
        <f t="shared" si="21"/>
      </c>
      <c r="P148" s="14" t="str">
        <f>IF(H148="","",$D$5+SUM($O$5:O148))</f>
      </c>
    </row>
    <row r="149" spans="7:16" x14ac:dyDescent="0.35">
      <c r="G149" s="11" t="str">
        <f t="shared" si="16"/>
      </c>
      <c r="H149" s="12" t="str">
        <f t="shared" si="22"/>
      </c>
      <c r="I149" s="12" t="str">
        <f t="shared" si="17"/>
      </c>
      <c r="J149" s="11" t="str">
        <f t="shared" si="18"/>
      </c>
      <c r="K149" s="12" t="str">
        <f t="shared" si="23"/>
      </c>
      <c r="L149" s="13" t="str">
        <f>IF(H149="","",IFERROR(INDEX('Tipos BdE'!$B$7:$M$336,MATCH(DATE(YEAR(K149),MONTH(K149),1),'Tipos BdE'!$A$7:$A$336,1),MATCH($D$9,'Tipos BdE'!$B$6:$M$6,0)),0))</f>
      </c>
      <c r="M149" s="13" t="str">
        <f t="shared" si="19"/>
      </c>
      <c r="N149" s="13" t="str">
        <f t="shared" si="20"/>
      </c>
      <c r="O149" s="14" t="str">
        <f t="shared" si="21"/>
      </c>
      <c r="P149" s="14" t="str">
        <f>IF(H149="","",$D$5+SUM($O$5:O149))</f>
      </c>
    </row>
    <row r="150" spans="7:16" x14ac:dyDescent="0.35">
      <c r="G150" s="11" t="str">
        <f t="shared" si="16"/>
      </c>
      <c r="H150" s="12" t="str">
        <f t="shared" si="22"/>
      </c>
      <c r="I150" s="12" t="str">
        <f t="shared" si="17"/>
      </c>
      <c r="J150" s="11" t="str">
        <f t="shared" si="18"/>
      </c>
      <c r="K150" s="12" t="str">
        <f t="shared" si="23"/>
      </c>
      <c r="L150" s="13" t="str">
        <f>IF(H150="","",IFERROR(INDEX('Tipos BdE'!$B$7:$M$336,MATCH(DATE(YEAR(K150),MONTH(K150),1),'Tipos BdE'!$A$7:$A$336,1),MATCH($D$9,'Tipos BdE'!$B$6:$M$6,0)),0))</f>
      </c>
      <c r="M150" s="13" t="str">
        <f t="shared" si="19"/>
      </c>
      <c r="N150" s="13" t="str">
        <f t="shared" si="20"/>
      </c>
      <c r="O150" s="14" t="str">
        <f t="shared" si="21"/>
      </c>
      <c r="P150" s="14" t="str">
        <f>IF(H150="","",$D$5+SUM($O$5:O150))</f>
      </c>
    </row>
    <row r="151" spans="7:16" x14ac:dyDescent="0.35">
      <c r="G151" s="11" t="str">
        <f t="shared" si="16"/>
      </c>
      <c r="H151" s="12" t="str">
        <f t="shared" si="22"/>
      </c>
      <c r="I151" s="12" t="str">
        <f t="shared" si="17"/>
      </c>
      <c r="J151" s="11" t="str">
        <f t="shared" si="18"/>
      </c>
      <c r="K151" s="12" t="str">
        <f t="shared" si="23"/>
      </c>
      <c r="L151" s="13" t="str">
        <f>IF(H151="","",IFERROR(INDEX('Tipos BdE'!$B$7:$M$336,MATCH(DATE(YEAR(K151),MONTH(K151),1),'Tipos BdE'!$A$7:$A$336,1),MATCH($D$9,'Tipos BdE'!$B$6:$M$6,0)),0))</f>
      </c>
      <c r="M151" s="13" t="str">
        <f t="shared" si="19"/>
      </c>
      <c r="N151" s="13" t="str">
        <f t="shared" si="20"/>
      </c>
      <c r="O151" s="14" t="str">
        <f t="shared" si="21"/>
      </c>
      <c r="P151" s="14" t="str">
        <f>IF(H151="","",$D$5+SUM($O$5:O151))</f>
      </c>
    </row>
    <row r="152" spans="7:16" x14ac:dyDescent="0.35">
      <c r="G152" s="11" t="str">
        <f t="shared" si="16"/>
      </c>
      <c r="H152" s="12" t="str">
        <f t="shared" si="22"/>
      </c>
      <c r="I152" s="12" t="str">
        <f t="shared" si="17"/>
      </c>
      <c r="J152" s="11" t="str">
        <f t="shared" si="18"/>
      </c>
      <c r="K152" s="12" t="str">
        <f t="shared" si="23"/>
      </c>
      <c r="L152" s="13" t="str">
        <f>IF(H152="","",IFERROR(INDEX('Tipos BdE'!$B$7:$M$336,MATCH(DATE(YEAR(K152),MONTH(K152),1),'Tipos BdE'!$A$7:$A$336,1),MATCH($D$9,'Tipos BdE'!$B$6:$M$6,0)),0))</f>
      </c>
      <c r="M152" s="13" t="str">
        <f t="shared" si="19"/>
      </c>
      <c r="N152" s="13" t="str">
        <f t="shared" si="20"/>
      </c>
      <c r="O152" s="14" t="str">
        <f t="shared" si="21"/>
      </c>
      <c r="P152" s="14" t="str">
        <f>IF(H152="","",$D$5+SUM($O$5:O152))</f>
      </c>
    </row>
    <row r="153" spans="7:16" x14ac:dyDescent="0.35">
      <c r="G153" s="11" t="str">
        <f t="shared" si="16"/>
      </c>
      <c r="H153" s="12" t="str">
        <f t="shared" si="22"/>
      </c>
      <c r="I153" s="12" t="str">
        <f t="shared" si="17"/>
      </c>
      <c r="J153" s="11" t="str">
        <f t="shared" si="18"/>
      </c>
      <c r="K153" s="12" t="str">
        <f t="shared" si="23"/>
      </c>
      <c r="L153" s="13" t="str">
        <f>IF(H153="","",IFERROR(INDEX('Tipos BdE'!$B$7:$M$336,MATCH(DATE(YEAR(K153),MONTH(K153),1),'Tipos BdE'!$A$7:$A$336,1),MATCH($D$9,'Tipos BdE'!$B$6:$M$6,0)),0))</f>
      </c>
      <c r="M153" s="13" t="str">
        <f t="shared" si="19"/>
      </c>
      <c r="N153" s="13" t="str">
        <f t="shared" si="20"/>
      </c>
      <c r="O153" s="14" t="str">
        <f t="shared" si="21"/>
      </c>
      <c r="P153" s="14" t="str">
        <f>IF(H153="","",$D$5+SUM($O$5:O153))</f>
      </c>
    </row>
    <row r="154" spans="7:16" x14ac:dyDescent="0.35">
      <c r="G154" s="11" t="str">
        <f t="shared" si="16"/>
      </c>
      <c r="H154" s="12" t="str">
        <f t="shared" si="22"/>
      </c>
      <c r="I154" s="12" t="str">
        <f t="shared" si="17"/>
      </c>
      <c r="J154" s="11" t="str">
        <f t="shared" si="18"/>
      </c>
      <c r="K154" s="12" t="str">
        <f t="shared" si="23"/>
      </c>
      <c r="L154" s="13" t="str">
        <f>IF(H154="","",IFERROR(INDEX('Tipos BdE'!$B$7:$M$336,MATCH(DATE(YEAR(K154),MONTH(K154),1),'Tipos BdE'!$A$7:$A$336,1),MATCH($D$9,'Tipos BdE'!$B$6:$M$6,0)),0))</f>
      </c>
      <c r="M154" s="13" t="str">
        <f t="shared" si="19"/>
      </c>
      <c r="N154" s="13" t="str">
        <f t="shared" si="20"/>
      </c>
      <c r="O154" s="14" t="str">
        <f t="shared" si="21"/>
      </c>
      <c r="P154" s="14" t="str">
        <f>IF(H154="","",$D$5+SUM($O$5:O154))</f>
      </c>
    </row>
    <row r="155" spans="7:16" x14ac:dyDescent="0.35">
      <c r="G155" s="11" t="str">
        <f t="shared" si="16"/>
      </c>
      <c r="H155" s="12" t="str">
        <f t="shared" si="22"/>
      </c>
      <c r="I155" s="12" t="str">
        <f t="shared" si="17"/>
      </c>
      <c r="J155" s="11" t="str">
        <f t="shared" si="18"/>
      </c>
      <c r="K155" s="12" t="str">
        <f t="shared" si="23"/>
      </c>
      <c r="L155" s="13" t="str">
        <f>IF(H155="","",IFERROR(INDEX('Tipos BdE'!$B$7:$M$336,MATCH(DATE(YEAR(K155),MONTH(K155),1),'Tipos BdE'!$A$7:$A$336,1),MATCH($D$9,'Tipos BdE'!$B$6:$M$6,0)),0))</f>
      </c>
      <c r="M155" s="13" t="str">
        <f t="shared" si="19"/>
      </c>
      <c r="N155" s="13" t="str">
        <f t="shared" si="20"/>
      </c>
      <c r="O155" s="14" t="str">
        <f t="shared" si="21"/>
      </c>
      <c r="P155" s="14" t="str">
        <f>IF(H155="","",$D$5+SUM($O$5:O155))</f>
      </c>
    </row>
    <row r="156" spans="7:16" x14ac:dyDescent="0.35">
      <c r="G156" s="11" t="str">
        <f t="shared" si="16"/>
      </c>
      <c r="H156" s="12" t="str">
        <f t="shared" si="22"/>
      </c>
      <c r="I156" s="12" t="str">
        <f t="shared" si="17"/>
      </c>
      <c r="J156" s="11" t="str">
        <f t="shared" si="18"/>
      </c>
      <c r="K156" s="12" t="str">
        <f t="shared" si="23"/>
      </c>
      <c r="L156" s="13" t="str">
        <f>IF(H156="","",IFERROR(INDEX('Tipos BdE'!$B$7:$M$336,MATCH(DATE(YEAR(K156),MONTH(K156),1),'Tipos BdE'!$A$7:$A$336,1),MATCH($D$9,'Tipos BdE'!$B$6:$M$6,0)),0))</f>
      </c>
      <c r="M156" s="13" t="str">
        <f t="shared" si="19"/>
      </c>
      <c r="N156" s="13" t="str">
        <f t="shared" si="20"/>
      </c>
      <c r="O156" s="14" t="str">
        <f t="shared" si="21"/>
      </c>
      <c r="P156" s="14" t="str">
        <f>IF(H156="","",$D$5+SUM($O$5:O156))</f>
      </c>
    </row>
    <row r="157" spans="7:16" x14ac:dyDescent="0.35">
      <c r="G157" s="11" t="str">
        <f t="shared" si="16"/>
      </c>
      <c r="H157" s="12" t="str">
        <f t="shared" si="22"/>
      </c>
      <c r="I157" s="12" t="str">
        <f t="shared" si="17"/>
      </c>
      <c r="J157" s="11" t="str">
        <f t="shared" si="18"/>
      </c>
      <c r="K157" s="12" t="str">
        <f t="shared" si="23"/>
      </c>
      <c r="L157" s="13" t="str">
        <f>IF(H157="","",IFERROR(INDEX('Tipos BdE'!$B$7:$M$336,MATCH(DATE(YEAR(K157),MONTH(K157),1),'Tipos BdE'!$A$7:$A$336,1),MATCH($D$9,'Tipos BdE'!$B$6:$M$6,0)),0))</f>
      </c>
      <c r="M157" s="13" t="str">
        <f t="shared" si="19"/>
      </c>
      <c r="N157" s="13" t="str">
        <f t="shared" si="20"/>
      </c>
      <c r="O157" s="14" t="str">
        <f t="shared" si="21"/>
      </c>
      <c r="P157" s="14" t="str">
        <f>IF(H157="","",$D$5+SUM($O$5:O157))</f>
      </c>
    </row>
    <row r="158" spans="7:16" x14ac:dyDescent="0.35">
      <c r="G158" s="11" t="str">
        <f t="shared" si="16"/>
      </c>
      <c r="H158" s="12" t="str">
        <f t="shared" si="22"/>
      </c>
      <c r="I158" s="12" t="str">
        <f t="shared" si="17"/>
      </c>
      <c r="J158" s="11" t="str">
        <f t="shared" si="18"/>
      </c>
      <c r="K158" s="12" t="str">
        <f t="shared" si="23"/>
      </c>
      <c r="L158" s="13" t="str">
        <f>IF(H158="","",IFERROR(INDEX('Tipos BdE'!$B$7:$M$336,MATCH(DATE(YEAR(K158),MONTH(K158),1),'Tipos BdE'!$A$7:$A$336,1),MATCH($D$9,'Tipos BdE'!$B$6:$M$6,0)),0))</f>
      </c>
      <c r="M158" s="13" t="str">
        <f t="shared" si="19"/>
      </c>
      <c r="N158" s="13" t="str">
        <f t="shared" si="20"/>
      </c>
      <c r="O158" s="14" t="str">
        <f t="shared" si="21"/>
      </c>
      <c r="P158" s="14" t="str">
        <f>IF(H158="","",$D$5+SUM($O$5:O158))</f>
      </c>
    </row>
    <row r="159" spans="7:16" x14ac:dyDescent="0.35">
      <c r="G159" s="11" t="str">
        <f t="shared" si="16"/>
      </c>
      <c r="H159" s="12" t="str">
        <f t="shared" si="22"/>
      </c>
      <c r="I159" s="12" t="str">
        <f t="shared" si="17"/>
      </c>
      <c r="J159" s="11" t="str">
        <f t="shared" si="18"/>
      </c>
      <c r="K159" s="12" t="str">
        <f t="shared" si="23"/>
      </c>
      <c r="L159" s="13" t="str">
        <f>IF(H159="","",IFERROR(INDEX('Tipos BdE'!$B$7:$M$336,MATCH(DATE(YEAR(K159),MONTH(K159),1),'Tipos BdE'!$A$7:$A$336,1),MATCH($D$9,'Tipos BdE'!$B$6:$M$6,0)),0))</f>
      </c>
      <c r="M159" s="13" t="str">
        <f t="shared" si="19"/>
      </c>
      <c r="N159" s="13" t="str">
        <f t="shared" si="20"/>
      </c>
      <c r="O159" s="14" t="str">
        <f t="shared" si="21"/>
      </c>
      <c r="P159" s="14" t="str">
        <f>IF(H159="","",$D$5+SUM($O$5:O159))</f>
      </c>
    </row>
    <row r="160" spans="7:16" x14ac:dyDescent="0.35">
      <c r="G160" s="11" t="str">
        <f t="shared" si="16"/>
      </c>
      <c r="H160" s="12" t="str">
        <f t="shared" si="22"/>
      </c>
      <c r="I160" s="12" t="str">
        <f t="shared" si="17"/>
      </c>
      <c r="J160" s="11" t="str">
        <f t="shared" si="18"/>
      </c>
      <c r="K160" s="12" t="str">
        <f t="shared" si="23"/>
      </c>
      <c r="L160" s="13" t="str">
        <f>IF(H160="","",IFERROR(INDEX('Tipos BdE'!$B$7:$M$336,MATCH(DATE(YEAR(K160),MONTH(K160),1),'Tipos BdE'!$A$7:$A$336,1),MATCH($D$9,'Tipos BdE'!$B$6:$M$6,0)),0))</f>
      </c>
      <c r="M160" s="13" t="str">
        <f t="shared" si="19"/>
      </c>
      <c r="N160" s="13" t="str">
        <f t="shared" si="20"/>
      </c>
      <c r="O160" s="14" t="str">
        <f t="shared" si="21"/>
      </c>
      <c r="P160" s="14" t="str">
        <f>IF(H160="","",$D$5+SUM($O$5:O160))</f>
      </c>
    </row>
    <row r="161" spans="7:16" x14ac:dyDescent="0.35">
      <c r="G161" s="11" t="str">
        <f t="shared" si="16"/>
      </c>
      <c r="H161" s="12" t="str">
        <f t="shared" si="22"/>
      </c>
      <c r="I161" s="12" t="str">
        <f t="shared" si="17"/>
      </c>
      <c r="J161" s="11" t="str">
        <f t="shared" si="18"/>
      </c>
      <c r="K161" s="12" t="str">
        <f t="shared" si="23"/>
      </c>
      <c r="L161" s="13" t="str">
        <f>IF(H161="","",IFERROR(INDEX('Tipos BdE'!$B$7:$M$336,MATCH(DATE(YEAR(K161),MONTH(K161),1),'Tipos BdE'!$A$7:$A$336,1),MATCH($D$9,'Tipos BdE'!$B$6:$M$6,0)),0))</f>
      </c>
      <c r="M161" s="13" t="str">
        <f t="shared" si="19"/>
      </c>
      <c r="N161" s="13" t="str">
        <f t="shared" si="20"/>
      </c>
      <c r="O161" s="14" t="str">
        <f t="shared" si="21"/>
      </c>
      <c r="P161" s="14" t="str">
        <f>IF(H161="","",$D$5+SUM($O$5:O161))</f>
      </c>
    </row>
    <row r="162" spans="7:16" x14ac:dyDescent="0.35">
      <c r="G162" s="11" t="str">
        <f t="shared" si="16"/>
      </c>
      <c r="H162" s="12" t="str">
        <f t="shared" si="22"/>
      </c>
      <c r="I162" s="12" t="str">
        <f t="shared" si="17"/>
      </c>
      <c r="J162" s="11" t="str">
        <f t="shared" si="18"/>
      </c>
      <c r="K162" s="12" t="str">
        <f t="shared" si="23"/>
      </c>
      <c r="L162" s="13" t="str">
        <f>IF(H162="","",IFERROR(INDEX('Tipos BdE'!$B$7:$M$336,MATCH(DATE(YEAR(K162),MONTH(K162),1),'Tipos BdE'!$A$7:$A$336,1),MATCH($D$9,'Tipos BdE'!$B$6:$M$6,0)),0))</f>
      </c>
      <c r="M162" s="13" t="str">
        <f t="shared" si="19"/>
      </c>
      <c r="N162" s="13" t="str">
        <f t="shared" si="20"/>
      </c>
      <c r="O162" s="14" t="str">
        <f t="shared" si="21"/>
      </c>
      <c r="P162" s="14" t="str">
        <f>IF(H162="","",$D$5+SUM($O$5:O162))</f>
      </c>
    </row>
    <row r="163" spans="7:16" x14ac:dyDescent="0.35">
      <c r="G163" s="11" t="str">
        <f t="shared" si="16"/>
      </c>
      <c r="H163" s="12" t="str">
        <f t="shared" si="22"/>
      </c>
      <c r="I163" s="12" t="str">
        <f t="shared" si="17"/>
      </c>
      <c r="J163" s="11" t="str">
        <f t="shared" si="18"/>
      </c>
      <c r="K163" s="12" t="str">
        <f t="shared" si="23"/>
      </c>
      <c r="L163" s="13" t="str">
        <f>IF(H163="","",IFERROR(INDEX('Tipos BdE'!$B$7:$M$336,MATCH(DATE(YEAR(K163),MONTH(K163),1),'Tipos BdE'!$A$7:$A$336,1),MATCH($D$9,'Tipos BdE'!$B$6:$M$6,0)),0))</f>
      </c>
      <c r="M163" s="13" t="str">
        <f t="shared" si="19"/>
      </c>
      <c r="N163" s="13" t="str">
        <f t="shared" si="20"/>
      </c>
      <c r="O163" s="14" t="str">
        <f t="shared" si="21"/>
      </c>
      <c r="P163" s="14" t="str">
        <f>IF(H163="","",$D$5+SUM($O$5:O163))</f>
      </c>
    </row>
    <row r="164" spans="7:16" x14ac:dyDescent="0.35">
      <c r="G164" s="11" t="str">
        <f t="shared" si="16"/>
      </c>
      <c r="H164" s="12" t="str">
        <f t="shared" si="22"/>
      </c>
      <c r="I164" s="12" t="str">
        <f t="shared" si="17"/>
      </c>
      <c r="J164" s="11" t="str">
        <f t="shared" si="18"/>
      </c>
      <c r="K164" s="12" t="str">
        <f t="shared" si="23"/>
      </c>
      <c r="L164" s="13" t="str">
        <f>IF(H164="","",IFERROR(INDEX('Tipos BdE'!$B$7:$M$336,MATCH(DATE(YEAR(K164),MONTH(K164),1),'Tipos BdE'!$A$7:$A$336,1),MATCH($D$9,'Tipos BdE'!$B$6:$M$6,0)),0))</f>
      </c>
      <c r="M164" s="13" t="str">
        <f t="shared" si="19"/>
      </c>
      <c r="N164" s="13" t="str">
        <f t="shared" si="20"/>
      </c>
      <c r="O164" s="14" t="str">
        <f t="shared" si="21"/>
      </c>
      <c r="P164" s="14" t="str">
        <f>IF(H164="","",$D$5+SUM($O$5:O164))</f>
      </c>
    </row>
    <row r="165" spans="7:16" x14ac:dyDescent="0.35">
      <c r="G165" s="11" t="str">
        <f t="shared" si="16"/>
      </c>
      <c r="H165" s="12" t="str">
        <f t="shared" si="22"/>
      </c>
      <c r="I165" s="12" t="str">
        <f t="shared" si="17"/>
      </c>
      <c r="J165" s="11" t="str">
        <f t="shared" si="18"/>
      </c>
      <c r="K165" s="12" t="str">
        <f t="shared" si="23"/>
      </c>
      <c r="L165" s="13" t="str">
        <f>IF(H165="","",IFERROR(INDEX('Tipos BdE'!$B$7:$M$336,MATCH(DATE(YEAR(K165),MONTH(K165),1),'Tipos BdE'!$A$7:$A$336,1),MATCH($D$9,'Tipos BdE'!$B$6:$M$6,0)),0))</f>
      </c>
      <c r="M165" s="13" t="str">
        <f t="shared" si="19"/>
      </c>
      <c r="N165" s="13" t="str">
        <f t="shared" si="20"/>
      </c>
      <c r="O165" s="14" t="str">
        <f t="shared" si="21"/>
      </c>
      <c r="P165" s="14" t="str">
        <f>IF(H165="","",$D$5+SUM($O$5:O165))</f>
      </c>
    </row>
    <row r="166" spans="7:16" x14ac:dyDescent="0.35">
      <c r="G166" s="11" t="str">
        <f t="shared" si="16"/>
      </c>
      <c r="H166" s="12" t="str">
        <f t="shared" si="22"/>
      </c>
      <c r="I166" s="12" t="str">
        <f t="shared" si="17"/>
      </c>
      <c r="J166" s="11" t="str">
        <f t="shared" si="18"/>
      </c>
      <c r="K166" s="12" t="str">
        <f t="shared" si="23"/>
      </c>
      <c r="L166" s="13" t="str">
        <f>IF(H166="","",IFERROR(INDEX('Tipos BdE'!$B$7:$M$336,MATCH(DATE(YEAR(K166),MONTH(K166),1),'Tipos BdE'!$A$7:$A$336,1),MATCH($D$9,'Tipos BdE'!$B$6:$M$6,0)),0))</f>
      </c>
      <c r="M166" s="13" t="str">
        <f t="shared" si="19"/>
      </c>
      <c r="N166" s="13" t="str">
        <f t="shared" si="20"/>
      </c>
      <c r="O166" s="14" t="str">
        <f t="shared" si="21"/>
      </c>
      <c r="P166" s="14" t="str">
        <f>IF(H166="","",$D$5+SUM($O$5:O166))</f>
      </c>
    </row>
    <row r="167" spans="7:16" x14ac:dyDescent="0.35">
      <c r="G167" s="11" t="str">
        <f t="shared" si="16"/>
      </c>
      <c r="H167" s="12" t="str">
        <f t="shared" si="22"/>
      </c>
      <c r="I167" s="12" t="str">
        <f t="shared" si="17"/>
      </c>
      <c r="J167" s="11" t="str">
        <f t="shared" si="18"/>
      </c>
      <c r="K167" s="12" t="str">
        <f t="shared" si="23"/>
      </c>
      <c r="L167" s="13" t="str">
        <f>IF(H167="","",IFERROR(INDEX('Tipos BdE'!$B$7:$M$336,MATCH(DATE(YEAR(K167),MONTH(K167),1),'Tipos BdE'!$A$7:$A$336,1),MATCH($D$9,'Tipos BdE'!$B$6:$M$6,0)),0))</f>
      </c>
      <c r="M167" s="13" t="str">
        <f t="shared" si="19"/>
      </c>
      <c r="N167" s="13" t="str">
        <f t="shared" si="20"/>
      </c>
      <c r="O167" s="14" t="str">
        <f t="shared" si="21"/>
      </c>
      <c r="P167" s="14" t="str">
        <f>IF(H167="","",$D$5+SUM($O$5:O167))</f>
      </c>
    </row>
    <row r="168" spans="7:16" x14ac:dyDescent="0.35">
      <c r="G168" s="11" t="str">
        <f t="shared" si="16"/>
      </c>
      <c r="H168" s="12" t="str">
        <f t="shared" si="22"/>
      </c>
      <c r="I168" s="12" t="str">
        <f t="shared" si="17"/>
      </c>
      <c r="J168" s="11" t="str">
        <f t="shared" si="18"/>
      </c>
      <c r="K168" s="12" t="str">
        <f t="shared" si="23"/>
      </c>
      <c r="L168" s="13" t="str">
        <f>IF(H168="","",IFERROR(INDEX('Tipos BdE'!$B$7:$M$336,MATCH(DATE(YEAR(K168),MONTH(K168),1),'Tipos BdE'!$A$7:$A$336,1),MATCH($D$9,'Tipos BdE'!$B$6:$M$6,0)),0))</f>
      </c>
      <c r="M168" s="13" t="str">
        <f t="shared" si="19"/>
      </c>
      <c r="N168" s="13" t="str">
        <f t="shared" si="20"/>
      </c>
      <c r="O168" s="14" t="str">
        <f t="shared" si="21"/>
      </c>
      <c r="P168" s="14" t="str">
        <f>IF(H168="","",$D$5+SUM($O$5:O168))</f>
      </c>
    </row>
    <row r="169" spans="7:16" x14ac:dyDescent="0.35">
      <c r="G169" s="11" t="str">
        <f t="shared" si="16"/>
      </c>
      <c r="H169" s="12" t="str">
        <f t="shared" si="22"/>
      </c>
      <c r="I169" s="12" t="str">
        <f t="shared" si="17"/>
      </c>
      <c r="J169" s="11" t="str">
        <f t="shared" si="18"/>
      </c>
      <c r="K169" s="12" t="str">
        <f t="shared" si="23"/>
      </c>
      <c r="L169" s="13" t="str">
        <f>IF(H169="","",IFERROR(INDEX('Tipos BdE'!$B$7:$M$336,MATCH(DATE(YEAR(K169),MONTH(K169),1),'Tipos BdE'!$A$7:$A$336,1),MATCH($D$9,'Tipos BdE'!$B$6:$M$6,0)),0))</f>
      </c>
      <c r="M169" s="13" t="str">
        <f t="shared" si="19"/>
      </c>
      <c r="N169" s="13" t="str">
        <f t="shared" si="20"/>
      </c>
      <c r="O169" s="14" t="str">
        <f t="shared" si="21"/>
      </c>
      <c r="P169" s="14" t="str">
        <f>IF(H169="","",$D$5+SUM($O$5:O169))</f>
      </c>
    </row>
    <row r="170" spans="7:16" x14ac:dyDescent="0.35">
      <c r="G170" s="11" t="str">
        <f t="shared" si="16"/>
      </c>
      <c r="H170" s="12" t="str">
        <f t="shared" si="22"/>
      </c>
      <c r="I170" s="12" t="str">
        <f t="shared" si="17"/>
      </c>
      <c r="J170" s="11" t="str">
        <f t="shared" si="18"/>
      </c>
      <c r="K170" s="12" t="str">
        <f t="shared" si="23"/>
      </c>
      <c r="L170" s="13" t="str">
        <f>IF(H170="","",IFERROR(INDEX('Tipos BdE'!$B$7:$M$336,MATCH(DATE(YEAR(K170),MONTH(K170),1),'Tipos BdE'!$A$7:$A$336,1),MATCH($D$9,'Tipos BdE'!$B$6:$M$6,0)),0))</f>
      </c>
      <c r="M170" s="13" t="str">
        <f t="shared" si="19"/>
      </c>
      <c r="N170" s="13" t="str">
        <f t="shared" si="20"/>
      </c>
      <c r="O170" s="14" t="str">
        <f t="shared" si="21"/>
      </c>
      <c r="P170" s="14" t="str">
        <f>IF(H170="","",$D$5+SUM($O$5:O170))</f>
      </c>
    </row>
    <row r="171" spans="7:16" x14ac:dyDescent="0.35">
      <c r="G171" s="11" t="str">
        <f t="shared" si="16"/>
      </c>
      <c r="H171" s="12" t="str">
        <f t="shared" si="22"/>
      </c>
      <c r="I171" s="12" t="str">
        <f t="shared" si="17"/>
      </c>
      <c r="J171" s="11" t="str">
        <f t="shared" si="18"/>
      </c>
      <c r="K171" s="12" t="str">
        <f t="shared" si="23"/>
      </c>
      <c r="L171" s="13" t="str">
        <f>IF(H171="","",IFERROR(INDEX('Tipos BdE'!$B$7:$M$336,MATCH(DATE(YEAR(K171),MONTH(K171),1),'Tipos BdE'!$A$7:$A$336,1),MATCH($D$9,'Tipos BdE'!$B$6:$M$6,0)),0))</f>
      </c>
      <c r="M171" s="13" t="str">
        <f t="shared" si="19"/>
      </c>
      <c r="N171" s="13" t="str">
        <f t="shared" si="20"/>
      </c>
      <c r="O171" s="14" t="str">
        <f t="shared" si="21"/>
      </c>
      <c r="P171" s="14" t="str">
        <f>IF(H171="","",$D$5+SUM($O$5:O171))</f>
      </c>
    </row>
    <row r="172" spans="7:16" x14ac:dyDescent="0.35">
      <c r="G172" s="11" t="str">
        <f t="shared" si="16"/>
      </c>
      <c r="H172" s="12" t="str">
        <f t="shared" si="22"/>
      </c>
      <c r="I172" s="12" t="str">
        <f t="shared" si="17"/>
      </c>
      <c r="J172" s="11" t="str">
        <f t="shared" si="18"/>
      </c>
      <c r="K172" s="12" t="str">
        <f t="shared" si="23"/>
      </c>
      <c r="L172" s="13" t="str">
        <f>IF(H172="","",IFERROR(INDEX('Tipos BdE'!$B$7:$M$336,MATCH(DATE(YEAR(K172),MONTH(K172),1),'Tipos BdE'!$A$7:$A$336,1),MATCH($D$9,'Tipos BdE'!$B$6:$M$6,0)),0))</f>
      </c>
      <c r="M172" s="13" t="str">
        <f t="shared" si="19"/>
      </c>
      <c r="N172" s="13" t="str">
        <f t="shared" si="20"/>
      </c>
      <c r="O172" s="14" t="str">
        <f t="shared" si="21"/>
      </c>
      <c r="P172" s="14" t="str">
        <f>IF(H172="","",$D$5+SUM($O$5:O172))</f>
      </c>
    </row>
    <row r="173" spans="7:16" x14ac:dyDescent="0.35">
      <c r="G173" s="11" t="str">
        <f t="shared" si="16"/>
      </c>
      <c r="H173" s="12" t="str">
        <f t="shared" si="22"/>
      </c>
      <c r="I173" s="12" t="str">
        <f t="shared" si="17"/>
      </c>
      <c r="J173" s="11" t="str">
        <f t="shared" si="18"/>
      </c>
      <c r="K173" s="12" t="str">
        <f t="shared" si="23"/>
      </c>
      <c r="L173" s="13" t="str">
        <f>IF(H173="","",IFERROR(INDEX('Tipos BdE'!$B$7:$M$336,MATCH(DATE(YEAR(K173),MONTH(K173),1),'Tipos BdE'!$A$7:$A$336,1),MATCH($D$9,'Tipos BdE'!$B$6:$M$6,0)),0))</f>
      </c>
      <c r="M173" s="13" t="str">
        <f t="shared" si="19"/>
      </c>
      <c r="N173" s="13" t="str">
        <f t="shared" si="20"/>
      </c>
      <c r="O173" s="14" t="str">
        <f t="shared" si="21"/>
      </c>
      <c r="P173" s="14" t="str">
        <f>IF(H173="","",$D$5+SUM($O$5:O173))</f>
      </c>
    </row>
    <row r="174" spans="7:16" x14ac:dyDescent="0.35">
      <c r="G174" s="11" t="str">
        <f t="shared" si="16"/>
      </c>
      <c r="H174" s="12" t="str">
        <f t="shared" si="22"/>
      </c>
      <c r="I174" s="12" t="str">
        <f t="shared" si="17"/>
      </c>
      <c r="J174" s="11" t="str">
        <f t="shared" si="18"/>
      </c>
      <c r="K174" s="12" t="str">
        <f t="shared" si="23"/>
      </c>
      <c r="L174" s="13" t="str">
        <f>IF(H174="","",IFERROR(INDEX('Tipos BdE'!$B$7:$M$336,MATCH(DATE(YEAR(K174),MONTH(K174),1),'Tipos BdE'!$A$7:$A$336,1),MATCH($D$9,'Tipos BdE'!$B$6:$M$6,0)),0))</f>
      </c>
      <c r="M174" s="13" t="str">
        <f t="shared" si="19"/>
      </c>
      <c r="N174" s="13" t="str">
        <f t="shared" si="20"/>
      </c>
      <c r="O174" s="14" t="str">
        <f t="shared" si="21"/>
      </c>
      <c r="P174" s="14" t="str">
        <f>IF(H174="","",$D$5+SUM($O$5:O174))</f>
      </c>
    </row>
    <row r="175" spans="7:16" x14ac:dyDescent="0.35">
      <c r="G175" s="11" t="str">
        <f t="shared" si="16"/>
      </c>
      <c r="H175" s="12" t="str">
        <f t="shared" si="22"/>
      </c>
      <c r="I175" s="12" t="str">
        <f t="shared" si="17"/>
      </c>
      <c r="J175" s="11" t="str">
        <f t="shared" si="18"/>
      </c>
      <c r="K175" s="12" t="str">
        <f t="shared" si="23"/>
      </c>
      <c r="L175" s="13" t="str">
        <f>IF(H175="","",IFERROR(INDEX('Tipos BdE'!$B$7:$M$336,MATCH(DATE(YEAR(K175),MONTH(K175),1),'Tipos BdE'!$A$7:$A$336,1),MATCH($D$9,'Tipos BdE'!$B$6:$M$6,0)),0))</f>
      </c>
      <c r="M175" s="13" t="str">
        <f t="shared" si="19"/>
      </c>
      <c r="N175" s="13" t="str">
        <f t="shared" si="20"/>
      </c>
      <c r="O175" s="14" t="str">
        <f t="shared" si="21"/>
      </c>
      <c r="P175" s="14" t="str">
        <f>IF(H175="","",$D$5+SUM($O$5:O175))</f>
      </c>
    </row>
    <row r="176" spans="7:16" x14ac:dyDescent="0.35">
      <c r="G176" s="11" t="str">
        <f t="shared" si="16"/>
      </c>
      <c r="H176" s="12" t="str">
        <f t="shared" si="22"/>
      </c>
      <c r="I176" s="12" t="str">
        <f t="shared" si="17"/>
      </c>
      <c r="J176" s="11" t="str">
        <f t="shared" si="18"/>
      </c>
      <c r="K176" s="12" t="str">
        <f t="shared" si="23"/>
      </c>
      <c r="L176" s="13" t="str">
        <f>IF(H176="","",IFERROR(INDEX('Tipos BdE'!$B$7:$M$336,MATCH(DATE(YEAR(K176),MONTH(K176),1),'Tipos BdE'!$A$7:$A$336,1),MATCH($D$9,'Tipos BdE'!$B$6:$M$6,0)),0))</f>
      </c>
      <c r="M176" s="13" t="str">
        <f t="shared" si="19"/>
      </c>
      <c r="N176" s="13" t="str">
        <f t="shared" si="20"/>
      </c>
      <c r="O176" s="14" t="str">
        <f t="shared" si="21"/>
      </c>
      <c r="P176" s="14" t="str">
        <f>IF(H176="","",$D$5+SUM($O$5:O176))</f>
      </c>
    </row>
    <row r="177" spans="7:16" x14ac:dyDescent="0.35">
      <c r="G177" s="11" t="str">
        <f t="shared" si="16"/>
      </c>
      <c r="H177" s="12" t="str">
        <f t="shared" si="22"/>
      </c>
      <c r="I177" s="12" t="str">
        <f t="shared" si="17"/>
      </c>
      <c r="J177" s="11" t="str">
        <f t="shared" si="18"/>
      </c>
      <c r="K177" s="12" t="str">
        <f t="shared" si="23"/>
      </c>
      <c r="L177" s="13" t="str">
        <f>IF(H177="","",IFERROR(INDEX('Tipos BdE'!$B$7:$M$336,MATCH(DATE(YEAR(K177),MONTH(K177),1),'Tipos BdE'!$A$7:$A$336,1),MATCH($D$9,'Tipos BdE'!$B$6:$M$6,0)),0))</f>
      </c>
      <c r="M177" s="13" t="str">
        <f t="shared" si="19"/>
      </c>
      <c r="N177" s="13" t="str">
        <f t="shared" si="20"/>
      </c>
      <c r="O177" s="14" t="str">
        <f t="shared" si="21"/>
      </c>
      <c r="P177" s="14" t="str">
        <f>IF(H177="","",$D$5+SUM($O$5:O177))</f>
      </c>
    </row>
    <row r="178" spans="7:16" x14ac:dyDescent="0.35">
      <c r="G178" s="11" t="str">
        <f t="shared" si="16"/>
      </c>
      <c r="H178" s="12" t="str">
        <f t="shared" si="22"/>
      </c>
      <c r="I178" s="12" t="str">
        <f t="shared" si="17"/>
      </c>
      <c r="J178" s="11" t="str">
        <f t="shared" si="18"/>
      </c>
      <c r="K178" s="12" t="str">
        <f t="shared" si="23"/>
      </c>
      <c r="L178" s="13" t="str">
        <f>IF(H178="","",IFERROR(INDEX('Tipos BdE'!$B$7:$M$336,MATCH(DATE(YEAR(K178),MONTH(K178),1),'Tipos BdE'!$A$7:$A$336,1),MATCH($D$9,'Tipos BdE'!$B$6:$M$6,0)),0))</f>
      </c>
      <c r="M178" s="13" t="str">
        <f t="shared" si="19"/>
      </c>
      <c r="N178" s="13" t="str">
        <f t="shared" si="20"/>
      </c>
      <c r="O178" s="14" t="str">
        <f t="shared" si="21"/>
      </c>
      <c r="P178" s="14" t="str">
        <f>IF(H178="","",$D$5+SUM($O$5:O178))</f>
      </c>
    </row>
    <row r="179" spans="7:16" x14ac:dyDescent="0.35">
      <c r="G179" s="11" t="str">
        <f t="shared" si="16"/>
      </c>
      <c r="H179" s="12" t="str">
        <f t="shared" si="22"/>
      </c>
      <c r="I179" s="12" t="str">
        <f t="shared" si="17"/>
      </c>
      <c r="J179" s="11" t="str">
        <f t="shared" si="18"/>
      </c>
      <c r="K179" s="12" t="str">
        <f t="shared" si="23"/>
      </c>
      <c r="L179" s="13" t="str">
        <f>IF(H179="","",IFERROR(INDEX('Tipos BdE'!$B$7:$M$336,MATCH(DATE(YEAR(K179),MONTH(K179),1),'Tipos BdE'!$A$7:$A$336,1),MATCH($D$9,'Tipos BdE'!$B$6:$M$6,0)),0))</f>
      </c>
      <c r="M179" s="13" t="str">
        <f t="shared" si="19"/>
      </c>
      <c r="N179" s="13" t="str">
        <f t="shared" si="20"/>
      </c>
      <c r="O179" s="14" t="str">
        <f t="shared" si="21"/>
      </c>
      <c r="P179" s="14" t="str">
        <f>IF(H179="","",$D$5+SUM($O$5:O179))</f>
      </c>
    </row>
    <row r="180" spans="7:16" x14ac:dyDescent="0.35">
      <c r="G180" s="11" t="str">
        <f t="shared" si="16"/>
      </c>
      <c r="H180" s="12" t="str">
        <f t="shared" si="22"/>
      </c>
      <c r="I180" s="12" t="str">
        <f t="shared" si="17"/>
      </c>
      <c r="J180" s="11" t="str">
        <f t="shared" si="18"/>
      </c>
      <c r="K180" s="12" t="str">
        <f t="shared" si="23"/>
      </c>
      <c r="L180" s="13" t="str">
        <f>IF(H180="","",IFERROR(INDEX('Tipos BdE'!$B$7:$M$336,MATCH(DATE(YEAR(K180),MONTH(K180),1),'Tipos BdE'!$A$7:$A$336,1),MATCH($D$9,'Tipos BdE'!$B$6:$M$6,0)),0))</f>
      </c>
      <c r="M180" s="13" t="str">
        <f t="shared" si="19"/>
      </c>
      <c r="N180" s="13" t="str">
        <f t="shared" si="20"/>
      </c>
      <c r="O180" s="14" t="str">
        <f t="shared" si="21"/>
      </c>
      <c r="P180" s="14" t="str">
        <f>IF(H180="","",$D$5+SUM($O$5:O180))</f>
      </c>
    </row>
    <row r="181" spans="7:16" x14ac:dyDescent="0.35">
      <c r="G181" s="11" t="str">
        <f t="shared" si="16"/>
      </c>
      <c r="H181" s="12" t="str">
        <f t="shared" si="22"/>
      </c>
      <c r="I181" s="12" t="str">
        <f t="shared" si="17"/>
      </c>
      <c r="J181" s="11" t="str">
        <f t="shared" si="18"/>
      </c>
      <c r="K181" s="12" t="str">
        <f t="shared" si="23"/>
      </c>
      <c r="L181" s="13" t="str">
        <f>IF(H181="","",IFERROR(INDEX('Tipos BdE'!$B$7:$M$336,MATCH(DATE(YEAR(K181),MONTH(K181),1),'Tipos BdE'!$A$7:$A$336,1),MATCH($D$9,'Tipos BdE'!$B$6:$M$6,0)),0))</f>
      </c>
      <c r="M181" s="13" t="str">
        <f t="shared" si="19"/>
      </c>
      <c r="N181" s="13" t="str">
        <f t="shared" si="20"/>
      </c>
      <c r="O181" s="14" t="str">
        <f t="shared" si="21"/>
      </c>
      <c r="P181" s="14" t="str">
        <f>IF(H181="","",$D$5+SUM($O$5:O181))</f>
      </c>
    </row>
    <row r="182" spans="7:16" x14ac:dyDescent="0.35">
      <c r="G182" s="11" t="str">
        <f t="shared" si="16"/>
      </c>
      <c r="H182" s="12" t="str">
        <f t="shared" si="22"/>
      </c>
      <c r="I182" s="12" t="str">
        <f t="shared" si="17"/>
      </c>
      <c r="J182" s="11" t="str">
        <f t="shared" si="18"/>
      </c>
      <c r="K182" s="12" t="str">
        <f t="shared" si="23"/>
      </c>
      <c r="L182" s="13" t="str">
        <f>IF(H182="","",IFERROR(INDEX('Tipos BdE'!$B$7:$M$336,MATCH(DATE(YEAR(K182),MONTH(K182),1),'Tipos BdE'!$A$7:$A$336,1),MATCH($D$9,'Tipos BdE'!$B$6:$M$6,0)),0))</f>
      </c>
      <c r="M182" s="13" t="str">
        <f t="shared" si="19"/>
      </c>
      <c r="N182" s="13" t="str">
        <f t="shared" si="20"/>
      </c>
      <c r="O182" s="14" t="str">
        <f t="shared" si="21"/>
      </c>
      <c r="P182" s="14" t="str">
        <f>IF(H182="","",$D$5+SUM($O$5:O182))</f>
      </c>
    </row>
    <row r="183" spans="7:16" x14ac:dyDescent="0.35">
      <c r="G183" s="11" t="str">
        <f t="shared" si="16"/>
      </c>
      <c r="H183" s="12" t="str">
        <f t="shared" si="22"/>
      </c>
      <c r="I183" s="12" t="str">
        <f t="shared" si="17"/>
      </c>
      <c r="J183" s="11" t="str">
        <f t="shared" si="18"/>
      </c>
      <c r="K183" s="12" t="str">
        <f t="shared" si="23"/>
      </c>
      <c r="L183" s="13" t="str">
        <f>IF(H183="","",IFERROR(INDEX('Tipos BdE'!$B$7:$M$336,MATCH(DATE(YEAR(K183),MONTH(K183),1),'Tipos BdE'!$A$7:$A$336,1),MATCH($D$9,'Tipos BdE'!$B$6:$M$6,0)),0))</f>
      </c>
      <c r="M183" s="13" t="str">
        <f t="shared" si="19"/>
      </c>
      <c r="N183" s="13" t="str">
        <f t="shared" si="20"/>
      </c>
      <c r="O183" s="14" t="str">
        <f t="shared" si="21"/>
      </c>
      <c r="P183" s="14" t="str">
        <f>IF(H183="","",$D$5+SUM($O$5:O183))</f>
      </c>
    </row>
    <row r="184" spans="7:16" x14ac:dyDescent="0.35">
      <c r="G184" s="11" t="str">
        <f t="shared" si="16"/>
      </c>
      <c r="H184" s="12" t="str">
        <f t="shared" si="22"/>
      </c>
      <c r="I184" s="12" t="str">
        <f t="shared" si="17"/>
      </c>
      <c r="J184" s="11" t="str">
        <f t="shared" si="18"/>
      </c>
      <c r="K184" s="12" t="str">
        <f t="shared" si="23"/>
      </c>
      <c r="L184" s="13" t="str">
        <f>IF(H184="","",IFERROR(INDEX('Tipos BdE'!$B$7:$M$336,MATCH(DATE(YEAR(K184),MONTH(K184),1),'Tipos BdE'!$A$7:$A$336,1),MATCH($D$9,'Tipos BdE'!$B$6:$M$6,0)),0))</f>
      </c>
      <c r="M184" s="13" t="str">
        <f t="shared" si="19"/>
      </c>
      <c r="N184" s="13" t="str">
        <f t="shared" si="20"/>
      </c>
      <c r="O184" s="14" t="str">
        <f t="shared" si="21"/>
      </c>
      <c r="P184" s="14" t="str">
        <f>IF(H184="","",$D$5+SUM($O$5:O184))</f>
      </c>
    </row>
    <row r="185" spans="7:16" x14ac:dyDescent="0.35">
      <c r="G185" s="11" t="str">
        <f t="shared" si="16"/>
      </c>
      <c r="H185" s="12" t="str">
        <f t="shared" si="22"/>
      </c>
      <c r="I185" s="12" t="str">
        <f t="shared" si="17"/>
      </c>
      <c r="J185" s="11" t="str">
        <f t="shared" si="18"/>
      </c>
      <c r="K185" s="12" t="str">
        <f t="shared" si="23"/>
      </c>
      <c r="L185" s="13" t="str">
        <f>IF(H185="","",IFERROR(INDEX('Tipos BdE'!$B$7:$M$336,MATCH(DATE(YEAR(K185),MONTH(K185),1),'Tipos BdE'!$A$7:$A$336,1),MATCH($D$9,'Tipos BdE'!$B$6:$M$6,0)),0))</f>
      </c>
      <c r="M185" s="13" t="str">
        <f t="shared" si="19"/>
      </c>
      <c r="N185" s="13" t="str">
        <f t="shared" si="20"/>
      </c>
      <c r="O185" s="14" t="str">
        <f t="shared" si="21"/>
      </c>
      <c r="P185" s="14" t="str">
        <f>IF(H185="","",$D$5+SUM($O$5:O185))</f>
      </c>
    </row>
    <row r="186" spans="7:16" x14ac:dyDescent="0.35">
      <c r="G186" s="11" t="str">
        <f t="shared" si="16"/>
      </c>
      <c r="H186" s="12" t="str">
        <f t="shared" si="22"/>
      </c>
      <c r="I186" s="12" t="str">
        <f t="shared" si="17"/>
      </c>
      <c r="J186" s="11" t="str">
        <f t="shared" si="18"/>
      </c>
      <c r="K186" s="12" t="str">
        <f t="shared" si="23"/>
      </c>
      <c r="L186" s="13" t="str">
        <f>IF(H186="","",IFERROR(INDEX('Tipos BdE'!$B$7:$M$336,MATCH(DATE(YEAR(K186),MONTH(K186),1),'Tipos BdE'!$A$7:$A$336,1),MATCH($D$9,'Tipos BdE'!$B$6:$M$6,0)),0))</f>
      </c>
      <c r="M186" s="13" t="str">
        <f t="shared" si="19"/>
      </c>
      <c r="N186" s="13" t="str">
        <f t="shared" si="20"/>
      </c>
      <c r="O186" s="14" t="str">
        <f t="shared" si="21"/>
      </c>
      <c r="P186" s="14" t="str">
        <f>IF(H186="","",$D$5+SUM($O$5:O186))</f>
      </c>
    </row>
    <row r="187" spans="7:16" x14ac:dyDescent="0.35">
      <c r="G187" s="11" t="str">
        <f t="shared" si="16"/>
      </c>
      <c r="H187" s="12" t="str">
        <f t="shared" si="22"/>
      </c>
      <c r="I187" s="12" t="str">
        <f t="shared" si="17"/>
      </c>
      <c r="J187" s="11" t="str">
        <f t="shared" si="18"/>
      </c>
      <c r="K187" s="12" t="str">
        <f t="shared" si="23"/>
      </c>
      <c r="L187" s="13" t="str">
        <f>IF(H187="","",IFERROR(INDEX('Tipos BdE'!$B$7:$M$336,MATCH(DATE(YEAR(K187),MONTH(K187),1),'Tipos BdE'!$A$7:$A$336,1),MATCH($D$9,'Tipos BdE'!$B$6:$M$6,0)),0))</f>
      </c>
      <c r="M187" s="13" t="str">
        <f t="shared" si="19"/>
      </c>
      <c r="N187" s="13" t="str">
        <f t="shared" si="20"/>
      </c>
      <c r="O187" s="14" t="str">
        <f t="shared" si="21"/>
      </c>
      <c r="P187" s="14" t="str">
        <f>IF(H187="","",$D$5+SUM($O$5:O187))</f>
      </c>
    </row>
    <row r="188" spans="7:16" x14ac:dyDescent="0.35">
      <c r="G188" s="11" t="str">
        <f t="shared" si="16"/>
      </c>
      <c r="H188" s="12" t="str">
        <f t="shared" si="22"/>
      </c>
      <c r="I188" s="12" t="str">
        <f t="shared" si="17"/>
      </c>
      <c r="J188" s="11" t="str">
        <f t="shared" si="18"/>
      </c>
      <c r="K188" s="12" t="str">
        <f t="shared" si="23"/>
      </c>
      <c r="L188" s="13" t="str">
        <f>IF(H188="","",IFERROR(INDEX('Tipos BdE'!$B$7:$M$336,MATCH(DATE(YEAR(K188),MONTH(K188),1),'Tipos BdE'!$A$7:$A$336,1),MATCH($D$9,'Tipos BdE'!$B$6:$M$6,0)),0))</f>
      </c>
      <c r="M188" s="13" t="str">
        <f t="shared" si="19"/>
      </c>
      <c r="N188" s="13" t="str">
        <f t="shared" si="20"/>
      </c>
      <c r="O188" s="14" t="str">
        <f t="shared" si="21"/>
      </c>
      <c r="P188" s="14" t="str">
        <f>IF(H188="","",$D$5+SUM($O$5:O188))</f>
      </c>
    </row>
    <row r="189" spans="7:16" x14ac:dyDescent="0.35">
      <c r="G189" s="11" t="str">
        <f t="shared" si="16"/>
      </c>
      <c r="H189" s="12" t="str">
        <f t="shared" si="22"/>
      </c>
      <c r="I189" s="12" t="str">
        <f t="shared" si="17"/>
      </c>
      <c r="J189" s="11" t="str">
        <f t="shared" si="18"/>
      </c>
      <c r="K189" s="12" t="str">
        <f t="shared" si="23"/>
      </c>
      <c r="L189" s="13" t="str">
        <f>IF(H189="","",IFERROR(INDEX('Tipos BdE'!$B$7:$M$336,MATCH(DATE(YEAR(K189),MONTH(K189),1),'Tipos BdE'!$A$7:$A$336,1),MATCH($D$9,'Tipos BdE'!$B$6:$M$6,0)),0))</f>
      </c>
      <c r="M189" s="13" t="str">
        <f t="shared" si="19"/>
      </c>
      <c r="N189" s="13" t="str">
        <f t="shared" si="20"/>
      </c>
      <c r="O189" s="14" t="str">
        <f t="shared" si="21"/>
      </c>
      <c r="P189" s="14" t="str">
        <f>IF(H189="","",$D$5+SUM($O$5:O189))</f>
      </c>
    </row>
    <row r="190" spans="7:16" x14ac:dyDescent="0.35">
      <c r="G190" s="11" t="str">
        <f t="shared" si="16"/>
      </c>
      <c r="H190" s="12" t="str">
        <f t="shared" si="22"/>
      </c>
      <c r="I190" s="12" t="str">
        <f t="shared" si="17"/>
      </c>
      <c r="J190" s="11" t="str">
        <f t="shared" si="18"/>
      </c>
      <c r="K190" s="12" t="str">
        <f t="shared" si="23"/>
      </c>
      <c r="L190" s="13" t="str">
        <f>IF(H190="","",IFERROR(INDEX('Tipos BdE'!$B$7:$M$336,MATCH(DATE(YEAR(K190),MONTH(K190),1),'Tipos BdE'!$A$7:$A$336,1),MATCH($D$9,'Tipos BdE'!$B$6:$M$6,0)),0))</f>
      </c>
      <c r="M190" s="13" t="str">
        <f t="shared" si="19"/>
      </c>
      <c r="N190" s="13" t="str">
        <f t="shared" si="20"/>
      </c>
      <c r="O190" s="14" t="str">
        <f t="shared" si="21"/>
      </c>
      <c r="P190" s="14" t="str">
        <f>IF(H190="","",$D$5+SUM($O$5:O190))</f>
      </c>
    </row>
    <row r="191" spans="7:16" x14ac:dyDescent="0.35">
      <c r="G191" s="11" t="str">
        <f t="shared" si="16"/>
      </c>
      <c r="H191" s="12" t="str">
        <f t="shared" si="22"/>
      </c>
      <c r="I191" s="12" t="str">
        <f t="shared" si="17"/>
      </c>
      <c r="J191" s="11" t="str">
        <f t="shared" si="18"/>
      </c>
      <c r="K191" s="12" t="str">
        <f t="shared" si="23"/>
      </c>
      <c r="L191" s="13" t="str">
        <f>IF(H191="","",IFERROR(INDEX('Tipos BdE'!$B$7:$M$336,MATCH(DATE(YEAR(K191),MONTH(K191),1),'Tipos BdE'!$A$7:$A$336,1),MATCH($D$9,'Tipos BdE'!$B$6:$M$6,0)),0))</f>
      </c>
      <c r="M191" s="13" t="str">
        <f t="shared" si="19"/>
      </c>
      <c r="N191" s="13" t="str">
        <f t="shared" si="20"/>
      </c>
      <c r="O191" s="14" t="str">
        <f t="shared" si="21"/>
      </c>
      <c r="P191" s="14" t="str">
        <f>IF(H191="","",$D$5+SUM($O$5:O191))</f>
      </c>
    </row>
    <row r="192" spans="7:16" x14ac:dyDescent="0.35">
      <c r="G192" s="11" t="str">
        <f t="shared" si="16"/>
      </c>
      <c r="H192" s="12" t="str">
        <f t="shared" si="22"/>
      </c>
      <c r="I192" s="12" t="str">
        <f t="shared" si="17"/>
      </c>
      <c r="J192" s="11" t="str">
        <f t="shared" si="18"/>
      </c>
      <c r="K192" s="12" t="str">
        <f t="shared" si="23"/>
      </c>
      <c r="L192" s="13" t="str">
        <f>IF(H192="","",IFERROR(INDEX('Tipos BdE'!$B$7:$M$336,MATCH(DATE(YEAR(K192),MONTH(K192),1),'Tipos BdE'!$A$7:$A$336,1),MATCH($D$9,'Tipos BdE'!$B$6:$M$6,0)),0))</f>
      </c>
      <c r="M192" s="13" t="str">
        <f t="shared" si="19"/>
      </c>
      <c r="N192" s="13" t="str">
        <f t="shared" si="20"/>
      </c>
      <c r="O192" s="14" t="str">
        <f t="shared" si="21"/>
      </c>
      <c r="P192" s="14" t="str">
        <f>IF(H192="","",$D$5+SUM($O$5:O192))</f>
      </c>
    </row>
    <row r="193" spans="7:16" x14ac:dyDescent="0.35">
      <c r="G193" s="11" t="str">
        <f t="shared" si="16"/>
      </c>
      <c r="H193" s="12" t="str">
        <f t="shared" si="22"/>
      </c>
      <c r="I193" s="12" t="str">
        <f t="shared" si="17"/>
      </c>
      <c r="J193" s="11" t="str">
        <f t="shared" si="18"/>
      </c>
      <c r="K193" s="12" t="str">
        <f t="shared" si="23"/>
      </c>
      <c r="L193" s="13" t="str">
        <f>IF(H193="","",IFERROR(INDEX('Tipos BdE'!$B$7:$M$336,MATCH(DATE(YEAR(K193),MONTH(K193),1),'Tipos BdE'!$A$7:$A$336,1),MATCH($D$9,'Tipos BdE'!$B$6:$M$6,0)),0))</f>
      </c>
      <c r="M193" s="13" t="str">
        <f t="shared" si="19"/>
      </c>
      <c r="N193" s="13" t="str">
        <f t="shared" si="20"/>
      </c>
      <c r="O193" s="14" t="str">
        <f t="shared" si="21"/>
      </c>
      <c r="P193" s="14" t="str">
        <f>IF(H193="","",$D$5+SUM($O$5:O193))</f>
      </c>
    </row>
    <row r="194" spans="7:16" x14ac:dyDescent="0.35">
      <c r="G194" s="11" t="str">
        <f t="shared" si="16"/>
      </c>
      <c r="H194" s="12" t="str">
        <f t="shared" si="22"/>
      </c>
      <c r="I194" s="12" t="str">
        <f t="shared" si="17"/>
      </c>
      <c r="J194" s="11" t="str">
        <f t="shared" si="18"/>
      </c>
      <c r="K194" s="12" t="str">
        <f t="shared" si="23"/>
      </c>
      <c r="L194" s="13" t="str">
        <f>IF(H194="","",IFERROR(INDEX('Tipos BdE'!$B$7:$M$336,MATCH(DATE(YEAR(K194),MONTH(K194),1),'Tipos BdE'!$A$7:$A$336,1),MATCH($D$9,'Tipos BdE'!$B$6:$M$6,0)),0))</f>
      </c>
      <c r="M194" s="13" t="str">
        <f t="shared" si="19"/>
      </c>
      <c r="N194" s="13" t="str">
        <f t="shared" si="20"/>
      </c>
      <c r="O194" s="14" t="str">
        <f t="shared" si="21"/>
      </c>
      <c r="P194" s="14" t="str">
        <f>IF(H194="","",$D$5+SUM($O$5:O194))</f>
      </c>
    </row>
    <row r="195" spans="7:16" x14ac:dyDescent="0.35">
      <c r="G195" s="11" t="str">
        <f t="shared" si="16"/>
      </c>
      <c r="H195" s="12" t="str">
        <f t="shared" si="22"/>
      </c>
      <c r="I195" s="12" t="str">
        <f t="shared" si="17"/>
      </c>
      <c r="J195" s="11" t="str">
        <f t="shared" si="18"/>
      </c>
      <c r="K195" s="12" t="str">
        <f t="shared" si="23"/>
      </c>
      <c r="L195" s="13" t="str">
        <f>IF(H195="","",IFERROR(INDEX('Tipos BdE'!$B$7:$M$336,MATCH(DATE(YEAR(K195),MONTH(K195),1),'Tipos BdE'!$A$7:$A$336,1),MATCH($D$9,'Tipos BdE'!$B$6:$M$6,0)),0))</f>
      </c>
      <c r="M195" s="13" t="str">
        <f t="shared" si="19"/>
      </c>
      <c r="N195" s="13" t="str">
        <f t="shared" si="20"/>
      </c>
      <c r="O195" s="14" t="str">
        <f t="shared" si="21"/>
      </c>
      <c r="P195" s="14" t="str">
        <f>IF(H195="","",$D$5+SUM($O$5:O195))</f>
      </c>
    </row>
    <row r="196" spans="7:16" x14ac:dyDescent="0.35">
      <c r="G196" s="11" t="str">
        <f t="shared" si="16"/>
      </c>
      <c r="H196" s="12" t="str">
        <f t="shared" si="22"/>
      </c>
      <c r="I196" s="12" t="str">
        <f t="shared" si="17"/>
      </c>
      <c r="J196" s="11" t="str">
        <f t="shared" si="18"/>
      </c>
      <c r="K196" s="12" t="str">
        <f t="shared" si="23"/>
      </c>
      <c r="L196" s="13" t="str">
        <f>IF(H196="","",IFERROR(INDEX('Tipos BdE'!$B$7:$M$336,MATCH(DATE(YEAR(K196),MONTH(K196),1),'Tipos BdE'!$A$7:$A$336,1),MATCH($D$9,'Tipos BdE'!$B$6:$M$6,0)),0))</f>
      </c>
      <c r="M196" s="13" t="str">
        <f t="shared" si="19"/>
      </c>
      <c r="N196" s="13" t="str">
        <f t="shared" si="20"/>
      </c>
      <c r="O196" s="14" t="str">
        <f t="shared" si="21"/>
      </c>
      <c r="P196" s="14" t="str">
        <f>IF(H196="","",$D$5+SUM($O$5:O196))</f>
      </c>
    </row>
    <row r="197" spans="7:16" x14ac:dyDescent="0.35">
      <c r="G197" s="11" t="str">
        <f t="shared" ref="G197:G260" si="24">IF(H197="","",ROW()-4)</f>
      </c>
      <c r="H197" s="12" t="str">
        <f t="shared" si="22"/>
      </c>
      <c r="I197" s="12" t="str">
        <f t="shared" ref="I197:I260" si="25">IF(H197="","",MIN(IF($D$18="LEGAL",DATE(YEAR(H197)+1,1,1),EDATE($D$12,$D$11*(INT((((YEAR(H197)-YEAR($D$12))*12+(MONTH(H197)-MONTH($D$12))-IF(DAY(H197)&lt;DAY($D$12),1,0))/$D$11))+1))),$D$7))</f>
      </c>
      <c r="J197" s="11" t="str">
        <f t="shared" ref="J197:J260" si="26">IF(H197="","",I197-H197)</f>
      </c>
      <c r="K197" s="12" t="str">
        <f t="shared" si="23"/>
      </c>
      <c r="L197" s="13" t="str">
        <f>IF(H197="","",IFERROR(INDEX('Tipos BdE'!$B$7:$M$336,MATCH(DATE(YEAR(K197),MONTH(K197),1),'Tipos BdE'!$A$7:$A$336,1),MATCH($D$9,'Tipos BdE'!$B$6:$M$6,0)),0))</f>
      </c>
      <c r="M197" s="13" t="str">
        <f t="shared" ref="M197:M260" si="27">IF(H197="","",IF($D$18="LEGAL",0,$D$10))</f>
      </c>
      <c r="N197" s="13" t="str">
        <f t="shared" ref="N197:N260" si="28">IF(H197="","",IF(AND($D$14="Sí",(L197+M197)&lt;0),0,L197+M197))</f>
      </c>
      <c r="O197" s="14" t="str">
        <f t="shared" ref="O197:O260" si="29">IF(H197="","",$D$5*N197*J197/36500)</f>
      </c>
      <c r="P197" s="14" t="str">
        <f>IF(H197="","",$D$5+SUM($O$5:O197))</f>
      </c>
    </row>
    <row r="198" spans="7:16" x14ac:dyDescent="0.35">
      <c r="G198" s="11" t="str">
        <f t="shared" si="24"/>
      </c>
      <c r="H198" s="12" t="str">
        <f t="shared" ref="H198:H261" si="30">IF(OR(I197="",I197&gt;=$D$7),"",I197)</f>
      </c>
      <c r="I198" s="12" t="str">
        <f t="shared" si="25"/>
      </c>
      <c r="J198" s="11" t="str">
        <f t="shared" si="26"/>
      </c>
      <c r="K198" s="12" t="str">
        <f t="shared" ref="K198:K261" si="31">IF(H198="","",IF($D$18="LEGAL",H198,EDATE(H198,-$D$13)))</f>
      </c>
      <c r="L198" s="13" t="str">
        <f>IF(H198="","",IFERROR(INDEX('Tipos BdE'!$B$7:$M$336,MATCH(DATE(YEAR(K198),MONTH(K198),1),'Tipos BdE'!$A$7:$A$336,1),MATCH($D$9,'Tipos BdE'!$B$6:$M$6,0)),0))</f>
      </c>
      <c r="M198" s="13" t="str">
        <f t="shared" si="27"/>
      </c>
      <c r="N198" s="13" t="str">
        <f t="shared" si="28"/>
      </c>
      <c r="O198" s="14" t="str">
        <f t="shared" si="29"/>
      </c>
      <c r="P198" s="14" t="str">
        <f>IF(H198="","",$D$5+SUM($O$5:O198))</f>
      </c>
    </row>
    <row r="199" spans="7:16" x14ac:dyDescent="0.35">
      <c r="G199" s="11" t="str">
        <f t="shared" si="24"/>
      </c>
      <c r="H199" s="12" t="str">
        <f t="shared" si="30"/>
      </c>
      <c r="I199" s="12" t="str">
        <f t="shared" si="25"/>
      </c>
      <c r="J199" s="11" t="str">
        <f t="shared" si="26"/>
      </c>
      <c r="K199" s="12" t="str">
        <f t="shared" si="31"/>
      </c>
      <c r="L199" s="13" t="str">
        <f>IF(H199="","",IFERROR(INDEX('Tipos BdE'!$B$7:$M$336,MATCH(DATE(YEAR(K199),MONTH(K199),1),'Tipos BdE'!$A$7:$A$336,1),MATCH($D$9,'Tipos BdE'!$B$6:$M$6,0)),0))</f>
      </c>
      <c r="M199" s="13" t="str">
        <f t="shared" si="27"/>
      </c>
      <c r="N199" s="13" t="str">
        <f t="shared" si="28"/>
      </c>
      <c r="O199" s="14" t="str">
        <f t="shared" si="29"/>
      </c>
      <c r="P199" s="14" t="str">
        <f>IF(H199="","",$D$5+SUM($O$5:O199))</f>
      </c>
    </row>
    <row r="200" spans="7:16" x14ac:dyDescent="0.35">
      <c r="G200" s="11" t="str">
        <f t="shared" si="24"/>
      </c>
      <c r="H200" s="12" t="str">
        <f t="shared" si="30"/>
      </c>
      <c r="I200" s="12" t="str">
        <f t="shared" si="25"/>
      </c>
      <c r="J200" s="11" t="str">
        <f t="shared" si="26"/>
      </c>
      <c r="K200" s="12" t="str">
        <f t="shared" si="31"/>
      </c>
      <c r="L200" s="13" t="str">
        <f>IF(H200="","",IFERROR(INDEX('Tipos BdE'!$B$7:$M$336,MATCH(DATE(YEAR(K200),MONTH(K200),1),'Tipos BdE'!$A$7:$A$336,1),MATCH($D$9,'Tipos BdE'!$B$6:$M$6,0)),0))</f>
      </c>
      <c r="M200" s="13" t="str">
        <f t="shared" si="27"/>
      </c>
      <c r="N200" s="13" t="str">
        <f t="shared" si="28"/>
      </c>
      <c r="O200" s="14" t="str">
        <f t="shared" si="29"/>
      </c>
      <c r="P200" s="14" t="str">
        <f>IF(H200="","",$D$5+SUM($O$5:O200))</f>
      </c>
    </row>
    <row r="201" spans="7:16" x14ac:dyDescent="0.35">
      <c r="G201" s="11" t="str">
        <f t="shared" si="24"/>
      </c>
      <c r="H201" s="12" t="str">
        <f t="shared" si="30"/>
      </c>
      <c r="I201" s="12" t="str">
        <f t="shared" si="25"/>
      </c>
      <c r="J201" s="11" t="str">
        <f t="shared" si="26"/>
      </c>
      <c r="K201" s="12" t="str">
        <f t="shared" si="31"/>
      </c>
      <c r="L201" s="13" t="str">
        <f>IF(H201="","",IFERROR(INDEX('Tipos BdE'!$B$7:$M$336,MATCH(DATE(YEAR(K201),MONTH(K201),1),'Tipos BdE'!$A$7:$A$336,1),MATCH($D$9,'Tipos BdE'!$B$6:$M$6,0)),0))</f>
      </c>
      <c r="M201" s="13" t="str">
        <f t="shared" si="27"/>
      </c>
      <c r="N201" s="13" t="str">
        <f t="shared" si="28"/>
      </c>
      <c r="O201" s="14" t="str">
        <f t="shared" si="29"/>
      </c>
      <c r="P201" s="14" t="str">
        <f>IF(H201="","",$D$5+SUM($O$5:O201))</f>
      </c>
    </row>
    <row r="202" spans="7:16" x14ac:dyDescent="0.35">
      <c r="G202" s="11" t="str">
        <f t="shared" si="24"/>
      </c>
      <c r="H202" s="12" t="str">
        <f t="shared" si="30"/>
      </c>
      <c r="I202" s="12" t="str">
        <f t="shared" si="25"/>
      </c>
      <c r="J202" s="11" t="str">
        <f t="shared" si="26"/>
      </c>
      <c r="K202" s="12" t="str">
        <f t="shared" si="31"/>
      </c>
      <c r="L202" s="13" t="str">
        <f>IF(H202="","",IFERROR(INDEX('Tipos BdE'!$B$7:$M$336,MATCH(DATE(YEAR(K202),MONTH(K202),1),'Tipos BdE'!$A$7:$A$336,1),MATCH($D$9,'Tipos BdE'!$B$6:$M$6,0)),0))</f>
      </c>
      <c r="M202" s="13" t="str">
        <f t="shared" si="27"/>
      </c>
      <c r="N202" s="13" t="str">
        <f t="shared" si="28"/>
      </c>
      <c r="O202" s="14" t="str">
        <f t="shared" si="29"/>
      </c>
      <c r="P202" s="14" t="str">
        <f>IF(H202="","",$D$5+SUM($O$5:O202))</f>
      </c>
    </row>
    <row r="203" spans="7:16" x14ac:dyDescent="0.35">
      <c r="G203" s="11" t="str">
        <f t="shared" si="24"/>
      </c>
      <c r="H203" s="12" t="str">
        <f t="shared" si="30"/>
      </c>
      <c r="I203" s="12" t="str">
        <f t="shared" si="25"/>
      </c>
      <c r="J203" s="11" t="str">
        <f t="shared" si="26"/>
      </c>
      <c r="K203" s="12" t="str">
        <f t="shared" si="31"/>
      </c>
      <c r="L203" s="13" t="str">
        <f>IF(H203="","",IFERROR(INDEX('Tipos BdE'!$B$7:$M$336,MATCH(DATE(YEAR(K203),MONTH(K203),1),'Tipos BdE'!$A$7:$A$336,1),MATCH($D$9,'Tipos BdE'!$B$6:$M$6,0)),0))</f>
      </c>
      <c r="M203" s="13" t="str">
        <f t="shared" si="27"/>
      </c>
      <c r="N203" s="13" t="str">
        <f t="shared" si="28"/>
      </c>
      <c r="O203" s="14" t="str">
        <f t="shared" si="29"/>
      </c>
      <c r="P203" s="14" t="str">
        <f>IF(H203="","",$D$5+SUM($O$5:O203))</f>
      </c>
    </row>
    <row r="204" spans="7:16" x14ac:dyDescent="0.35">
      <c r="G204" s="11" t="str">
        <f t="shared" si="24"/>
      </c>
      <c r="H204" s="12" t="str">
        <f t="shared" si="30"/>
      </c>
      <c r="I204" s="12" t="str">
        <f t="shared" si="25"/>
      </c>
      <c r="J204" s="11" t="str">
        <f t="shared" si="26"/>
      </c>
      <c r="K204" s="12" t="str">
        <f t="shared" si="31"/>
      </c>
      <c r="L204" s="13" t="str">
        <f>IF(H204="","",IFERROR(INDEX('Tipos BdE'!$B$7:$M$336,MATCH(DATE(YEAR(K204),MONTH(K204),1),'Tipos BdE'!$A$7:$A$336,1),MATCH($D$9,'Tipos BdE'!$B$6:$M$6,0)),0))</f>
      </c>
      <c r="M204" s="13" t="str">
        <f t="shared" si="27"/>
      </c>
      <c r="N204" s="13" t="str">
        <f t="shared" si="28"/>
      </c>
      <c r="O204" s="14" t="str">
        <f t="shared" si="29"/>
      </c>
      <c r="P204" s="14" t="str">
        <f>IF(H204="","",$D$5+SUM($O$5:O204))</f>
      </c>
    </row>
    <row r="205" spans="7:16" x14ac:dyDescent="0.35">
      <c r="G205" s="11" t="str">
        <f t="shared" si="24"/>
      </c>
      <c r="H205" s="12" t="str">
        <f t="shared" si="30"/>
      </c>
      <c r="I205" s="12" t="str">
        <f t="shared" si="25"/>
      </c>
      <c r="J205" s="11" t="str">
        <f t="shared" si="26"/>
      </c>
      <c r="K205" s="12" t="str">
        <f t="shared" si="31"/>
      </c>
      <c r="L205" s="13" t="str">
        <f>IF(H205="","",IFERROR(INDEX('Tipos BdE'!$B$7:$M$336,MATCH(DATE(YEAR(K205),MONTH(K205),1),'Tipos BdE'!$A$7:$A$336,1),MATCH($D$9,'Tipos BdE'!$B$6:$M$6,0)),0))</f>
      </c>
      <c r="M205" s="13" t="str">
        <f t="shared" si="27"/>
      </c>
      <c r="N205" s="13" t="str">
        <f t="shared" si="28"/>
      </c>
      <c r="O205" s="14" t="str">
        <f t="shared" si="29"/>
      </c>
      <c r="P205" s="14" t="str">
        <f>IF(H205="","",$D$5+SUM($O$5:O205))</f>
      </c>
    </row>
    <row r="206" spans="7:16" x14ac:dyDescent="0.35">
      <c r="G206" s="11" t="str">
        <f t="shared" si="24"/>
      </c>
      <c r="H206" s="12" t="str">
        <f t="shared" si="30"/>
      </c>
      <c r="I206" s="12" t="str">
        <f t="shared" si="25"/>
      </c>
      <c r="J206" s="11" t="str">
        <f t="shared" si="26"/>
      </c>
      <c r="K206" s="12" t="str">
        <f t="shared" si="31"/>
      </c>
      <c r="L206" s="13" t="str">
        <f>IF(H206="","",IFERROR(INDEX('Tipos BdE'!$B$7:$M$336,MATCH(DATE(YEAR(K206),MONTH(K206),1),'Tipos BdE'!$A$7:$A$336,1),MATCH($D$9,'Tipos BdE'!$B$6:$M$6,0)),0))</f>
      </c>
      <c r="M206" s="13" t="str">
        <f t="shared" si="27"/>
      </c>
      <c r="N206" s="13" t="str">
        <f t="shared" si="28"/>
      </c>
      <c r="O206" s="14" t="str">
        <f t="shared" si="29"/>
      </c>
      <c r="P206" s="14" t="str">
        <f>IF(H206="","",$D$5+SUM($O$5:O206))</f>
      </c>
    </row>
    <row r="207" spans="7:16" x14ac:dyDescent="0.35">
      <c r="G207" s="11" t="str">
        <f t="shared" si="24"/>
      </c>
      <c r="H207" s="12" t="str">
        <f t="shared" si="30"/>
      </c>
      <c r="I207" s="12" t="str">
        <f t="shared" si="25"/>
      </c>
      <c r="J207" s="11" t="str">
        <f t="shared" si="26"/>
      </c>
      <c r="K207" s="12" t="str">
        <f t="shared" si="31"/>
      </c>
      <c r="L207" s="13" t="str">
        <f>IF(H207="","",IFERROR(INDEX('Tipos BdE'!$B$7:$M$336,MATCH(DATE(YEAR(K207),MONTH(K207),1),'Tipos BdE'!$A$7:$A$336,1),MATCH($D$9,'Tipos BdE'!$B$6:$M$6,0)),0))</f>
      </c>
      <c r="M207" s="13" t="str">
        <f t="shared" si="27"/>
      </c>
      <c r="N207" s="13" t="str">
        <f t="shared" si="28"/>
      </c>
      <c r="O207" s="14" t="str">
        <f t="shared" si="29"/>
      </c>
      <c r="P207" s="14" t="str">
        <f>IF(H207="","",$D$5+SUM($O$5:O207))</f>
      </c>
    </row>
    <row r="208" spans="7:16" x14ac:dyDescent="0.35">
      <c r="G208" s="11" t="str">
        <f t="shared" si="24"/>
      </c>
      <c r="H208" s="12" t="str">
        <f t="shared" si="30"/>
      </c>
      <c r="I208" s="12" t="str">
        <f t="shared" si="25"/>
      </c>
      <c r="J208" s="11" t="str">
        <f t="shared" si="26"/>
      </c>
      <c r="K208" s="12" t="str">
        <f t="shared" si="31"/>
      </c>
      <c r="L208" s="13" t="str">
        <f>IF(H208="","",IFERROR(INDEX('Tipos BdE'!$B$7:$M$336,MATCH(DATE(YEAR(K208),MONTH(K208),1),'Tipos BdE'!$A$7:$A$336,1),MATCH($D$9,'Tipos BdE'!$B$6:$M$6,0)),0))</f>
      </c>
      <c r="M208" s="13" t="str">
        <f t="shared" si="27"/>
      </c>
      <c r="N208" s="13" t="str">
        <f t="shared" si="28"/>
      </c>
      <c r="O208" s="14" t="str">
        <f t="shared" si="29"/>
      </c>
      <c r="P208" s="14" t="str">
        <f>IF(H208="","",$D$5+SUM($O$5:O208))</f>
      </c>
    </row>
    <row r="209" spans="7:16" x14ac:dyDescent="0.35">
      <c r="G209" s="11" t="str">
        <f t="shared" si="24"/>
      </c>
      <c r="H209" s="12" t="str">
        <f t="shared" si="30"/>
      </c>
      <c r="I209" s="12" t="str">
        <f t="shared" si="25"/>
      </c>
      <c r="J209" s="11" t="str">
        <f t="shared" si="26"/>
      </c>
      <c r="K209" s="12" t="str">
        <f t="shared" si="31"/>
      </c>
      <c r="L209" s="13" t="str">
        <f>IF(H209="","",IFERROR(INDEX('Tipos BdE'!$B$7:$M$336,MATCH(DATE(YEAR(K209),MONTH(K209),1),'Tipos BdE'!$A$7:$A$336,1),MATCH($D$9,'Tipos BdE'!$B$6:$M$6,0)),0))</f>
      </c>
      <c r="M209" s="13" t="str">
        <f t="shared" si="27"/>
      </c>
      <c r="N209" s="13" t="str">
        <f t="shared" si="28"/>
      </c>
      <c r="O209" s="14" t="str">
        <f t="shared" si="29"/>
      </c>
      <c r="P209" s="14" t="str">
        <f>IF(H209="","",$D$5+SUM($O$5:O209))</f>
      </c>
    </row>
    <row r="210" spans="7:16" x14ac:dyDescent="0.35">
      <c r="G210" s="11" t="str">
        <f t="shared" si="24"/>
      </c>
      <c r="H210" s="12" t="str">
        <f t="shared" si="30"/>
      </c>
      <c r="I210" s="12" t="str">
        <f t="shared" si="25"/>
      </c>
      <c r="J210" s="11" t="str">
        <f t="shared" si="26"/>
      </c>
      <c r="K210" s="12" t="str">
        <f t="shared" si="31"/>
      </c>
      <c r="L210" s="13" t="str">
        <f>IF(H210="","",IFERROR(INDEX('Tipos BdE'!$B$7:$M$336,MATCH(DATE(YEAR(K210),MONTH(K210),1),'Tipos BdE'!$A$7:$A$336,1),MATCH($D$9,'Tipos BdE'!$B$6:$M$6,0)),0))</f>
      </c>
      <c r="M210" s="13" t="str">
        <f t="shared" si="27"/>
      </c>
      <c r="N210" s="13" t="str">
        <f t="shared" si="28"/>
      </c>
      <c r="O210" s="14" t="str">
        <f t="shared" si="29"/>
      </c>
      <c r="P210" s="14" t="str">
        <f>IF(H210="","",$D$5+SUM($O$5:O210))</f>
      </c>
    </row>
    <row r="211" spans="7:16" x14ac:dyDescent="0.35">
      <c r="G211" s="11" t="str">
        <f t="shared" si="24"/>
      </c>
      <c r="H211" s="12" t="str">
        <f t="shared" si="30"/>
      </c>
      <c r="I211" s="12" t="str">
        <f t="shared" si="25"/>
      </c>
      <c r="J211" s="11" t="str">
        <f t="shared" si="26"/>
      </c>
      <c r="K211" s="12" t="str">
        <f t="shared" si="31"/>
      </c>
      <c r="L211" s="13" t="str">
        <f>IF(H211="","",IFERROR(INDEX('Tipos BdE'!$B$7:$M$336,MATCH(DATE(YEAR(K211),MONTH(K211),1),'Tipos BdE'!$A$7:$A$336,1),MATCH($D$9,'Tipos BdE'!$B$6:$M$6,0)),0))</f>
      </c>
      <c r="M211" s="13" t="str">
        <f t="shared" si="27"/>
      </c>
      <c r="N211" s="13" t="str">
        <f t="shared" si="28"/>
      </c>
      <c r="O211" s="14" t="str">
        <f t="shared" si="29"/>
      </c>
      <c r="P211" s="14" t="str">
        <f>IF(H211="","",$D$5+SUM($O$5:O211))</f>
      </c>
    </row>
    <row r="212" spans="7:16" x14ac:dyDescent="0.35">
      <c r="G212" s="11" t="str">
        <f t="shared" si="24"/>
      </c>
      <c r="H212" s="12" t="str">
        <f t="shared" si="30"/>
      </c>
      <c r="I212" s="12" t="str">
        <f t="shared" si="25"/>
      </c>
      <c r="J212" s="11" t="str">
        <f t="shared" si="26"/>
      </c>
      <c r="K212" s="12" t="str">
        <f t="shared" si="31"/>
      </c>
      <c r="L212" s="13" t="str">
        <f>IF(H212="","",IFERROR(INDEX('Tipos BdE'!$B$7:$M$336,MATCH(DATE(YEAR(K212),MONTH(K212),1),'Tipos BdE'!$A$7:$A$336,1),MATCH($D$9,'Tipos BdE'!$B$6:$M$6,0)),0))</f>
      </c>
      <c r="M212" s="13" t="str">
        <f t="shared" si="27"/>
      </c>
      <c r="N212" s="13" t="str">
        <f t="shared" si="28"/>
      </c>
      <c r="O212" s="14" t="str">
        <f t="shared" si="29"/>
      </c>
      <c r="P212" s="14" t="str">
        <f>IF(H212="","",$D$5+SUM($O$5:O212))</f>
      </c>
    </row>
    <row r="213" spans="7:16" x14ac:dyDescent="0.35">
      <c r="G213" s="11" t="str">
        <f t="shared" si="24"/>
      </c>
      <c r="H213" s="12" t="str">
        <f t="shared" si="30"/>
      </c>
      <c r="I213" s="12" t="str">
        <f t="shared" si="25"/>
      </c>
      <c r="J213" s="11" t="str">
        <f t="shared" si="26"/>
      </c>
      <c r="K213" s="12" t="str">
        <f t="shared" si="31"/>
      </c>
      <c r="L213" s="13" t="str">
        <f>IF(H213="","",IFERROR(INDEX('Tipos BdE'!$B$7:$M$336,MATCH(DATE(YEAR(K213),MONTH(K213),1),'Tipos BdE'!$A$7:$A$336,1),MATCH($D$9,'Tipos BdE'!$B$6:$M$6,0)),0))</f>
      </c>
      <c r="M213" s="13" t="str">
        <f t="shared" si="27"/>
      </c>
      <c r="N213" s="13" t="str">
        <f t="shared" si="28"/>
      </c>
      <c r="O213" s="14" t="str">
        <f t="shared" si="29"/>
      </c>
      <c r="P213" s="14" t="str">
        <f>IF(H213="","",$D$5+SUM($O$5:O213))</f>
      </c>
    </row>
    <row r="214" spans="7:16" x14ac:dyDescent="0.35">
      <c r="G214" s="11" t="str">
        <f t="shared" si="24"/>
      </c>
      <c r="H214" s="12" t="str">
        <f t="shared" si="30"/>
      </c>
      <c r="I214" s="12" t="str">
        <f t="shared" si="25"/>
      </c>
      <c r="J214" s="11" t="str">
        <f t="shared" si="26"/>
      </c>
      <c r="K214" s="12" t="str">
        <f t="shared" si="31"/>
      </c>
      <c r="L214" s="13" t="str">
        <f>IF(H214="","",IFERROR(INDEX('Tipos BdE'!$B$7:$M$336,MATCH(DATE(YEAR(K214),MONTH(K214),1),'Tipos BdE'!$A$7:$A$336,1),MATCH($D$9,'Tipos BdE'!$B$6:$M$6,0)),0))</f>
      </c>
      <c r="M214" s="13" t="str">
        <f t="shared" si="27"/>
      </c>
      <c r="N214" s="13" t="str">
        <f t="shared" si="28"/>
      </c>
      <c r="O214" s="14" t="str">
        <f t="shared" si="29"/>
      </c>
      <c r="P214" s="14" t="str">
        <f>IF(H214="","",$D$5+SUM($O$5:O214))</f>
      </c>
    </row>
    <row r="215" spans="7:16" x14ac:dyDescent="0.35">
      <c r="G215" s="11" t="str">
        <f t="shared" si="24"/>
      </c>
      <c r="H215" s="12" t="str">
        <f t="shared" si="30"/>
      </c>
      <c r="I215" s="12" t="str">
        <f t="shared" si="25"/>
      </c>
      <c r="J215" s="11" t="str">
        <f t="shared" si="26"/>
      </c>
      <c r="K215" s="12" t="str">
        <f t="shared" si="31"/>
      </c>
      <c r="L215" s="13" t="str">
        <f>IF(H215="","",IFERROR(INDEX('Tipos BdE'!$B$7:$M$336,MATCH(DATE(YEAR(K215),MONTH(K215),1),'Tipos BdE'!$A$7:$A$336,1),MATCH($D$9,'Tipos BdE'!$B$6:$M$6,0)),0))</f>
      </c>
      <c r="M215" s="13" t="str">
        <f t="shared" si="27"/>
      </c>
      <c r="N215" s="13" t="str">
        <f t="shared" si="28"/>
      </c>
      <c r="O215" s="14" t="str">
        <f t="shared" si="29"/>
      </c>
      <c r="P215" s="14" t="str">
        <f>IF(H215="","",$D$5+SUM($O$5:O215))</f>
      </c>
    </row>
    <row r="216" spans="7:16" x14ac:dyDescent="0.35">
      <c r="G216" s="11" t="str">
        <f t="shared" si="24"/>
      </c>
      <c r="H216" s="12" t="str">
        <f t="shared" si="30"/>
      </c>
      <c r="I216" s="12" t="str">
        <f t="shared" si="25"/>
      </c>
      <c r="J216" s="11" t="str">
        <f t="shared" si="26"/>
      </c>
      <c r="K216" s="12" t="str">
        <f t="shared" si="31"/>
      </c>
      <c r="L216" s="13" t="str">
        <f>IF(H216="","",IFERROR(INDEX('Tipos BdE'!$B$7:$M$336,MATCH(DATE(YEAR(K216),MONTH(K216),1),'Tipos BdE'!$A$7:$A$336,1),MATCH($D$9,'Tipos BdE'!$B$6:$M$6,0)),0))</f>
      </c>
      <c r="M216" s="13" t="str">
        <f t="shared" si="27"/>
      </c>
      <c r="N216" s="13" t="str">
        <f t="shared" si="28"/>
      </c>
      <c r="O216" s="14" t="str">
        <f t="shared" si="29"/>
      </c>
      <c r="P216" s="14" t="str">
        <f>IF(H216="","",$D$5+SUM($O$5:O216))</f>
      </c>
    </row>
    <row r="217" spans="7:16" x14ac:dyDescent="0.35">
      <c r="G217" s="11" t="str">
        <f t="shared" si="24"/>
      </c>
      <c r="H217" s="12" t="str">
        <f t="shared" si="30"/>
      </c>
      <c r="I217" s="12" t="str">
        <f t="shared" si="25"/>
      </c>
      <c r="J217" s="11" t="str">
        <f t="shared" si="26"/>
      </c>
      <c r="K217" s="12" t="str">
        <f t="shared" si="31"/>
      </c>
      <c r="L217" s="13" t="str">
        <f>IF(H217="","",IFERROR(INDEX('Tipos BdE'!$B$7:$M$336,MATCH(DATE(YEAR(K217),MONTH(K217),1),'Tipos BdE'!$A$7:$A$336,1),MATCH($D$9,'Tipos BdE'!$B$6:$M$6,0)),0))</f>
      </c>
      <c r="M217" s="13" t="str">
        <f t="shared" si="27"/>
      </c>
      <c r="N217" s="13" t="str">
        <f t="shared" si="28"/>
      </c>
      <c r="O217" s="14" t="str">
        <f t="shared" si="29"/>
      </c>
      <c r="P217" s="14" t="str">
        <f>IF(H217="","",$D$5+SUM($O$5:O217))</f>
      </c>
    </row>
    <row r="218" spans="7:16" x14ac:dyDescent="0.35">
      <c r="G218" s="11" t="str">
        <f t="shared" si="24"/>
      </c>
      <c r="H218" s="12" t="str">
        <f t="shared" si="30"/>
      </c>
      <c r="I218" s="12" t="str">
        <f t="shared" si="25"/>
      </c>
      <c r="J218" s="11" t="str">
        <f t="shared" si="26"/>
      </c>
      <c r="K218" s="12" t="str">
        <f t="shared" si="31"/>
      </c>
      <c r="L218" s="13" t="str">
        <f>IF(H218="","",IFERROR(INDEX('Tipos BdE'!$B$7:$M$336,MATCH(DATE(YEAR(K218),MONTH(K218),1),'Tipos BdE'!$A$7:$A$336,1),MATCH($D$9,'Tipos BdE'!$B$6:$M$6,0)),0))</f>
      </c>
      <c r="M218" s="13" t="str">
        <f t="shared" si="27"/>
      </c>
      <c r="N218" s="13" t="str">
        <f t="shared" si="28"/>
      </c>
      <c r="O218" s="14" t="str">
        <f t="shared" si="29"/>
      </c>
      <c r="P218" s="14" t="str">
        <f>IF(H218="","",$D$5+SUM($O$5:O218))</f>
      </c>
    </row>
    <row r="219" spans="7:16" x14ac:dyDescent="0.35">
      <c r="G219" s="11" t="str">
        <f t="shared" si="24"/>
      </c>
      <c r="H219" s="12" t="str">
        <f t="shared" si="30"/>
      </c>
      <c r="I219" s="12" t="str">
        <f t="shared" si="25"/>
      </c>
      <c r="J219" s="11" t="str">
        <f t="shared" si="26"/>
      </c>
      <c r="K219" s="12" t="str">
        <f t="shared" si="31"/>
      </c>
      <c r="L219" s="13" t="str">
        <f>IF(H219="","",IFERROR(INDEX('Tipos BdE'!$B$7:$M$336,MATCH(DATE(YEAR(K219),MONTH(K219),1),'Tipos BdE'!$A$7:$A$336,1),MATCH($D$9,'Tipos BdE'!$B$6:$M$6,0)),0))</f>
      </c>
      <c r="M219" s="13" t="str">
        <f t="shared" si="27"/>
      </c>
      <c r="N219" s="13" t="str">
        <f t="shared" si="28"/>
      </c>
      <c r="O219" s="14" t="str">
        <f t="shared" si="29"/>
      </c>
      <c r="P219" s="14" t="str">
        <f>IF(H219="","",$D$5+SUM($O$5:O219))</f>
      </c>
    </row>
    <row r="220" spans="7:16" x14ac:dyDescent="0.35">
      <c r="G220" s="11" t="str">
        <f t="shared" si="24"/>
      </c>
      <c r="H220" s="12" t="str">
        <f t="shared" si="30"/>
      </c>
      <c r="I220" s="12" t="str">
        <f t="shared" si="25"/>
      </c>
      <c r="J220" s="11" t="str">
        <f t="shared" si="26"/>
      </c>
      <c r="K220" s="12" t="str">
        <f t="shared" si="31"/>
      </c>
      <c r="L220" s="13" t="str">
        <f>IF(H220="","",IFERROR(INDEX('Tipos BdE'!$B$7:$M$336,MATCH(DATE(YEAR(K220),MONTH(K220),1),'Tipos BdE'!$A$7:$A$336,1),MATCH($D$9,'Tipos BdE'!$B$6:$M$6,0)),0))</f>
      </c>
      <c r="M220" s="13" t="str">
        <f t="shared" si="27"/>
      </c>
      <c r="N220" s="13" t="str">
        <f t="shared" si="28"/>
      </c>
      <c r="O220" s="14" t="str">
        <f t="shared" si="29"/>
      </c>
      <c r="P220" s="14" t="str">
        <f>IF(H220="","",$D$5+SUM($O$5:O220))</f>
      </c>
    </row>
    <row r="221" spans="7:16" x14ac:dyDescent="0.35">
      <c r="G221" s="11" t="str">
        <f t="shared" si="24"/>
      </c>
      <c r="H221" s="12" t="str">
        <f t="shared" si="30"/>
      </c>
      <c r="I221" s="12" t="str">
        <f t="shared" si="25"/>
      </c>
      <c r="J221" s="11" t="str">
        <f t="shared" si="26"/>
      </c>
      <c r="K221" s="12" t="str">
        <f t="shared" si="31"/>
      </c>
      <c r="L221" s="13" t="str">
        <f>IF(H221="","",IFERROR(INDEX('Tipos BdE'!$B$7:$M$336,MATCH(DATE(YEAR(K221),MONTH(K221),1),'Tipos BdE'!$A$7:$A$336,1),MATCH($D$9,'Tipos BdE'!$B$6:$M$6,0)),0))</f>
      </c>
      <c r="M221" s="13" t="str">
        <f t="shared" si="27"/>
      </c>
      <c r="N221" s="13" t="str">
        <f t="shared" si="28"/>
      </c>
      <c r="O221" s="14" t="str">
        <f t="shared" si="29"/>
      </c>
      <c r="P221" s="14" t="str">
        <f>IF(H221="","",$D$5+SUM($O$5:O221))</f>
      </c>
    </row>
    <row r="222" spans="7:16" x14ac:dyDescent="0.35">
      <c r="G222" s="11" t="str">
        <f t="shared" si="24"/>
      </c>
      <c r="H222" s="12" t="str">
        <f t="shared" si="30"/>
      </c>
      <c r="I222" s="12" t="str">
        <f t="shared" si="25"/>
      </c>
      <c r="J222" s="11" t="str">
        <f t="shared" si="26"/>
      </c>
      <c r="K222" s="12" t="str">
        <f t="shared" si="31"/>
      </c>
      <c r="L222" s="13" t="str">
        <f>IF(H222="","",IFERROR(INDEX('Tipos BdE'!$B$7:$M$336,MATCH(DATE(YEAR(K222),MONTH(K222),1),'Tipos BdE'!$A$7:$A$336,1),MATCH($D$9,'Tipos BdE'!$B$6:$M$6,0)),0))</f>
      </c>
      <c r="M222" s="13" t="str">
        <f t="shared" si="27"/>
      </c>
      <c r="N222" s="13" t="str">
        <f t="shared" si="28"/>
      </c>
      <c r="O222" s="14" t="str">
        <f t="shared" si="29"/>
      </c>
      <c r="P222" s="14" t="str">
        <f>IF(H222="","",$D$5+SUM($O$5:O222))</f>
      </c>
    </row>
    <row r="223" spans="7:16" x14ac:dyDescent="0.35">
      <c r="G223" s="11" t="str">
        <f t="shared" si="24"/>
      </c>
      <c r="H223" s="12" t="str">
        <f t="shared" si="30"/>
      </c>
      <c r="I223" s="12" t="str">
        <f t="shared" si="25"/>
      </c>
      <c r="J223" s="11" t="str">
        <f t="shared" si="26"/>
      </c>
      <c r="K223" s="12" t="str">
        <f t="shared" si="31"/>
      </c>
      <c r="L223" s="13" t="str">
        <f>IF(H223="","",IFERROR(INDEX('Tipos BdE'!$B$7:$M$336,MATCH(DATE(YEAR(K223),MONTH(K223),1),'Tipos BdE'!$A$7:$A$336,1),MATCH($D$9,'Tipos BdE'!$B$6:$M$6,0)),0))</f>
      </c>
      <c r="M223" s="13" t="str">
        <f t="shared" si="27"/>
      </c>
      <c r="N223" s="13" t="str">
        <f t="shared" si="28"/>
      </c>
      <c r="O223" s="14" t="str">
        <f t="shared" si="29"/>
      </c>
      <c r="P223" s="14" t="str">
        <f>IF(H223="","",$D$5+SUM($O$5:O223))</f>
      </c>
    </row>
    <row r="224" spans="7:16" x14ac:dyDescent="0.35">
      <c r="G224" s="11" t="str">
        <f t="shared" si="24"/>
      </c>
      <c r="H224" s="12" t="str">
        <f t="shared" si="30"/>
      </c>
      <c r="I224" s="12" t="str">
        <f t="shared" si="25"/>
      </c>
      <c r="J224" s="11" t="str">
        <f t="shared" si="26"/>
      </c>
      <c r="K224" s="12" t="str">
        <f t="shared" si="31"/>
      </c>
      <c r="L224" s="13" t="str">
        <f>IF(H224="","",IFERROR(INDEX('Tipos BdE'!$B$7:$M$336,MATCH(DATE(YEAR(K224),MONTH(K224),1),'Tipos BdE'!$A$7:$A$336,1),MATCH($D$9,'Tipos BdE'!$B$6:$M$6,0)),0))</f>
      </c>
      <c r="M224" s="13" t="str">
        <f t="shared" si="27"/>
      </c>
      <c r="N224" s="13" t="str">
        <f t="shared" si="28"/>
      </c>
      <c r="O224" s="14" t="str">
        <f t="shared" si="29"/>
      </c>
      <c r="P224" s="14" t="str">
        <f>IF(H224="","",$D$5+SUM($O$5:O224))</f>
      </c>
    </row>
    <row r="225" spans="7:16" x14ac:dyDescent="0.35">
      <c r="G225" s="11" t="str">
        <f t="shared" si="24"/>
      </c>
      <c r="H225" s="12" t="str">
        <f t="shared" si="30"/>
      </c>
      <c r="I225" s="12" t="str">
        <f t="shared" si="25"/>
      </c>
      <c r="J225" s="11" t="str">
        <f t="shared" si="26"/>
      </c>
      <c r="K225" s="12" t="str">
        <f t="shared" si="31"/>
      </c>
      <c r="L225" s="13" t="str">
        <f>IF(H225="","",IFERROR(INDEX('Tipos BdE'!$B$7:$M$336,MATCH(DATE(YEAR(K225),MONTH(K225),1),'Tipos BdE'!$A$7:$A$336,1),MATCH($D$9,'Tipos BdE'!$B$6:$M$6,0)),0))</f>
      </c>
      <c r="M225" s="13" t="str">
        <f t="shared" si="27"/>
      </c>
      <c r="N225" s="13" t="str">
        <f t="shared" si="28"/>
      </c>
      <c r="O225" s="14" t="str">
        <f t="shared" si="29"/>
      </c>
      <c r="P225" s="14" t="str">
        <f>IF(H225="","",$D$5+SUM($O$5:O225))</f>
      </c>
    </row>
    <row r="226" spans="7:16" x14ac:dyDescent="0.35">
      <c r="G226" s="11" t="str">
        <f t="shared" si="24"/>
      </c>
      <c r="H226" s="12" t="str">
        <f t="shared" si="30"/>
      </c>
      <c r="I226" s="12" t="str">
        <f t="shared" si="25"/>
      </c>
      <c r="J226" s="11" t="str">
        <f t="shared" si="26"/>
      </c>
      <c r="K226" s="12" t="str">
        <f t="shared" si="31"/>
      </c>
      <c r="L226" s="13" t="str">
        <f>IF(H226="","",IFERROR(INDEX('Tipos BdE'!$B$7:$M$336,MATCH(DATE(YEAR(K226),MONTH(K226),1),'Tipos BdE'!$A$7:$A$336,1),MATCH($D$9,'Tipos BdE'!$B$6:$M$6,0)),0))</f>
      </c>
      <c r="M226" s="13" t="str">
        <f t="shared" si="27"/>
      </c>
      <c r="N226" s="13" t="str">
        <f t="shared" si="28"/>
      </c>
      <c r="O226" s="14" t="str">
        <f t="shared" si="29"/>
      </c>
      <c r="P226" s="14" t="str">
        <f>IF(H226="","",$D$5+SUM($O$5:O226))</f>
      </c>
    </row>
    <row r="227" spans="7:16" x14ac:dyDescent="0.35">
      <c r="G227" s="11" t="str">
        <f t="shared" si="24"/>
      </c>
      <c r="H227" s="12" t="str">
        <f t="shared" si="30"/>
      </c>
      <c r="I227" s="12" t="str">
        <f t="shared" si="25"/>
      </c>
      <c r="J227" s="11" t="str">
        <f t="shared" si="26"/>
      </c>
      <c r="K227" s="12" t="str">
        <f t="shared" si="31"/>
      </c>
      <c r="L227" s="13" t="str">
        <f>IF(H227="","",IFERROR(INDEX('Tipos BdE'!$B$7:$M$336,MATCH(DATE(YEAR(K227),MONTH(K227),1),'Tipos BdE'!$A$7:$A$336,1),MATCH($D$9,'Tipos BdE'!$B$6:$M$6,0)),0))</f>
      </c>
      <c r="M227" s="13" t="str">
        <f t="shared" si="27"/>
      </c>
      <c r="N227" s="13" t="str">
        <f t="shared" si="28"/>
      </c>
      <c r="O227" s="14" t="str">
        <f t="shared" si="29"/>
      </c>
      <c r="P227" s="14" t="str">
        <f>IF(H227="","",$D$5+SUM($O$5:O227))</f>
      </c>
    </row>
    <row r="228" spans="7:16" x14ac:dyDescent="0.35">
      <c r="G228" s="11" t="str">
        <f t="shared" si="24"/>
      </c>
      <c r="H228" s="12" t="str">
        <f t="shared" si="30"/>
      </c>
      <c r="I228" s="12" t="str">
        <f t="shared" si="25"/>
      </c>
      <c r="J228" s="11" t="str">
        <f t="shared" si="26"/>
      </c>
      <c r="K228" s="12" t="str">
        <f t="shared" si="31"/>
      </c>
      <c r="L228" s="13" t="str">
        <f>IF(H228="","",IFERROR(INDEX('Tipos BdE'!$B$7:$M$336,MATCH(DATE(YEAR(K228),MONTH(K228),1),'Tipos BdE'!$A$7:$A$336,1),MATCH($D$9,'Tipos BdE'!$B$6:$M$6,0)),0))</f>
      </c>
      <c r="M228" s="13" t="str">
        <f t="shared" si="27"/>
      </c>
      <c r="N228" s="13" t="str">
        <f t="shared" si="28"/>
      </c>
      <c r="O228" s="14" t="str">
        <f t="shared" si="29"/>
      </c>
      <c r="P228" s="14" t="str">
        <f>IF(H228="","",$D$5+SUM($O$5:O228))</f>
      </c>
    </row>
    <row r="229" spans="7:16" x14ac:dyDescent="0.35">
      <c r="G229" s="11" t="str">
        <f t="shared" si="24"/>
      </c>
      <c r="H229" s="12" t="str">
        <f t="shared" si="30"/>
      </c>
      <c r="I229" s="12" t="str">
        <f t="shared" si="25"/>
      </c>
      <c r="J229" s="11" t="str">
        <f t="shared" si="26"/>
      </c>
      <c r="K229" s="12" t="str">
        <f t="shared" si="31"/>
      </c>
      <c r="L229" s="13" t="str">
        <f>IF(H229="","",IFERROR(INDEX('Tipos BdE'!$B$7:$M$336,MATCH(DATE(YEAR(K229),MONTH(K229),1),'Tipos BdE'!$A$7:$A$336,1),MATCH($D$9,'Tipos BdE'!$B$6:$M$6,0)),0))</f>
      </c>
      <c r="M229" s="13" t="str">
        <f t="shared" si="27"/>
      </c>
      <c r="N229" s="13" t="str">
        <f t="shared" si="28"/>
      </c>
      <c r="O229" s="14" t="str">
        <f t="shared" si="29"/>
      </c>
      <c r="P229" s="14" t="str">
        <f>IF(H229="","",$D$5+SUM($O$5:O229))</f>
      </c>
    </row>
    <row r="230" spans="7:16" x14ac:dyDescent="0.35">
      <c r="G230" s="11" t="str">
        <f t="shared" si="24"/>
      </c>
      <c r="H230" s="12" t="str">
        <f t="shared" si="30"/>
      </c>
      <c r="I230" s="12" t="str">
        <f t="shared" si="25"/>
      </c>
      <c r="J230" s="11" t="str">
        <f t="shared" si="26"/>
      </c>
      <c r="K230" s="12" t="str">
        <f t="shared" si="31"/>
      </c>
      <c r="L230" s="13" t="str">
        <f>IF(H230="","",IFERROR(INDEX('Tipos BdE'!$B$7:$M$336,MATCH(DATE(YEAR(K230),MONTH(K230),1),'Tipos BdE'!$A$7:$A$336,1),MATCH($D$9,'Tipos BdE'!$B$6:$M$6,0)),0))</f>
      </c>
      <c r="M230" s="13" t="str">
        <f t="shared" si="27"/>
      </c>
      <c r="N230" s="13" t="str">
        <f t="shared" si="28"/>
      </c>
      <c r="O230" s="14" t="str">
        <f t="shared" si="29"/>
      </c>
      <c r="P230" s="14" t="str">
        <f>IF(H230="","",$D$5+SUM($O$5:O230))</f>
      </c>
    </row>
    <row r="231" spans="7:16" x14ac:dyDescent="0.35">
      <c r="G231" s="11" t="str">
        <f t="shared" si="24"/>
      </c>
      <c r="H231" s="12" t="str">
        <f t="shared" si="30"/>
      </c>
      <c r="I231" s="12" t="str">
        <f t="shared" si="25"/>
      </c>
      <c r="J231" s="11" t="str">
        <f t="shared" si="26"/>
      </c>
      <c r="K231" s="12" t="str">
        <f t="shared" si="31"/>
      </c>
      <c r="L231" s="13" t="str">
        <f>IF(H231="","",IFERROR(INDEX('Tipos BdE'!$B$7:$M$336,MATCH(DATE(YEAR(K231),MONTH(K231),1),'Tipos BdE'!$A$7:$A$336,1),MATCH($D$9,'Tipos BdE'!$B$6:$M$6,0)),0))</f>
      </c>
      <c r="M231" s="13" t="str">
        <f t="shared" si="27"/>
      </c>
      <c r="N231" s="13" t="str">
        <f t="shared" si="28"/>
      </c>
      <c r="O231" s="14" t="str">
        <f t="shared" si="29"/>
      </c>
      <c r="P231" s="14" t="str">
        <f>IF(H231="","",$D$5+SUM($O$5:O231))</f>
      </c>
    </row>
    <row r="232" spans="7:16" x14ac:dyDescent="0.35">
      <c r="G232" s="11" t="str">
        <f t="shared" si="24"/>
      </c>
      <c r="H232" s="12" t="str">
        <f t="shared" si="30"/>
      </c>
      <c r="I232" s="12" t="str">
        <f t="shared" si="25"/>
      </c>
      <c r="J232" s="11" t="str">
        <f t="shared" si="26"/>
      </c>
      <c r="K232" s="12" t="str">
        <f t="shared" si="31"/>
      </c>
      <c r="L232" s="13" t="str">
        <f>IF(H232="","",IFERROR(INDEX('Tipos BdE'!$B$7:$M$336,MATCH(DATE(YEAR(K232),MONTH(K232),1),'Tipos BdE'!$A$7:$A$336,1),MATCH($D$9,'Tipos BdE'!$B$6:$M$6,0)),0))</f>
      </c>
      <c r="M232" s="13" t="str">
        <f t="shared" si="27"/>
      </c>
      <c r="N232" s="13" t="str">
        <f t="shared" si="28"/>
      </c>
      <c r="O232" s="14" t="str">
        <f t="shared" si="29"/>
      </c>
      <c r="P232" s="14" t="str">
        <f>IF(H232="","",$D$5+SUM($O$5:O232))</f>
      </c>
    </row>
    <row r="233" spans="7:16" x14ac:dyDescent="0.35">
      <c r="G233" s="11" t="str">
        <f t="shared" si="24"/>
      </c>
      <c r="H233" s="12" t="str">
        <f t="shared" si="30"/>
      </c>
      <c r="I233" s="12" t="str">
        <f t="shared" si="25"/>
      </c>
      <c r="J233" s="11" t="str">
        <f t="shared" si="26"/>
      </c>
      <c r="K233" s="12" t="str">
        <f t="shared" si="31"/>
      </c>
      <c r="L233" s="13" t="str">
        <f>IF(H233="","",IFERROR(INDEX('Tipos BdE'!$B$7:$M$336,MATCH(DATE(YEAR(K233),MONTH(K233),1),'Tipos BdE'!$A$7:$A$336,1),MATCH($D$9,'Tipos BdE'!$B$6:$M$6,0)),0))</f>
      </c>
      <c r="M233" s="13" t="str">
        <f t="shared" si="27"/>
      </c>
      <c r="N233" s="13" t="str">
        <f t="shared" si="28"/>
      </c>
      <c r="O233" s="14" t="str">
        <f t="shared" si="29"/>
      </c>
      <c r="P233" s="14" t="str">
        <f>IF(H233="","",$D$5+SUM($O$5:O233))</f>
      </c>
    </row>
    <row r="234" spans="7:16" x14ac:dyDescent="0.35">
      <c r="G234" s="11" t="str">
        <f t="shared" si="24"/>
      </c>
      <c r="H234" s="12" t="str">
        <f t="shared" si="30"/>
      </c>
      <c r="I234" s="12" t="str">
        <f t="shared" si="25"/>
      </c>
      <c r="J234" s="11" t="str">
        <f t="shared" si="26"/>
      </c>
      <c r="K234" s="12" t="str">
        <f t="shared" si="31"/>
      </c>
      <c r="L234" s="13" t="str">
        <f>IF(H234="","",IFERROR(INDEX('Tipos BdE'!$B$7:$M$336,MATCH(DATE(YEAR(K234),MONTH(K234),1),'Tipos BdE'!$A$7:$A$336,1),MATCH($D$9,'Tipos BdE'!$B$6:$M$6,0)),0))</f>
      </c>
      <c r="M234" s="13" t="str">
        <f t="shared" si="27"/>
      </c>
      <c r="N234" s="13" t="str">
        <f t="shared" si="28"/>
      </c>
      <c r="O234" s="14" t="str">
        <f t="shared" si="29"/>
      </c>
      <c r="P234" s="14" t="str">
        <f>IF(H234="","",$D$5+SUM($O$5:O234))</f>
      </c>
    </row>
    <row r="235" spans="7:16" x14ac:dyDescent="0.35">
      <c r="G235" s="11" t="str">
        <f t="shared" si="24"/>
      </c>
      <c r="H235" s="12" t="str">
        <f t="shared" si="30"/>
      </c>
      <c r="I235" s="12" t="str">
        <f t="shared" si="25"/>
      </c>
      <c r="J235" s="11" t="str">
        <f t="shared" si="26"/>
      </c>
      <c r="K235" s="12" t="str">
        <f t="shared" si="31"/>
      </c>
      <c r="L235" s="13" t="str">
        <f>IF(H235="","",IFERROR(INDEX('Tipos BdE'!$B$7:$M$336,MATCH(DATE(YEAR(K235),MONTH(K235),1),'Tipos BdE'!$A$7:$A$336,1),MATCH($D$9,'Tipos BdE'!$B$6:$M$6,0)),0))</f>
      </c>
      <c r="M235" s="13" t="str">
        <f t="shared" si="27"/>
      </c>
      <c r="N235" s="13" t="str">
        <f t="shared" si="28"/>
      </c>
      <c r="O235" s="14" t="str">
        <f t="shared" si="29"/>
      </c>
      <c r="P235" s="14" t="str">
        <f>IF(H235="","",$D$5+SUM($O$5:O235))</f>
      </c>
    </row>
    <row r="236" spans="7:16" x14ac:dyDescent="0.35">
      <c r="G236" s="11" t="str">
        <f t="shared" si="24"/>
      </c>
      <c r="H236" s="12" t="str">
        <f t="shared" si="30"/>
      </c>
      <c r="I236" s="12" t="str">
        <f t="shared" si="25"/>
      </c>
      <c r="J236" s="11" t="str">
        <f t="shared" si="26"/>
      </c>
      <c r="K236" s="12" t="str">
        <f t="shared" si="31"/>
      </c>
      <c r="L236" s="13" t="str">
        <f>IF(H236="","",IFERROR(INDEX('Tipos BdE'!$B$7:$M$336,MATCH(DATE(YEAR(K236),MONTH(K236),1),'Tipos BdE'!$A$7:$A$336,1),MATCH($D$9,'Tipos BdE'!$B$6:$M$6,0)),0))</f>
      </c>
      <c r="M236" s="13" t="str">
        <f t="shared" si="27"/>
      </c>
      <c r="N236" s="13" t="str">
        <f t="shared" si="28"/>
      </c>
      <c r="O236" s="14" t="str">
        <f t="shared" si="29"/>
      </c>
      <c r="P236" s="14" t="str">
        <f>IF(H236="","",$D$5+SUM($O$5:O236))</f>
      </c>
    </row>
    <row r="237" spans="7:16" x14ac:dyDescent="0.35">
      <c r="G237" s="11" t="str">
        <f t="shared" si="24"/>
      </c>
      <c r="H237" s="12" t="str">
        <f t="shared" si="30"/>
      </c>
      <c r="I237" s="12" t="str">
        <f t="shared" si="25"/>
      </c>
      <c r="J237" s="11" t="str">
        <f t="shared" si="26"/>
      </c>
      <c r="K237" s="12" t="str">
        <f t="shared" si="31"/>
      </c>
      <c r="L237" s="13" t="str">
        <f>IF(H237="","",IFERROR(INDEX('Tipos BdE'!$B$7:$M$336,MATCH(DATE(YEAR(K237),MONTH(K237),1),'Tipos BdE'!$A$7:$A$336,1),MATCH($D$9,'Tipos BdE'!$B$6:$M$6,0)),0))</f>
      </c>
      <c r="M237" s="13" t="str">
        <f t="shared" si="27"/>
      </c>
      <c r="N237" s="13" t="str">
        <f t="shared" si="28"/>
      </c>
      <c r="O237" s="14" t="str">
        <f t="shared" si="29"/>
      </c>
      <c r="P237" s="14" t="str">
        <f>IF(H237="","",$D$5+SUM($O$5:O237))</f>
      </c>
    </row>
    <row r="238" spans="7:16" x14ac:dyDescent="0.35">
      <c r="G238" s="11" t="str">
        <f t="shared" si="24"/>
      </c>
      <c r="H238" s="12" t="str">
        <f t="shared" si="30"/>
      </c>
      <c r="I238" s="12" t="str">
        <f t="shared" si="25"/>
      </c>
      <c r="J238" s="11" t="str">
        <f t="shared" si="26"/>
      </c>
      <c r="K238" s="12" t="str">
        <f t="shared" si="31"/>
      </c>
      <c r="L238" s="13" t="str">
        <f>IF(H238="","",IFERROR(INDEX('Tipos BdE'!$B$7:$M$336,MATCH(DATE(YEAR(K238),MONTH(K238),1),'Tipos BdE'!$A$7:$A$336,1),MATCH($D$9,'Tipos BdE'!$B$6:$M$6,0)),0))</f>
      </c>
      <c r="M238" s="13" t="str">
        <f t="shared" si="27"/>
      </c>
      <c r="N238" s="13" t="str">
        <f t="shared" si="28"/>
      </c>
      <c r="O238" s="14" t="str">
        <f t="shared" si="29"/>
      </c>
      <c r="P238" s="14" t="str">
        <f>IF(H238="","",$D$5+SUM($O$5:O238))</f>
      </c>
    </row>
    <row r="239" spans="7:16" x14ac:dyDescent="0.35">
      <c r="G239" s="11" t="str">
        <f t="shared" si="24"/>
      </c>
      <c r="H239" s="12" t="str">
        <f t="shared" si="30"/>
      </c>
      <c r="I239" s="12" t="str">
        <f t="shared" si="25"/>
      </c>
      <c r="J239" s="11" t="str">
        <f t="shared" si="26"/>
      </c>
      <c r="K239" s="12" t="str">
        <f t="shared" si="31"/>
      </c>
      <c r="L239" s="13" t="str">
        <f>IF(H239="","",IFERROR(INDEX('Tipos BdE'!$B$7:$M$336,MATCH(DATE(YEAR(K239),MONTH(K239),1),'Tipos BdE'!$A$7:$A$336,1),MATCH($D$9,'Tipos BdE'!$B$6:$M$6,0)),0))</f>
      </c>
      <c r="M239" s="13" t="str">
        <f t="shared" si="27"/>
      </c>
      <c r="N239" s="13" t="str">
        <f t="shared" si="28"/>
      </c>
      <c r="O239" s="14" t="str">
        <f t="shared" si="29"/>
      </c>
      <c r="P239" s="14" t="str">
        <f>IF(H239="","",$D$5+SUM($O$5:O239))</f>
      </c>
    </row>
    <row r="240" spans="7:16" x14ac:dyDescent="0.35">
      <c r="G240" s="11" t="str">
        <f t="shared" si="24"/>
      </c>
      <c r="H240" s="12" t="str">
        <f t="shared" si="30"/>
      </c>
      <c r="I240" s="12" t="str">
        <f t="shared" si="25"/>
      </c>
      <c r="J240" s="11" t="str">
        <f t="shared" si="26"/>
      </c>
      <c r="K240" s="12" t="str">
        <f t="shared" si="31"/>
      </c>
      <c r="L240" s="13" t="str">
        <f>IF(H240="","",IFERROR(INDEX('Tipos BdE'!$B$7:$M$336,MATCH(DATE(YEAR(K240),MONTH(K240),1),'Tipos BdE'!$A$7:$A$336,1),MATCH($D$9,'Tipos BdE'!$B$6:$M$6,0)),0))</f>
      </c>
      <c r="M240" s="13" t="str">
        <f t="shared" si="27"/>
      </c>
      <c r="N240" s="13" t="str">
        <f t="shared" si="28"/>
      </c>
      <c r="O240" s="14" t="str">
        <f t="shared" si="29"/>
      </c>
      <c r="P240" s="14" t="str">
        <f>IF(H240="","",$D$5+SUM($O$5:O240))</f>
      </c>
    </row>
    <row r="241" spans="7:16" x14ac:dyDescent="0.35">
      <c r="G241" s="11" t="str">
        <f t="shared" si="24"/>
      </c>
      <c r="H241" s="12" t="str">
        <f t="shared" si="30"/>
      </c>
      <c r="I241" s="12" t="str">
        <f t="shared" si="25"/>
      </c>
      <c r="J241" s="11" t="str">
        <f t="shared" si="26"/>
      </c>
      <c r="K241" s="12" t="str">
        <f t="shared" si="31"/>
      </c>
      <c r="L241" s="13" t="str">
        <f>IF(H241="","",IFERROR(INDEX('Tipos BdE'!$B$7:$M$336,MATCH(DATE(YEAR(K241),MONTH(K241),1),'Tipos BdE'!$A$7:$A$336,1),MATCH($D$9,'Tipos BdE'!$B$6:$M$6,0)),0))</f>
      </c>
      <c r="M241" s="13" t="str">
        <f t="shared" si="27"/>
      </c>
      <c r="N241" s="13" t="str">
        <f t="shared" si="28"/>
      </c>
      <c r="O241" s="14" t="str">
        <f t="shared" si="29"/>
      </c>
      <c r="P241" s="14" t="str">
        <f>IF(H241="","",$D$5+SUM($O$5:O241))</f>
      </c>
    </row>
    <row r="242" spans="7:16" x14ac:dyDescent="0.35">
      <c r="G242" s="11" t="str">
        <f t="shared" si="24"/>
      </c>
      <c r="H242" s="12" t="str">
        <f t="shared" si="30"/>
      </c>
      <c r="I242" s="12" t="str">
        <f t="shared" si="25"/>
      </c>
      <c r="J242" s="11" t="str">
        <f t="shared" si="26"/>
      </c>
      <c r="K242" s="12" t="str">
        <f t="shared" si="31"/>
      </c>
      <c r="L242" s="13" t="str">
        <f>IF(H242="","",IFERROR(INDEX('Tipos BdE'!$B$7:$M$336,MATCH(DATE(YEAR(K242),MONTH(K242),1),'Tipos BdE'!$A$7:$A$336,1),MATCH($D$9,'Tipos BdE'!$B$6:$M$6,0)),0))</f>
      </c>
      <c r="M242" s="13" t="str">
        <f t="shared" si="27"/>
      </c>
      <c r="N242" s="13" t="str">
        <f t="shared" si="28"/>
      </c>
      <c r="O242" s="14" t="str">
        <f t="shared" si="29"/>
      </c>
      <c r="P242" s="14" t="str">
        <f>IF(H242="","",$D$5+SUM($O$5:O242))</f>
      </c>
    </row>
    <row r="243" spans="7:16" x14ac:dyDescent="0.35">
      <c r="G243" s="11" t="str">
        <f t="shared" si="24"/>
      </c>
      <c r="H243" s="12" t="str">
        <f t="shared" si="30"/>
      </c>
      <c r="I243" s="12" t="str">
        <f t="shared" si="25"/>
      </c>
      <c r="J243" s="11" t="str">
        <f t="shared" si="26"/>
      </c>
      <c r="K243" s="12" t="str">
        <f t="shared" si="31"/>
      </c>
      <c r="L243" s="13" t="str">
        <f>IF(H243="","",IFERROR(INDEX('Tipos BdE'!$B$7:$M$336,MATCH(DATE(YEAR(K243),MONTH(K243),1),'Tipos BdE'!$A$7:$A$336,1),MATCH($D$9,'Tipos BdE'!$B$6:$M$6,0)),0))</f>
      </c>
      <c r="M243" s="13" t="str">
        <f t="shared" si="27"/>
      </c>
      <c r="N243" s="13" t="str">
        <f t="shared" si="28"/>
      </c>
      <c r="O243" s="14" t="str">
        <f t="shared" si="29"/>
      </c>
      <c r="P243" s="14" t="str">
        <f>IF(H243="","",$D$5+SUM($O$5:O243))</f>
      </c>
    </row>
    <row r="244" spans="7:16" x14ac:dyDescent="0.35">
      <c r="G244" s="11" t="str">
        <f t="shared" si="24"/>
      </c>
      <c r="H244" s="12" t="str">
        <f t="shared" si="30"/>
      </c>
      <c r="I244" s="12" t="str">
        <f t="shared" si="25"/>
      </c>
      <c r="J244" s="11" t="str">
        <f t="shared" si="26"/>
      </c>
      <c r="K244" s="12" t="str">
        <f t="shared" si="31"/>
      </c>
      <c r="L244" s="13" t="str">
        <f>IF(H244="","",IFERROR(INDEX('Tipos BdE'!$B$7:$M$336,MATCH(DATE(YEAR(K244),MONTH(K244),1),'Tipos BdE'!$A$7:$A$336,1),MATCH($D$9,'Tipos BdE'!$B$6:$M$6,0)),0))</f>
      </c>
      <c r="M244" s="13" t="str">
        <f t="shared" si="27"/>
      </c>
      <c r="N244" s="13" t="str">
        <f t="shared" si="28"/>
      </c>
      <c r="O244" s="14" t="str">
        <f t="shared" si="29"/>
      </c>
      <c r="P244" s="14" t="str">
        <f>IF(H244="","",$D$5+SUM($O$5:O244))</f>
      </c>
    </row>
    <row r="245" spans="7:16" x14ac:dyDescent="0.35">
      <c r="G245" s="11" t="str">
        <f t="shared" si="24"/>
      </c>
      <c r="H245" s="12" t="str">
        <f t="shared" si="30"/>
      </c>
      <c r="I245" s="12" t="str">
        <f t="shared" si="25"/>
      </c>
      <c r="J245" s="11" t="str">
        <f t="shared" si="26"/>
      </c>
      <c r="K245" s="12" t="str">
        <f t="shared" si="31"/>
      </c>
      <c r="L245" s="13" t="str">
        <f>IF(H245="","",IFERROR(INDEX('Tipos BdE'!$B$7:$M$336,MATCH(DATE(YEAR(K245),MONTH(K245),1),'Tipos BdE'!$A$7:$A$336,1),MATCH($D$9,'Tipos BdE'!$B$6:$M$6,0)),0))</f>
      </c>
      <c r="M245" s="13" t="str">
        <f t="shared" si="27"/>
      </c>
      <c r="N245" s="13" t="str">
        <f t="shared" si="28"/>
      </c>
      <c r="O245" s="14" t="str">
        <f t="shared" si="29"/>
      </c>
      <c r="P245" s="14" t="str">
        <f>IF(H245="","",$D$5+SUM($O$5:O245))</f>
      </c>
    </row>
    <row r="246" spans="7:16" x14ac:dyDescent="0.35">
      <c r="G246" s="11" t="str">
        <f t="shared" si="24"/>
      </c>
      <c r="H246" s="12" t="str">
        <f t="shared" si="30"/>
      </c>
      <c r="I246" s="12" t="str">
        <f t="shared" si="25"/>
      </c>
      <c r="J246" s="11" t="str">
        <f t="shared" si="26"/>
      </c>
      <c r="K246" s="12" t="str">
        <f t="shared" si="31"/>
      </c>
      <c r="L246" s="13" t="str">
        <f>IF(H246="","",IFERROR(INDEX('Tipos BdE'!$B$7:$M$336,MATCH(DATE(YEAR(K246),MONTH(K246),1),'Tipos BdE'!$A$7:$A$336,1),MATCH($D$9,'Tipos BdE'!$B$6:$M$6,0)),0))</f>
      </c>
      <c r="M246" s="13" t="str">
        <f t="shared" si="27"/>
      </c>
      <c r="N246" s="13" t="str">
        <f t="shared" si="28"/>
      </c>
      <c r="O246" s="14" t="str">
        <f t="shared" si="29"/>
      </c>
      <c r="P246" s="14" t="str">
        <f>IF(H246="","",$D$5+SUM($O$5:O246))</f>
      </c>
    </row>
    <row r="247" spans="7:16" x14ac:dyDescent="0.35">
      <c r="G247" s="11" t="str">
        <f t="shared" si="24"/>
      </c>
      <c r="H247" s="12" t="str">
        <f t="shared" si="30"/>
      </c>
      <c r="I247" s="12" t="str">
        <f t="shared" si="25"/>
      </c>
      <c r="J247" s="11" t="str">
        <f t="shared" si="26"/>
      </c>
      <c r="K247" s="12" t="str">
        <f t="shared" si="31"/>
      </c>
      <c r="L247" s="13" t="str">
        <f>IF(H247="","",IFERROR(INDEX('Tipos BdE'!$B$7:$M$336,MATCH(DATE(YEAR(K247),MONTH(K247),1),'Tipos BdE'!$A$7:$A$336,1),MATCH($D$9,'Tipos BdE'!$B$6:$M$6,0)),0))</f>
      </c>
      <c r="M247" s="13" t="str">
        <f t="shared" si="27"/>
      </c>
      <c r="N247" s="13" t="str">
        <f t="shared" si="28"/>
      </c>
      <c r="O247" s="14" t="str">
        <f t="shared" si="29"/>
      </c>
      <c r="P247" s="14" t="str">
        <f>IF(H247="","",$D$5+SUM($O$5:O247))</f>
      </c>
    </row>
    <row r="248" spans="7:16" x14ac:dyDescent="0.35">
      <c r="G248" s="11" t="str">
        <f t="shared" si="24"/>
      </c>
      <c r="H248" s="12" t="str">
        <f t="shared" si="30"/>
      </c>
      <c r="I248" s="12" t="str">
        <f t="shared" si="25"/>
      </c>
      <c r="J248" s="11" t="str">
        <f t="shared" si="26"/>
      </c>
      <c r="K248" s="12" t="str">
        <f t="shared" si="31"/>
      </c>
      <c r="L248" s="13" t="str">
        <f>IF(H248="","",IFERROR(INDEX('Tipos BdE'!$B$7:$M$336,MATCH(DATE(YEAR(K248),MONTH(K248),1),'Tipos BdE'!$A$7:$A$336,1),MATCH($D$9,'Tipos BdE'!$B$6:$M$6,0)),0))</f>
      </c>
      <c r="M248" s="13" t="str">
        <f t="shared" si="27"/>
      </c>
      <c r="N248" s="13" t="str">
        <f t="shared" si="28"/>
      </c>
      <c r="O248" s="14" t="str">
        <f t="shared" si="29"/>
      </c>
      <c r="P248" s="14" t="str">
        <f>IF(H248="","",$D$5+SUM($O$5:O248))</f>
      </c>
    </row>
    <row r="249" spans="7:16" x14ac:dyDescent="0.35">
      <c r="G249" s="11" t="str">
        <f t="shared" si="24"/>
      </c>
      <c r="H249" s="12" t="str">
        <f t="shared" si="30"/>
      </c>
      <c r="I249" s="12" t="str">
        <f t="shared" si="25"/>
      </c>
      <c r="J249" s="11" t="str">
        <f t="shared" si="26"/>
      </c>
      <c r="K249" s="12" t="str">
        <f t="shared" si="31"/>
      </c>
      <c r="L249" s="13" t="str">
        <f>IF(H249="","",IFERROR(INDEX('Tipos BdE'!$B$7:$M$336,MATCH(DATE(YEAR(K249),MONTH(K249),1),'Tipos BdE'!$A$7:$A$336,1),MATCH($D$9,'Tipos BdE'!$B$6:$M$6,0)),0))</f>
      </c>
      <c r="M249" s="13" t="str">
        <f t="shared" si="27"/>
      </c>
      <c r="N249" s="13" t="str">
        <f t="shared" si="28"/>
      </c>
      <c r="O249" s="14" t="str">
        <f t="shared" si="29"/>
      </c>
      <c r="P249" s="14" t="str">
        <f>IF(H249="","",$D$5+SUM($O$5:O249))</f>
      </c>
    </row>
    <row r="250" spans="7:16" x14ac:dyDescent="0.35">
      <c r="G250" s="11" t="str">
        <f t="shared" si="24"/>
      </c>
      <c r="H250" s="12" t="str">
        <f t="shared" si="30"/>
      </c>
      <c r="I250" s="12" t="str">
        <f t="shared" si="25"/>
      </c>
      <c r="J250" s="11" t="str">
        <f t="shared" si="26"/>
      </c>
      <c r="K250" s="12" t="str">
        <f t="shared" si="31"/>
      </c>
      <c r="L250" s="13" t="str">
        <f>IF(H250="","",IFERROR(INDEX('Tipos BdE'!$B$7:$M$336,MATCH(DATE(YEAR(K250),MONTH(K250),1),'Tipos BdE'!$A$7:$A$336,1),MATCH($D$9,'Tipos BdE'!$B$6:$M$6,0)),0))</f>
      </c>
      <c r="M250" s="13" t="str">
        <f t="shared" si="27"/>
      </c>
      <c r="N250" s="13" t="str">
        <f t="shared" si="28"/>
      </c>
      <c r="O250" s="14" t="str">
        <f t="shared" si="29"/>
      </c>
      <c r="P250" s="14" t="str">
        <f>IF(H250="","",$D$5+SUM($O$5:O250))</f>
      </c>
    </row>
    <row r="251" spans="7:16" x14ac:dyDescent="0.35">
      <c r="G251" s="11" t="str">
        <f t="shared" si="24"/>
      </c>
      <c r="H251" s="12" t="str">
        <f t="shared" si="30"/>
      </c>
      <c r="I251" s="12" t="str">
        <f t="shared" si="25"/>
      </c>
      <c r="J251" s="11" t="str">
        <f t="shared" si="26"/>
      </c>
      <c r="K251" s="12" t="str">
        <f t="shared" si="31"/>
      </c>
      <c r="L251" s="13" t="str">
        <f>IF(H251="","",IFERROR(INDEX('Tipos BdE'!$B$7:$M$336,MATCH(DATE(YEAR(K251),MONTH(K251),1),'Tipos BdE'!$A$7:$A$336,1),MATCH($D$9,'Tipos BdE'!$B$6:$M$6,0)),0))</f>
      </c>
      <c r="M251" s="13" t="str">
        <f t="shared" si="27"/>
      </c>
      <c r="N251" s="13" t="str">
        <f t="shared" si="28"/>
      </c>
      <c r="O251" s="14" t="str">
        <f t="shared" si="29"/>
      </c>
      <c r="P251" s="14" t="str">
        <f>IF(H251="","",$D$5+SUM($O$5:O251))</f>
      </c>
    </row>
    <row r="252" spans="7:16" x14ac:dyDescent="0.35">
      <c r="G252" s="11" t="str">
        <f t="shared" si="24"/>
      </c>
      <c r="H252" s="12" t="str">
        <f t="shared" si="30"/>
      </c>
      <c r="I252" s="12" t="str">
        <f t="shared" si="25"/>
      </c>
      <c r="J252" s="11" t="str">
        <f t="shared" si="26"/>
      </c>
      <c r="K252" s="12" t="str">
        <f t="shared" si="31"/>
      </c>
      <c r="L252" s="13" t="str">
        <f>IF(H252="","",IFERROR(INDEX('Tipos BdE'!$B$7:$M$336,MATCH(DATE(YEAR(K252),MONTH(K252),1),'Tipos BdE'!$A$7:$A$336,1),MATCH($D$9,'Tipos BdE'!$B$6:$M$6,0)),0))</f>
      </c>
      <c r="M252" s="13" t="str">
        <f t="shared" si="27"/>
      </c>
      <c r="N252" s="13" t="str">
        <f t="shared" si="28"/>
      </c>
      <c r="O252" s="14" t="str">
        <f t="shared" si="29"/>
      </c>
      <c r="P252" s="14" t="str">
        <f>IF(H252="","",$D$5+SUM($O$5:O252))</f>
      </c>
    </row>
    <row r="253" spans="7:16" x14ac:dyDescent="0.35">
      <c r="G253" s="11" t="str">
        <f t="shared" si="24"/>
      </c>
      <c r="H253" s="12" t="str">
        <f t="shared" si="30"/>
      </c>
      <c r="I253" s="12" t="str">
        <f t="shared" si="25"/>
      </c>
      <c r="J253" s="11" t="str">
        <f t="shared" si="26"/>
      </c>
      <c r="K253" s="12" t="str">
        <f t="shared" si="31"/>
      </c>
      <c r="L253" s="13" t="str">
        <f>IF(H253="","",IFERROR(INDEX('Tipos BdE'!$B$7:$M$336,MATCH(DATE(YEAR(K253),MONTH(K253),1),'Tipos BdE'!$A$7:$A$336,1),MATCH($D$9,'Tipos BdE'!$B$6:$M$6,0)),0))</f>
      </c>
      <c r="M253" s="13" t="str">
        <f t="shared" si="27"/>
      </c>
      <c r="N253" s="13" t="str">
        <f t="shared" si="28"/>
      </c>
      <c r="O253" s="14" t="str">
        <f t="shared" si="29"/>
      </c>
      <c r="P253" s="14" t="str">
        <f>IF(H253="","",$D$5+SUM($O$5:O253))</f>
      </c>
    </row>
    <row r="254" spans="7:16" x14ac:dyDescent="0.35">
      <c r="G254" s="11" t="str">
        <f t="shared" si="24"/>
      </c>
      <c r="H254" s="12" t="str">
        <f t="shared" si="30"/>
      </c>
      <c r="I254" s="12" t="str">
        <f t="shared" si="25"/>
      </c>
      <c r="J254" s="11" t="str">
        <f t="shared" si="26"/>
      </c>
      <c r="K254" s="12" t="str">
        <f t="shared" si="31"/>
      </c>
      <c r="L254" s="13" t="str">
        <f>IF(H254="","",IFERROR(INDEX('Tipos BdE'!$B$7:$M$336,MATCH(DATE(YEAR(K254),MONTH(K254),1),'Tipos BdE'!$A$7:$A$336,1),MATCH($D$9,'Tipos BdE'!$B$6:$M$6,0)),0))</f>
      </c>
      <c r="M254" s="13" t="str">
        <f t="shared" si="27"/>
      </c>
      <c r="N254" s="13" t="str">
        <f t="shared" si="28"/>
      </c>
      <c r="O254" s="14" t="str">
        <f t="shared" si="29"/>
      </c>
      <c r="P254" s="14" t="str">
        <f>IF(H254="","",$D$5+SUM($O$5:O254))</f>
      </c>
    </row>
    <row r="255" spans="7:16" x14ac:dyDescent="0.35">
      <c r="G255" s="11" t="str">
        <f t="shared" si="24"/>
      </c>
      <c r="H255" s="12" t="str">
        <f t="shared" si="30"/>
      </c>
      <c r="I255" s="12" t="str">
        <f t="shared" si="25"/>
      </c>
      <c r="J255" s="11" t="str">
        <f t="shared" si="26"/>
      </c>
      <c r="K255" s="12" t="str">
        <f t="shared" si="31"/>
      </c>
      <c r="L255" s="13" t="str">
        <f>IF(H255="","",IFERROR(INDEX('Tipos BdE'!$B$7:$M$336,MATCH(DATE(YEAR(K255),MONTH(K255),1),'Tipos BdE'!$A$7:$A$336,1),MATCH($D$9,'Tipos BdE'!$B$6:$M$6,0)),0))</f>
      </c>
      <c r="M255" s="13" t="str">
        <f t="shared" si="27"/>
      </c>
      <c r="N255" s="13" t="str">
        <f t="shared" si="28"/>
      </c>
      <c r="O255" s="14" t="str">
        <f t="shared" si="29"/>
      </c>
      <c r="P255" s="14" t="str">
        <f>IF(H255="","",$D$5+SUM($O$5:O255))</f>
      </c>
    </row>
    <row r="256" spans="7:16" x14ac:dyDescent="0.35">
      <c r="G256" s="11" t="str">
        <f t="shared" si="24"/>
      </c>
      <c r="H256" s="12" t="str">
        <f t="shared" si="30"/>
      </c>
      <c r="I256" s="12" t="str">
        <f t="shared" si="25"/>
      </c>
      <c r="J256" s="11" t="str">
        <f t="shared" si="26"/>
      </c>
      <c r="K256" s="12" t="str">
        <f t="shared" si="31"/>
      </c>
      <c r="L256" s="13" t="str">
        <f>IF(H256="","",IFERROR(INDEX('Tipos BdE'!$B$7:$M$336,MATCH(DATE(YEAR(K256),MONTH(K256),1),'Tipos BdE'!$A$7:$A$336,1),MATCH($D$9,'Tipos BdE'!$B$6:$M$6,0)),0))</f>
      </c>
      <c r="M256" s="13" t="str">
        <f t="shared" si="27"/>
      </c>
      <c r="N256" s="13" t="str">
        <f t="shared" si="28"/>
      </c>
      <c r="O256" s="14" t="str">
        <f t="shared" si="29"/>
      </c>
      <c r="P256" s="14" t="str">
        <f>IF(H256="","",$D$5+SUM($O$5:O256))</f>
      </c>
    </row>
    <row r="257" spans="7:16" x14ac:dyDescent="0.35">
      <c r="G257" s="11" t="str">
        <f t="shared" si="24"/>
      </c>
      <c r="H257" s="12" t="str">
        <f t="shared" si="30"/>
      </c>
      <c r="I257" s="12" t="str">
        <f t="shared" si="25"/>
      </c>
      <c r="J257" s="11" t="str">
        <f t="shared" si="26"/>
      </c>
      <c r="K257" s="12" t="str">
        <f t="shared" si="31"/>
      </c>
      <c r="L257" s="13" t="str">
        <f>IF(H257="","",IFERROR(INDEX('Tipos BdE'!$B$7:$M$336,MATCH(DATE(YEAR(K257),MONTH(K257),1),'Tipos BdE'!$A$7:$A$336,1),MATCH($D$9,'Tipos BdE'!$B$6:$M$6,0)),0))</f>
      </c>
      <c r="M257" s="13" t="str">
        <f t="shared" si="27"/>
      </c>
      <c r="N257" s="13" t="str">
        <f t="shared" si="28"/>
      </c>
      <c r="O257" s="14" t="str">
        <f t="shared" si="29"/>
      </c>
      <c r="P257" s="14" t="str">
        <f>IF(H257="","",$D$5+SUM($O$5:O257))</f>
      </c>
    </row>
    <row r="258" spans="7:16" x14ac:dyDescent="0.35">
      <c r="G258" s="11" t="str">
        <f t="shared" si="24"/>
      </c>
      <c r="H258" s="12" t="str">
        <f t="shared" si="30"/>
      </c>
      <c r="I258" s="12" t="str">
        <f t="shared" si="25"/>
      </c>
      <c r="J258" s="11" t="str">
        <f t="shared" si="26"/>
      </c>
      <c r="K258" s="12" t="str">
        <f t="shared" si="31"/>
      </c>
      <c r="L258" s="13" t="str">
        <f>IF(H258="","",IFERROR(INDEX('Tipos BdE'!$B$7:$M$336,MATCH(DATE(YEAR(K258),MONTH(K258),1),'Tipos BdE'!$A$7:$A$336,1),MATCH($D$9,'Tipos BdE'!$B$6:$M$6,0)),0))</f>
      </c>
      <c r="M258" s="13" t="str">
        <f t="shared" si="27"/>
      </c>
      <c r="N258" s="13" t="str">
        <f t="shared" si="28"/>
      </c>
      <c r="O258" s="14" t="str">
        <f t="shared" si="29"/>
      </c>
      <c r="P258" s="14" t="str">
        <f>IF(H258="","",$D$5+SUM($O$5:O258))</f>
      </c>
    </row>
    <row r="259" spans="7:16" x14ac:dyDescent="0.35">
      <c r="G259" s="11" t="str">
        <f t="shared" si="24"/>
      </c>
      <c r="H259" s="12" t="str">
        <f t="shared" si="30"/>
      </c>
      <c r="I259" s="12" t="str">
        <f t="shared" si="25"/>
      </c>
      <c r="J259" s="11" t="str">
        <f t="shared" si="26"/>
      </c>
      <c r="K259" s="12" t="str">
        <f t="shared" si="31"/>
      </c>
      <c r="L259" s="13" t="str">
        <f>IF(H259="","",IFERROR(INDEX('Tipos BdE'!$B$7:$M$336,MATCH(DATE(YEAR(K259),MONTH(K259),1),'Tipos BdE'!$A$7:$A$336,1),MATCH($D$9,'Tipos BdE'!$B$6:$M$6,0)),0))</f>
      </c>
      <c r="M259" s="13" t="str">
        <f t="shared" si="27"/>
      </c>
      <c r="N259" s="13" t="str">
        <f t="shared" si="28"/>
      </c>
      <c r="O259" s="14" t="str">
        <f t="shared" si="29"/>
      </c>
      <c r="P259" s="14" t="str">
        <f>IF(H259="","",$D$5+SUM($O$5:O259))</f>
      </c>
    </row>
    <row r="260" spans="7:16" x14ac:dyDescent="0.35">
      <c r="G260" s="11" t="str">
        <f t="shared" si="24"/>
      </c>
      <c r="H260" s="12" t="str">
        <f t="shared" si="30"/>
      </c>
      <c r="I260" s="12" t="str">
        <f t="shared" si="25"/>
      </c>
      <c r="J260" s="11" t="str">
        <f t="shared" si="26"/>
      </c>
      <c r="K260" s="12" t="str">
        <f t="shared" si="31"/>
      </c>
      <c r="L260" s="13" t="str">
        <f>IF(H260="","",IFERROR(INDEX('Tipos BdE'!$B$7:$M$336,MATCH(DATE(YEAR(K260),MONTH(K260),1),'Tipos BdE'!$A$7:$A$336,1),MATCH($D$9,'Tipos BdE'!$B$6:$M$6,0)),0))</f>
      </c>
      <c r="M260" s="13" t="str">
        <f t="shared" si="27"/>
      </c>
      <c r="N260" s="13" t="str">
        <f t="shared" si="28"/>
      </c>
      <c r="O260" s="14" t="str">
        <f t="shared" si="29"/>
      </c>
      <c r="P260" s="14" t="str">
        <f>IF(H260="","",$D$5+SUM($O$5:O260))</f>
      </c>
    </row>
    <row r="261" spans="7:16" x14ac:dyDescent="0.35">
      <c r="G261" s="11" t="str">
        <f t="shared" ref="G261:G324" si="32">IF(H261="","",ROW()-4)</f>
      </c>
      <c r="H261" s="12" t="str">
        <f t="shared" si="30"/>
      </c>
      <c r="I261" s="12" t="str">
        <f t="shared" ref="I261:I324" si="33">IF(H261="","",MIN(IF($D$18="LEGAL",DATE(YEAR(H261)+1,1,1),EDATE($D$12,$D$11*(INT((((YEAR(H261)-YEAR($D$12))*12+(MONTH(H261)-MONTH($D$12))-IF(DAY(H261)&lt;DAY($D$12),1,0))/$D$11))+1))),$D$7))</f>
      </c>
      <c r="J261" s="11" t="str">
        <f t="shared" ref="J261:J324" si="34">IF(H261="","",I261-H261)</f>
      </c>
      <c r="K261" s="12" t="str">
        <f t="shared" si="31"/>
      </c>
      <c r="L261" s="13" t="str">
        <f>IF(H261="","",IFERROR(INDEX('Tipos BdE'!$B$7:$M$336,MATCH(DATE(YEAR(K261),MONTH(K261),1),'Tipos BdE'!$A$7:$A$336,1),MATCH($D$9,'Tipos BdE'!$B$6:$M$6,0)),0))</f>
      </c>
      <c r="M261" s="13" t="str">
        <f t="shared" ref="M261:M304" si="35">IF(H261="","",IF($D$18="LEGAL",0,$D$10))</f>
      </c>
      <c r="N261" s="13" t="str">
        <f t="shared" ref="N261:N324" si="36">IF(H261="","",IF(AND($D$14="Sí",(L261+M261)&lt;0),0,L261+M261))</f>
      </c>
      <c r="O261" s="14" t="str">
        <f t="shared" ref="O261:O324" si="37">IF(H261="","",$D$5*N261*J261/36500)</f>
      </c>
      <c r="P261" s="14" t="str">
        <f>IF(H261="","",$D$5+SUM($O$5:O261))</f>
      </c>
    </row>
    <row r="262" spans="7:16" x14ac:dyDescent="0.35">
      <c r="G262" s="11" t="str">
        <f t="shared" si="32"/>
      </c>
      <c r="H262" s="12" t="str">
        <f t="shared" ref="H262:H304" si="38">IF(OR(I261="",I261&gt;=$D$7),"",I261)</f>
      </c>
      <c r="I262" s="12" t="str">
        <f t="shared" si="33"/>
      </c>
      <c r="J262" s="11" t="str">
        <f t="shared" si="34"/>
      </c>
      <c r="K262" s="12" t="str">
        <f t="shared" ref="K262:K304" si="39">IF(H262="","",IF($D$18="LEGAL",H262,EDATE(H262,-$D$13)))</f>
      </c>
      <c r="L262" s="13" t="str">
        <f>IF(H262="","",IFERROR(INDEX('Tipos BdE'!$B$7:$M$336,MATCH(DATE(YEAR(K262),MONTH(K262),1),'Tipos BdE'!$A$7:$A$336,1),MATCH($D$9,'Tipos BdE'!$B$6:$M$6,0)),0))</f>
      </c>
      <c r="M262" s="13" t="str">
        <f t="shared" si="35"/>
      </c>
      <c r="N262" s="13" t="str">
        <f t="shared" si="36"/>
      </c>
      <c r="O262" s="14" t="str">
        <f t="shared" si="37"/>
      </c>
      <c r="P262" s="14" t="str">
        <f>IF(H262="","",$D$5+SUM($O$5:O262))</f>
      </c>
    </row>
    <row r="263" spans="7:16" x14ac:dyDescent="0.35">
      <c r="G263" s="11" t="str">
        <f t="shared" si="32"/>
      </c>
      <c r="H263" s="12" t="str">
        <f t="shared" si="38"/>
      </c>
      <c r="I263" s="12" t="str">
        <f t="shared" si="33"/>
      </c>
      <c r="J263" s="11" t="str">
        <f t="shared" si="34"/>
      </c>
      <c r="K263" s="12" t="str">
        <f t="shared" si="39"/>
      </c>
      <c r="L263" s="13" t="str">
        <f>IF(H263="","",IFERROR(INDEX('Tipos BdE'!$B$7:$M$336,MATCH(DATE(YEAR(K263),MONTH(K263),1),'Tipos BdE'!$A$7:$A$336,1),MATCH($D$9,'Tipos BdE'!$B$6:$M$6,0)),0))</f>
      </c>
      <c r="M263" s="13" t="str">
        <f t="shared" si="35"/>
      </c>
      <c r="N263" s="13" t="str">
        <f t="shared" si="36"/>
      </c>
      <c r="O263" s="14" t="str">
        <f t="shared" si="37"/>
      </c>
      <c r="P263" s="14" t="str">
        <f>IF(H263="","",$D$5+SUM($O$5:O263))</f>
      </c>
    </row>
    <row r="264" spans="7:16" x14ac:dyDescent="0.35">
      <c r="G264" s="11" t="str">
        <f t="shared" si="32"/>
      </c>
      <c r="H264" s="12" t="str">
        <f t="shared" si="38"/>
      </c>
      <c r="I264" s="12" t="str">
        <f t="shared" si="33"/>
      </c>
      <c r="J264" s="11" t="str">
        <f t="shared" si="34"/>
      </c>
      <c r="K264" s="12" t="str">
        <f t="shared" si="39"/>
      </c>
      <c r="L264" s="13" t="str">
        <f>IF(H264="","",IFERROR(INDEX('Tipos BdE'!$B$7:$M$336,MATCH(DATE(YEAR(K264),MONTH(K264),1),'Tipos BdE'!$A$7:$A$336,1),MATCH($D$9,'Tipos BdE'!$B$6:$M$6,0)),0))</f>
      </c>
      <c r="M264" s="13" t="str">
        <f t="shared" si="35"/>
      </c>
      <c r="N264" s="13" t="str">
        <f t="shared" si="36"/>
      </c>
      <c r="O264" s="14" t="str">
        <f t="shared" si="37"/>
      </c>
      <c r="P264" s="14" t="str">
        <f>IF(H264="","",$D$5+SUM($O$5:O264))</f>
      </c>
    </row>
    <row r="265" spans="7:16" x14ac:dyDescent="0.35">
      <c r="G265" s="11" t="str">
        <f t="shared" si="32"/>
      </c>
      <c r="H265" s="12" t="str">
        <f t="shared" si="38"/>
      </c>
      <c r="I265" s="12" t="str">
        <f t="shared" si="33"/>
      </c>
      <c r="J265" s="11" t="str">
        <f t="shared" si="34"/>
      </c>
      <c r="K265" s="12" t="str">
        <f t="shared" si="39"/>
      </c>
      <c r="L265" s="13" t="str">
        <f>IF(H265="","",IFERROR(INDEX('Tipos BdE'!$B$7:$M$336,MATCH(DATE(YEAR(K265),MONTH(K265),1),'Tipos BdE'!$A$7:$A$336,1),MATCH($D$9,'Tipos BdE'!$B$6:$M$6,0)),0))</f>
      </c>
      <c r="M265" s="13" t="str">
        <f t="shared" si="35"/>
      </c>
      <c r="N265" s="13" t="str">
        <f t="shared" si="36"/>
      </c>
      <c r="O265" s="14" t="str">
        <f t="shared" si="37"/>
      </c>
      <c r="P265" s="14" t="str">
        <f>IF(H265="","",$D$5+SUM($O$5:O265))</f>
      </c>
    </row>
    <row r="266" spans="7:16" x14ac:dyDescent="0.35">
      <c r="G266" s="11" t="str">
        <f t="shared" si="32"/>
      </c>
      <c r="H266" s="12" t="str">
        <f t="shared" si="38"/>
      </c>
      <c r="I266" s="12" t="str">
        <f t="shared" si="33"/>
      </c>
      <c r="J266" s="11" t="str">
        <f t="shared" si="34"/>
      </c>
      <c r="K266" s="12" t="str">
        <f t="shared" si="39"/>
      </c>
      <c r="L266" s="13" t="str">
        <f>IF(H266="","",IFERROR(INDEX('Tipos BdE'!$B$7:$M$336,MATCH(DATE(YEAR(K266),MONTH(K266),1),'Tipos BdE'!$A$7:$A$336,1),MATCH($D$9,'Tipos BdE'!$B$6:$M$6,0)),0))</f>
      </c>
      <c r="M266" s="13" t="str">
        <f t="shared" si="35"/>
      </c>
      <c r="N266" s="13" t="str">
        <f t="shared" si="36"/>
      </c>
      <c r="O266" s="14" t="str">
        <f t="shared" si="37"/>
      </c>
      <c r="P266" s="14" t="str">
        <f>IF(H266="","",$D$5+SUM($O$5:O266))</f>
      </c>
    </row>
    <row r="267" spans="7:16" x14ac:dyDescent="0.35">
      <c r="G267" s="11" t="str">
        <f t="shared" si="32"/>
      </c>
      <c r="H267" s="12" t="str">
        <f t="shared" si="38"/>
      </c>
      <c r="I267" s="12" t="str">
        <f t="shared" si="33"/>
      </c>
      <c r="J267" s="11" t="str">
        <f t="shared" si="34"/>
      </c>
      <c r="K267" s="12" t="str">
        <f t="shared" si="39"/>
      </c>
      <c r="L267" s="13" t="str">
        <f>IF(H267="","",IFERROR(INDEX('Tipos BdE'!$B$7:$M$336,MATCH(DATE(YEAR(K267),MONTH(K267),1),'Tipos BdE'!$A$7:$A$336,1),MATCH($D$9,'Tipos BdE'!$B$6:$M$6,0)),0))</f>
      </c>
      <c r="M267" s="13" t="str">
        <f t="shared" si="35"/>
      </c>
      <c r="N267" s="13" t="str">
        <f t="shared" si="36"/>
      </c>
      <c r="O267" s="14" t="str">
        <f t="shared" si="37"/>
      </c>
      <c r="P267" s="14" t="str">
        <f>IF(H267="","",$D$5+SUM($O$5:O267))</f>
      </c>
    </row>
    <row r="268" spans="7:16" x14ac:dyDescent="0.35">
      <c r="G268" s="11" t="str">
        <f t="shared" si="32"/>
      </c>
      <c r="H268" s="12" t="str">
        <f t="shared" si="38"/>
      </c>
      <c r="I268" s="12" t="str">
        <f t="shared" si="33"/>
      </c>
      <c r="J268" s="11" t="str">
        <f t="shared" si="34"/>
      </c>
      <c r="K268" s="12" t="str">
        <f t="shared" si="39"/>
      </c>
      <c r="L268" s="13" t="str">
        <f>IF(H268="","",IFERROR(INDEX('Tipos BdE'!$B$7:$M$336,MATCH(DATE(YEAR(K268),MONTH(K268),1),'Tipos BdE'!$A$7:$A$336,1),MATCH($D$9,'Tipos BdE'!$B$6:$M$6,0)),0))</f>
      </c>
      <c r="M268" s="13" t="str">
        <f t="shared" si="35"/>
      </c>
      <c r="N268" s="13" t="str">
        <f t="shared" si="36"/>
      </c>
      <c r="O268" s="14" t="str">
        <f t="shared" si="37"/>
      </c>
      <c r="P268" s="14" t="str">
        <f>IF(H268="","",$D$5+SUM($O$5:O268))</f>
      </c>
    </row>
    <row r="269" spans="7:16" x14ac:dyDescent="0.35">
      <c r="G269" s="11" t="str">
        <f t="shared" si="32"/>
      </c>
      <c r="H269" s="12" t="str">
        <f t="shared" si="38"/>
      </c>
      <c r="I269" s="12" t="str">
        <f t="shared" si="33"/>
      </c>
      <c r="J269" s="11" t="str">
        <f t="shared" si="34"/>
      </c>
      <c r="K269" s="12" t="str">
        <f t="shared" si="39"/>
      </c>
      <c r="L269" s="13" t="str">
        <f>IF(H269="","",IFERROR(INDEX('Tipos BdE'!$B$7:$M$336,MATCH(DATE(YEAR(K269),MONTH(K269),1),'Tipos BdE'!$A$7:$A$336,1),MATCH($D$9,'Tipos BdE'!$B$6:$M$6,0)),0))</f>
      </c>
      <c r="M269" s="13" t="str">
        <f t="shared" si="35"/>
      </c>
      <c r="N269" s="13" t="str">
        <f t="shared" si="36"/>
      </c>
      <c r="O269" s="14" t="str">
        <f t="shared" si="37"/>
      </c>
      <c r="P269" s="14" t="str">
        <f>IF(H269="","",$D$5+SUM($O$5:O269))</f>
      </c>
    </row>
    <row r="270" spans="7:16" x14ac:dyDescent="0.35">
      <c r="G270" s="11" t="str">
        <f t="shared" si="32"/>
      </c>
      <c r="H270" s="12" t="str">
        <f t="shared" si="38"/>
      </c>
      <c r="I270" s="12" t="str">
        <f t="shared" si="33"/>
      </c>
      <c r="J270" s="11" t="str">
        <f t="shared" si="34"/>
      </c>
      <c r="K270" s="12" t="str">
        <f t="shared" si="39"/>
      </c>
      <c r="L270" s="13" t="str">
        <f>IF(H270="","",IFERROR(INDEX('Tipos BdE'!$B$7:$M$336,MATCH(DATE(YEAR(K270),MONTH(K270),1),'Tipos BdE'!$A$7:$A$336,1),MATCH($D$9,'Tipos BdE'!$B$6:$M$6,0)),0))</f>
      </c>
      <c r="M270" s="13" t="str">
        <f t="shared" si="35"/>
      </c>
      <c r="N270" s="13" t="str">
        <f t="shared" si="36"/>
      </c>
      <c r="O270" s="14" t="str">
        <f t="shared" si="37"/>
      </c>
      <c r="P270" s="14" t="str">
        <f>IF(H270="","",$D$5+SUM($O$5:O270))</f>
      </c>
    </row>
    <row r="271" spans="7:16" x14ac:dyDescent="0.35">
      <c r="G271" s="11" t="str">
        <f t="shared" si="32"/>
      </c>
      <c r="H271" s="12" t="str">
        <f t="shared" si="38"/>
      </c>
      <c r="I271" s="12" t="str">
        <f t="shared" si="33"/>
      </c>
      <c r="J271" s="11" t="str">
        <f t="shared" si="34"/>
      </c>
      <c r="K271" s="12" t="str">
        <f t="shared" si="39"/>
      </c>
      <c r="L271" s="13" t="str">
        <f>IF(H271="","",IFERROR(INDEX('Tipos BdE'!$B$7:$M$336,MATCH(DATE(YEAR(K271),MONTH(K271),1),'Tipos BdE'!$A$7:$A$336,1),MATCH($D$9,'Tipos BdE'!$B$6:$M$6,0)),0))</f>
      </c>
      <c r="M271" s="13" t="str">
        <f t="shared" si="35"/>
      </c>
      <c r="N271" s="13" t="str">
        <f t="shared" si="36"/>
      </c>
      <c r="O271" s="14" t="str">
        <f t="shared" si="37"/>
      </c>
      <c r="P271" s="14" t="str">
        <f>IF(H271="","",$D$5+SUM($O$5:O271))</f>
      </c>
    </row>
    <row r="272" spans="7:16" x14ac:dyDescent="0.35">
      <c r="G272" s="11" t="str">
        <f t="shared" si="32"/>
      </c>
      <c r="H272" s="12" t="str">
        <f t="shared" si="38"/>
      </c>
      <c r="I272" s="12" t="str">
        <f t="shared" si="33"/>
      </c>
      <c r="J272" s="11" t="str">
        <f t="shared" si="34"/>
      </c>
      <c r="K272" s="12" t="str">
        <f t="shared" si="39"/>
      </c>
      <c r="L272" s="13" t="str">
        <f>IF(H272="","",IFERROR(INDEX('Tipos BdE'!$B$7:$M$336,MATCH(DATE(YEAR(K272),MONTH(K272),1),'Tipos BdE'!$A$7:$A$336,1),MATCH($D$9,'Tipos BdE'!$B$6:$M$6,0)),0))</f>
      </c>
      <c r="M272" s="13" t="str">
        <f t="shared" si="35"/>
      </c>
      <c r="N272" s="13" t="str">
        <f t="shared" si="36"/>
      </c>
      <c r="O272" s="14" t="str">
        <f t="shared" si="37"/>
      </c>
      <c r="P272" s="14" t="str">
        <f>IF(H272="","",$D$5+SUM($O$5:O272))</f>
      </c>
    </row>
    <row r="273" spans="7:16" x14ac:dyDescent="0.35">
      <c r="G273" s="11" t="str">
        <f t="shared" si="32"/>
      </c>
      <c r="H273" s="12" t="str">
        <f t="shared" si="38"/>
      </c>
      <c r="I273" s="12" t="str">
        <f t="shared" si="33"/>
      </c>
      <c r="J273" s="11" t="str">
        <f t="shared" si="34"/>
      </c>
      <c r="K273" s="12" t="str">
        <f t="shared" si="39"/>
      </c>
      <c r="L273" s="13" t="str">
        <f>IF(H273="","",IFERROR(INDEX('Tipos BdE'!$B$7:$M$336,MATCH(DATE(YEAR(K273),MONTH(K273),1),'Tipos BdE'!$A$7:$A$336,1),MATCH($D$9,'Tipos BdE'!$B$6:$M$6,0)),0))</f>
      </c>
      <c r="M273" s="13" t="str">
        <f t="shared" si="35"/>
      </c>
      <c r="N273" s="13" t="str">
        <f t="shared" si="36"/>
      </c>
      <c r="O273" s="14" t="str">
        <f t="shared" si="37"/>
      </c>
      <c r="P273" s="14" t="str">
        <f>IF(H273="","",$D$5+SUM($O$5:O273))</f>
      </c>
    </row>
    <row r="274" spans="7:16" x14ac:dyDescent="0.35">
      <c r="G274" s="11" t="str">
        <f t="shared" si="32"/>
      </c>
      <c r="H274" s="12" t="str">
        <f t="shared" si="38"/>
      </c>
      <c r="I274" s="12" t="str">
        <f t="shared" si="33"/>
      </c>
      <c r="J274" s="11" t="str">
        <f t="shared" si="34"/>
      </c>
      <c r="K274" s="12" t="str">
        <f t="shared" si="39"/>
      </c>
      <c r="L274" s="13" t="str">
        <f>IF(H274="","",IFERROR(INDEX('Tipos BdE'!$B$7:$M$336,MATCH(DATE(YEAR(K274),MONTH(K274),1),'Tipos BdE'!$A$7:$A$336,1),MATCH($D$9,'Tipos BdE'!$B$6:$M$6,0)),0))</f>
      </c>
      <c r="M274" s="13" t="str">
        <f t="shared" si="35"/>
      </c>
      <c r="N274" s="13" t="str">
        <f t="shared" si="36"/>
      </c>
      <c r="O274" s="14" t="str">
        <f t="shared" si="37"/>
      </c>
      <c r="P274" s="14" t="str">
        <f>IF(H274="","",$D$5+SUM($O$5:O274))</f>
      </c>
    </row>
    <row r="275" spans="7:16" x14ac:dyDescent="0.35">
      <c r="G275" s="11" t="str">
        <f t="shared" si="32"/>
      </c>
      <c r="H275" s="12" t="str">
        <f t="shared" si="38"/>
      </c>
      <c r="I275" s="12" t="str">
        <f t="shared" si="33"/>
      </c>
      <c r="J275" s="11" t="str">
        <f t="shared" si="34"/>
      </c>
      <c r="K275" s="12" t="str">
        <f t="shared" si="39"/>
      </c>
      <c r="L275" s="13" t="str">
        <f>IF(H275="","",IFERROR(INDEX('Tipos BdE'!$B$7:$M$336,MATCH(DATE(YEAR(K275),MONTH(K275),1),'Tipos BdE'!$A$7:$A$336,1),MATCH($D$9,'Tipos BdE'!$B$6:$M$6,0)),0))</f>
      </c>
      <c r="M275" s="13" t="str">
        <f t="shared" si="35"/>
      </c>
      <c r="N275" s="13" t="str">
        <f t="shared" si="36"/>
      </c>
      <c r="O275" s="14" t="str">
        <f t="shared" si="37"/>
      </c>
      <c r="P275" s="14" t="str">
        <f>IF(H275="","",$D$5+SUM($O$5:O275))</f>
      </c>
    </row>
    <row r="276" spans="7:16" x14ac:dyDescent="0.35">
      <c r="G276" s="11" t="str">
        <f t="shared" si="32"/>
      </c>
      <c r="H276" s="12" t="str">
        <f t="shared" si="38"/>
      </c>
      <c r="I276" s="12" t="str">
        <f t="shared" si="33"/>
      </c>
      <c r="J276" s="11" t="str">
        <f t="shared" si="34"/>
      </c>
      <c r="K276" s="12" t="str">
        <f t="shared" si="39"/>
      </c>
      <c r="L276" s="13" t="str">
        <f>IF(H276="","",IFERROR(INDEX('Tipos BdE'!$B$7:$M$336,MATCH(DATE(YEAR(K276),MONTH(K276),1),'Tipos BdE'!$A$7:$A$336,1),MATCH($D$9,'Tipos BdE'!$B$6:$M$6,0)),0))</f>
      </c>
      <c r="M276" s="13" t="str">
        <f t="shared" si="35"/>
      </c>
      <c r="N276" s="13" t="str">
        <f t="shared" si="36"/>
      </c>
      <c r="O276" s="14" t="str">
        <f t="shared" si="37"/>
      </c>
      <c r="P276" s="14" t="str">
        <f>IF(H276="","",$D$5+SUM($O$5:O276))</f>
      </c>
    </row>
    <row r="277" spans="7:16" x14ac:dyDescent="0.35">
      <c r="G277" s="11" t="str">
        <f t="shared" si="32"/>
      </c>
      <c r="H277" s="12" t="str">
        <f t="shared" si="38"/>
      </c>
      <c r="I277" s="12" t="str">
        <f t="shared" si="33"/>
      </c>
      <c r="J277" s="11" t="str">
        <f t="shared" si="34"/>
      </c>
      <c r="K277" s="12" t="str">
        <f t="shared" si="39"/>
      </c>
      <c r="L277" s="13" t="str">
        <f>IF(H277="","",IFERROR(INDEX('Tipos BdE'!$B$7:$M$336,MATCH(DATE(YEAR(K277),MONTH(K277),1),'Tipos BdE'!$A$7:$A$336,1),MATCH($D$9,'Tipos BdE'!$B$6:$M$6,0)),0))</f>
      </c>
      <c r="M277" s="13" t="str">
        <f t="shared" si="35"/>
      </c>
      <c r="N277" s="13" t="str">
        <f t="shared" si="36"/>
      </c>
      <c r="O277" s="14" t="str">
        <f t="shared" si="37"/>
      </c>
      <c r="P277" s="14" t="str">
        <f>IF(H277="","",$D$5+SUM($O$5:O277))</f>
      </c>
    </row>
    <row r="278" spans="7:16" x14ac:dyDescent="0.35">
      <c r="G278" s="11" t="str">
        <f t="shared" si="32"/>
      </c>
      <c r="H278" s="12" t="str">
        <f t="shared" si="38"/>
      </c>
      <c r="I278" s="12" t="str">
        <f t="shared" si="33"/>
      </c>
      <c r="J278" s="11" t="str">
        <f t="shared" si="34"/>
      </c>
      <c r="K278" s="12" t="str">
        <f t="shared" si="39"/>
      </c>
      <c r="L278" s="13" t="str">
        <f>IF(H278="","",IFERROR(INDEX('Tipos BdE'!$B$7:$M$336,MATCH(DATE(YEAR(K278),MONTH(K278),1),'Tipos BdE'!$A$7:$A$336,1),MATCH($D$9,'Tipos BdE'!$B$6:$M$6,0)),0))</f>
      </c>
      <c r="M278" s="13" t="str">
        <f t="shared" si="35"/>
      </c>
      <c r="N278" s="13" t="str">
        <f t="shared" si="36"/>
      </c>
      <c r="O278" s="14" t="str">
        <f t="shared" si="37"/>
      </c>
      <c r="P278" s="14" t="str">
        <f>IF(H278="","",$D$5+SUM($O$5:O278))</f>
      </c>
    </row>
    <row r="279" spans="7:16" x14ac:dyDescent="0.35">
      <c r="G279" s="11" t="str">
        <f t="shared" si="32"/>
      </c>
      <c r="H279" s="12" t="str">
        <f t="shared" si="38"/>
      </c>
      <c r="I279" s="12" t="str">
        <f t="shared" si="33"/>
      </c>
      <c r="J279" s="11" t="str">
        <f t="shared" si="34"/>
      </c>
      <c r="K279" s="12" t="str">
        <f t="shared" si="39"/>
      </c>
      <c r="L279" s="13" t="str">
        <f>IF(H279="","",IFERROR(INDEX('Tipos BdE'!$B$7:$M$336,MATCH(DATE(YEAR(K279),MONTH(K279),1),'Tipos BdE'!$A$7:$A$336,1),MATCH($D$9,'Tipos BdE'!$B$6:$M$6,0)),0))</f>
      </c>
      <c r="M279" s="13" t="str">
        <f t="shared" si="35"/>
      </c>
      <c r="N279" s="13" t="str">
        <f t="shared" si="36"/>
      </c>
      <c r="O279" s="14" t="str">
        <f t="shared" si="37"/>
      </c>
      <c r="P279" s="14" t="str">
        <f>IF(H279="","",$D$5+SUM($O$5:O279))</f>
      </c>
    </row>
    <row r="280" spans="7:16" x14ac:dyDescent="0.35">
      <c r="G280" s="11" t="str">
        <f t="shared" si="32"/>
      </c>
      <c r="H280" s="12" t="str">
        <f t="shared" si="38"/>
      </c>
      <c r="I280" s="12" t="str">
        <f t="shared" si="33"/>
      </c>
      <c r="J280" s="11" t="str">
        <f t="shared" si="34"/>
      </c>
      <c r="K280" s="12" t="str">
        <f t="shared" si="39"/>
      </c>
      <c r="L280" s="13" t="str">
        <f>IF(H280="","",IFERROR(INDEX('Tipos BdE'!$B$7:$M$336,MATCH(DATE(YEAR(K280),MONTH(K280),1),'Tipos BdE'!$A$7:$A$336,1),MATCH($D$9,'Tipos BdE'!$B$6:$M$6,0)),0))</f>
      </c>
      <c r="M280" s="13" t="str">
        <f t="shared" si="35"/>
      </c>
      <c r="N280" s="13" t="str">
        <f t="shared" si="36"/>
      </c>
      <c r="O280" s="14" t="str">
        <f t="shared" si="37"/>
      </c>
      <c r="P280" s="14" t="str">
        <f>IF(H280="","",$D$5+SUM($O$5:O280))</f>
      </c>
    </row>
    <row r="281" spans="7:16" x14ac:dyDescent="0.35">
      <c r="G281" s="11" t="str">
        <f t="shared" si="32"/>
      </c>
      <c r="H281" s="12" t="str">
        <f t="shared" si="38"/>
      </c>
      <c r="I281" s="12" t="str">
        <f t="shared" si="33"/>
      </c>
      <c r="J281" s="11" t="str">
        <f t="shared" si="34"/>
      </c>
      <c r="K281" s="12" t="str">
        <f t="shared" si="39"/>
      </c>
      <c r="L281" s="13" t="str">
        <f>IF(H281="","",IFERROR(INDEX('Tipos BdE'!$B$7:$M$336,MATCH(DATE(YEAR(K281),MONTH(K281),1),'Tipos BdE'!$A$7:$A$336,1),MATCH($D$9,'Tipos BdE'!$B$6:$M$6,0)),0))</f>
      </c>
      <c r="M281" s="13" t="str">
        <f t="shared" si="35"/>
      </c>
      <c r="N281" s="13" t="str">
        <f t="shared" si="36"/>
      </c>
      <c r="O281" s="14" t="str">
        <f t="shared" si="37"/>
      </c>
      <c r="P281" s="14" t="str">
        <f>IF(H281="","",$D$5+SUM($O$5:O281))</f>
      </c>
    </row>
    <row r="282" spans="7:16" x14ac:dyDescent="0.35">
      <c r="G282" s="11" t="str">
        <f t="shared" si="32"/>
      </c>
      <c r="H282" s="12" t="str">
        <f t="shared" si="38"/>
      </c>
      <c r="I282" s="12" t="str">
        <f t="shared" si="33"/>
      </c>
      <c r="J282" s="11" t="str">
        <f t="shared" si="34"/>
      </c>
      <c r="K282" s="12" t="str">
        <f t="shared" si="39"/>
      </c>
      <c r="L282" s="13" t="str">
        <f>IF(H282="","",IFERROR(INDEX('Tipos BdE'!$B$7:$M$336,MATCH(DATE(YEAR(K282),MONTH(K282),1),'Tipos BdE'!$A$7:$A$336,1),MATCH($D$9,'Tipos BdE'!$B$6:$M$6,0)),0))</f>
      </c>
      <c r="M282" s="13" t="str">
        <f t="shared" si="35"/>
      </c>
      <c r="N282" s="13" t="str">
        <f t="shared" si="36"/>
      </c>
      <c r="O282" s="14" t="str">
        <f t="shared" si="37"/>
      </c>
      <c r="P282" s="14" t="str">
        <f>IF(H282="","",$D$5+SUM($O$5:O282))</f>
      </c>
    </row>
    <row r="283" spans="7:16" x14ac:dyDescent="0.35">
      <c r="G283" s="11" t="str">
        <f t="shared" si="32"/>
      </c>
      <c r="H283" s="12" t="str">
        <f t="shared" si="38"/>
      </c>
      <c r="I283" s="12" t="str">
        <f t="shared" si="33"/>
      </c>
      <c r="J283" s="11" t="str">
        <f t="shared" si="34"/>
      </c>
      <c r="K283" s="12" t="str">
        <f t="shared" si="39"/>
      </c>
      <c r="L283" s="13" t="str">
        <f>IF(H283="","",IFERROR(INDEX('Tipos BdE'!$B$7:$M$336,MATCH(DATE(YEAR(K283),MONTH(K283),1),'Tipos BdE'!$A$7:$A$336,1),MATCH($D$9,'Tipos BdE'!$B$6:$M$6,0)),0))</f>
      </c>
      <c r="M283" s="13" t="str">
        <f t="shared" si="35"/>
      </c>
      <c r="N283" s="13" t="str">
        <f t="shared" si="36"/>
      </c>
      <c r="O283" s="14" t="str">
        <f t="shared" si="37"/>
      </c>
      <c r="P283" s="14" t="str">
        <f>IF(H283="","",$D$5+SUM($O$5:O283))</f>
      </c>
    </row>
    <row r="284" spans="7:16" x14ac:dyDescent="0.35">
      <c r="G284" s="11" t="str">
        <f t="shared" si="32"/>
      </c>
      <c r="H284" s="12" t="str">
        <f t="shared" si="38"/>
      </c>
      <c r="I284" s="12" t="str">
        <f t="shared" si="33"/>
      </c>
      <c r="J284" s="11" t="str">
        <f t="shared" si="34"/>
      </c>
      <c r="K284" s="12" t="str">
        <f t="shared" si="39"/>
      </c>
      <c r="L284" s="13" t="str">
        <f>IF(H284="","",IFERROR(INDEX('Tipos BdE'!$B$7:$M$336,MATCH(DATE(YEAR(K284),MONTH(K284),1),'Tipos BdE'!$A$7:$A$336,1),MATCH($D$9,'Tipos BdE'!$B$6:$M$6,0)),0))</f>
      </c>
      <c r="M284" s="13" t="str">
        <f t="shared" si="35"/>
      </c>
      <c r="N284" s="13" t="str">
        <f t="shared" si="36"/>
      </c>
      <c r="O284" s="14" t="str">
        <f t="shared" si="37"/>
      </c>
      <c r="P284" s="14" t="str">
        <f>IF(H284="","",$D$5+SUM($O$5:O284))</f>
      </c>
    </row>
    <row r="285" spans="7:16" x14ac:dyDescent="0.35">
      <c r="G285" s="11" t="str">
        <f t="shared" si="32"/>
      </c>
      <c r="H285" s="12" t="str">
        <f t="shared" si="38"/>
      </c>
      <c r="I285" s="12" t="str">
        <f t="shared" si="33"/>
      </c>
      <c r="J285" s="11" t="str">
        <f t="shared" si="34"/>
      </c>
      <c r="K285" s="12" t="str">
        <f t="shared" si="39"/>
      </c>
      <c r="L285" s="13" t="str">
        <f>IF(H285="","",IFERROR(INDEX('Tipos BdE'!$B$7:$M$336,MATCH(DATE(YEAR(K285),MONTH(K285),1),'Tipos BdE'!$A$7:$A$336,1),MATCH($D$9,'Tipos BdE'!$B$6:$M$6,0)),0))</f>
      </c>
      <c r="M285" s="13" t="str">
        <f t="shared" si="35"/>
      </c>
      <c r="N285" s="13" t="str">
        <f t="shared" si="36"/>
      </c>
      <c r="O285" s="14" t="str">
        <f t="shared" si="37"/>
      </c>
      <c r="P285" s="14" t="str">
        <f>IF(H285="","",$D$5+SUM($O$5:O285))</f>
      </c>
    </row>
    <row r="286" spans="7:16" x14ac:dyDescent="0.35">
      <c r="G286" s="11" t="str">
        <f t="shared" si="32"/>
      </c>
      <c r="H286" s="12" t="str">
        <f t="shared" si="38"/>
      </c>
      <c r="I286" s="12" t="str">
        <f t="shared" si="33"/>
      </c>
      <c r="J286" s="11" t="str">
        <f t="shared" si="34"/>
      </c>
      <c r="K286" s="12" t="str">
        <f t="shared" si="39"/>
      </c>
      <c r="L286" s="13" t="str">
        <f>IF(H286="","",IFERROR(INDEX('Tipos BdE'!$B$7:$M$336,MATCH(DATE(YEAR(K286),MONTH(K286),1),'Tipos BdE'!$A$7:$A$336,1),MATCH($D$9,'Tipos BdE'!$B$6:$M$6,0)),0))</f>
      </c>
      <c r="M286" s="13" t="str">
        <f t="shared" si="35"/>
      </c>
      <c r="N286" s="13" t="str">
        <f t="shared" si="36"/>
      </c>
      <c r="O286" s="14" t="str">
        <f t="shared" si="37"/>
      </c>
      <c r="P286" s="14" t="str">
        <f>IF(H286="","",$D$5+SUM($O$5:O286))</f>
      </c>
    </row>
    <row r="287" spans="7:16" x14ac:dyDescent="0.35">
      <c r="G287" s="11" t="str">
        <f t="shared" si="32"/>
      </c>
      <c r="H287" s="12" t="str">
        <f t="shared" si="38"/>
      </c>
      <c r="I287" s="12" t="str">
        <f t="shared" si="33"/>
      </c>
      <c r="J287" s="11" t="str">
        <f t="shared" si="34"/>
      </c>
      <c r="K287" s="12" t="str">
        <f t="shared" si="39"/>
      </c>
      <c r="L287" s="13" t="str">
        <f>IF(H287="","",IFERROR(INDEX('Tipos BdE'!$B$7:$M$336,MATCH(DATE(YEAR(K287),MONTH(K287),1),'Tipos BdE'!$A$7:$A$336,1),MATCH($D$9,'Tipos BdE'!$B$6:$M$6,0)),0))</f>
      </c>
      <c r="M287" s="13" t="str">
        <f t="shared" si="35"/>
      </c>
      <c r="N287" s="13" t="str">
        <f t="shared" si="36"/>
      </c>
      <c r="O287" s="14" t="str">
        <f t="shared" si="37"/>
      </c>
      <c r="P287" s="14" t="str">
        <f>IF(H287="","",$D$5+SUM($O$5:O287))</f>
      </c>
    </row>
    <row r="288" spans="7:16" x14ac:dyDescent="0.35">
      <c r="G288" s="11" t="str">
        <f t="shared" si="32"/>
      </c>
      <c r="H288" s="12" t="str">
        <f t="shared" si="38"/>
      </c>
      <c r="I288" s="12" t="str">
        <f t="shared" si="33"/>
      </c>
      <c r="J288" s="11" t="str">
        <f t="shared" si="34"/>
      </c>
      <c r="K288" s="12" t="str">
        <f t="shared" si="39"/>
      </c>
      <c r="L288" s="13" t="str">
        <f>IF(H288="","",IFERROR(INDEX('Tipos BdE'!$B$7:$M$336,MATCH(DATE(YEAR(K288),MONTH(K288),1),'Tipos BdE'!$A$7:$A$336,1),MATCH($D$9,'Tipos BdE'!$B$6:$M$6,0)),0))</f>
      </c>
      <c r="M288" s="13" t="str">
        <f t="shared" si="35"/>
      </c>
      <c r="N288" s="13" t="str">
        <f t="shared" si="36"/>
      </c>
      <c r="O288" s="14" t="str">
        <f t="shared" si="37"/>
      </c>
      <c r="P288" s="14" t="str">
        <f>IF(H288="","",$D$5+SUM($O$5:O288))</f>
      </c>
    </row>
    <row r="289" spans="7:16" x14ac:dyDescent="0.35">
      <c r="G289" s="11" t="str">
        <f t="shared" si="32"/>
      </c>
      <c r="H289" s="12" t="str">
        <f t="shared" si="38"/>
      </c>
      <c r="I289" s="12" t="str">
        <f t="shared" si="33"/>
      </c>
      <c r="J289" s="11" t="str">
        <f t="shared" si="34"/>
      </c>
      <c r="K289" s="12" t="str">
        <f t="shared" si="39"/>
      </c>
      <c r="L289" s="13" t="str">
        <f>IF(H289="","",IFERROR(INDEX('Tipos BdE'!$B$7:$M$336,MATCH(DATE(YEAR(K289),MONTH(K289),1),'Tipos BdE'!$A$7:$A$336,1),MATCH($D$9,'Tipos BdE'!$B$6:$M$6,0)),0))</f>
      </c>
      <c r="M289" s="13" t="str">
        <f t="shared" si="35"/>
      </c>
      <c r="N289" s="13" t="str">
        <f t="shared" si="36"/>
      </c>
      <c r="O289" s="14" t="str">
        <f t="shared" si="37"/>
      </c>
      <c r="P289" s="14" t="str">
        <f>IF(H289="","",$D$5+SUM($O$5:O289))</f>
      </c>
    </row>
    <row r="290" spans="7:16" x14ac:dyDescent="0.35">
      <c r="G290" s="11" t="str">
        <f t="shared" si="32"/>
      </c>
      <c r="H290" s="12" t="str">
        <f t="shared" si="38"/>
      </c>
      <c r="I290" s="12" t="str">
        <f t="shared" si="33"/>
      </c>
      <c r="J290" s="11" t="str">
        <f t="shared" si="34"/>
      </c>
      <c r="K290" s="12" t="str">
        <f t="shared" si="39"/>
      </c>
      <c r="L290" s="13" t="str">
        <f>IF(H290="","",IFERROR(INDEX('Tipos BdE'!$B$7:$M$336,MATCH(DATE(YEAR(K290),MONTH(K290),1),'Tipos BdE'!$A$7:$A$336,1),MATCH($D$9,'Tipos BdE'!$B$6:$M$6,0)),0))</f>
      </c>
      <c r="M290" s="13" t="str">
        <f t="shared" si="35"/>
      </c>
      <c r="N290" s="13" t="str">
        <f t="shared" si="36"/>
      </c>
      <c r="O290" s="14" t="str">
        <f t="shared" si="37"/>
      </c>
      <c r="P290" s="14" t="str">
        <f>IF(H290="","",$D$5+SUM($O$5:O290))</f>
      </c>
    </row>
    <row r="291" spans="7:16" x14ac:dyDescent="0.35">
      <c r="G291" s="11" t="str">
        <f t="shared" si="32"/>
      </c>
      <c r="H291" s="12" t="str">
        <f t="shared" si="38"/>
      </c>
      <c r="I291" s="12" t="str">
        <f t="shared" si="33"/>
      </c>
      <c r="J291" s="11" t="str">
        <f t="shared" si="34"/>
      </c>
      <c r="K291" s="12" t="str">
        <f t="shared" si="39"/>
      </c>
      <c r="L291" s="13" t="str">
        <f>IF(H291="","",IFERROR(INDEX('Tipos BdE'!$B$7:$M$336,MATCH(DATE(YEAR(K291),MONTH(K291),1),'Tipos BdE'!$A$7:$A$336,1),MATCH($D$9,'Tipos BdE'!$B$6:$M$6,0)),0))</f>
      </c>
      <c r="M291" s="13" t="str">
        <f t="shared" si="35"/>
      </c>
      <c r="N291" s="13" t="str">
        <f t="shared" si="36"/>
      </c>
      <c r="O291" s="14" t="str">
        <f t="shared" si="37"/>
      </c>
      <c r="P291" s="14" t="str">
        <f>IF(H291="","",$D$5+SUM($O$5:O291))</f>
      </c>
    </row>
    <row r="292" spans="7:16" x14ac:dyDescent="0.35">
      <c r="G292" s="11" t="str">
        <f t="shared" si="32"/>
      </c>
      <c r="H292" s="12" t="str">
        <f t="shared" si="38"/>
      </c>
      <c r="I292" s="12" t="str">
        <f t="shared" si="33"/>
      </c>
      <c r="J292" s="11" t="str">
        <f t="shared" si="34"/>
      </c>
      <c r="K292" s="12" t="str">
        <f t="shared" si="39"/>
      </c>
      <c r="L292" s="13" t="str">
        <f>IF(H292="","",IFERROR(INDEX('Tipos BdE'!$B$7:$M$336,MATCH(DATE(YEAR(K292),MONTH(K292),1),'Tipos BdE'!$A$7:$A$336,1),MATCH($D$9,'Tipos BdE'!$B$6:$M$6,0)),0))</f>
      </c>
      <c r="M292" s="13" t="str">
        <f t="shared" si="35"/>
      </c>
      <c r="N292" s="13" t="str">
        <f t="shared" si="36"/>
      </c>
      <c r="O292" s="14" t="str">
        <f t="shared" si="37"/>
      </c>
      <c r="P292" s="14" t="str">
        <f>IF(H292="","",$D$5+SUM($O$5:O292))</f>
      </c>
    </row>
    <row r="293" spans="7:16" x14ac:dyDescent="0.35">
      <c r="G293" s="11" t="str">
        <f t="shared" si="32"/>
      </c>
      <c r="H293" s="12" t="str">
        <f t="shared" si="38"/>
      </c>
      <c r="I293" s="12" t="str">
        <f t="shared" si="33"/>
      </c>
      <c r="J293" s="11" t="str">
        <f t="shared" si="34"/>
      </c>
      <c r="K293" s="12" t="str">
        <f t="shared" si="39"/>
      </c>
      <c r="L293" s="13" t="str">
        <f>IF(H293="","",IFERROR(INDEX('Tipos BdE'!$B$7:$M$336,MATCH(DATE(YEAR(K293),MONTH(K293),1),'Tipos BdE'!$A$7:$A$336,1),MATCH($D$9,'Tipos BdE'!$B$6:$M$6,0)),0))</f>
      </c>
      <c r="M293" s="13" t="str">
        <f t="shared" si="35"/>
      </c>
      <c r="N293" s="13" t="str">
        <f t="shared" si="36"/>
      </c>
      <c r="O293" s="14" t="str">
        <f t="shared" si="37"/>
      </c>
      <c r="P293" s="14" t="str">
        <f>IF(H293="","",$D$5+SUM($O$5:O293))</f>
      </c>
    </row>
    <row r="294" spans="7:16" x14ac:dyDescent="0.35">
      <c r="G294" s="11" t="str">
        <f t="shared" si="32"/>
      </c>
      <c r="H294" s="12" t="str">
        <f t="shared" si="38"/>
      </c>
      <c r="I294" s="12" t="str">
        <f t="shared" si="33"/>
      </c>
      <c r="J294" s="11" t="str">
        <f t="shared" si="34"/>
      </c>
      <c r="K294" s="12" t="str">
        <f t="shared" si="39"/>
      </c>
      <c r="L294" s="13" t="str">
        <f>IF(H294="","",IFERROR(INDEX('Tipos BdE'!$B$7:$M$336,MATCH(DATE(YEAR(K294),MONTH(K294),1),'Tipos BdE'!$A$7:$A$336,1),MATCH($D$9,'Tipos BdE'!$B$6:$M$6,0)),0))</f>
      </c>
      <c r="M294" s="13" t="str">
        <f t="shared" si="35"/>
      </c>
      <c r="N294" s="13" t="str">
        <f t="shared" si="36"/>
      </c>
      <c r="O294" s="14" t="str">
        <f t="shared" si="37"/>
      </c>
      <c r="P294" s="14" t="str">
        <f>IF(H294="","",$D$5+SUM($O$5:O294))</f>
      </c>
    </row>
    <row r="295" spans="7:16" x14ac:dyDescent="0.35">
      <c r="G295" s="11" t="str">
        <f t="shared" si="32"/>
      </c>
      <c r="H295" s="12" t="str">
        <f t="shared" si="38"/>
      </c>
      <c r="I295" s="12" t="str">
        <f t="shared" si="33"/>
      </c>
      <c r="J295" s="11" t="str">
        <f t="shared" si="34"/>
      </c>
      <c r="K295" s="12" t="str">
        <f t="shared" si="39"/>
      </c>
      <c r="L295" s="13" t="str">
        <f>IF(H295="","",IFERROR(INDEX('Tipos BdE'!$B$7:$M$336,MATCH(DATE(YEAR(K295),MONTH(K295),1),'Tipos BdE'!$A$7:$A$336,1),MATCH($D$9,'Tipos BdE'!$B$6:$M$6,0)),0))</f>
      </c>
      <c r="M295" s="13" t="str">
        <f t="shared" si="35"/>
      </c>
      <c r="N295" s="13" t="str">
        <f t="shared" si="36"/>
      </c>
      <c r="O295" s="14" t="str">
        <f t="shared" si="37"/>
      </c>
      <c r="P295" s="14" t="str">
        <f>IF(H295="","",$D$5+SUM($O$5:O295))</f>
      </c>
    </row>
    <row r="296" spans="7:16" x14ac:dyDescent="0.35">
      <c r="G296" s="11" t="str">
        <f t="shared" si="32"/>
      </c>
      <c r="H296" s="12" t="str">
        <f t="shared" si="38"/>
      </c>
      <c r="I296" s="12" t="str">
        <f t="shared" si="33"/>
      </c>
      <c r="J296" s="11" t="str">
        <f t="shared" si="34"/>
      </c>
      <c r="K296" s="12" t="str">
        <f t="shared" si="39"/>
      </c>
      <c r="L296" s="13" t="str">
        <f>IF(H296="","",IFERROR(INDEX('Tipos BdE'!$B$7:$M$336,MATCH(DATE(YEAR(K296),MONTH(K296),1),'Tipos BdE'!$A$7:$A$336,1),MATCH($D$9,'Tipos BdE'!$B$6:$M$6,0)),0))</f>
      </c>
      <c r="M296" s="13" t="str">
        <f t="shared" si="35"/>
      </c>
      <c r="N296" s="13" t="str">
        <f t="shared" si="36"/>
      </c>
      <c r="O296" s="14" t="str">
        <f t="shared" si="37"/>
      </c>
      <c r="P296" s="14" t="str">
        <f>IF(H296="","",$D$5+SUM($O$5:O296))</f>
      </c>
    </row>
    <row r="297" spans="7:16" x14ac:dyDescent="0.35">
      <c r="G297" s="11" t="str">
        <f t="shared" si="32"/>
      </c>
      <c r="H297" s="12" t="str">
        <f t="shared" si="38"/>
      </c>
      <c r="I297" s="12" t="str">
        <f t="shared" si="33"/>
      </c>
      <c r="J297" s="11" t="str">
        <f t="shared" si="34"/>
      </c>
      <c r="K297" s="12" t="str">
        <f t="shared" si="39"/>
      </c>
      <c r="L297" s="13" t="str">
        <f>IF(H297="","",IFERROR(INDEX('Tipos BdE'!$B$7:$M$336,MATCH(DATE(YEAR(K297),MONTH(K297),1),'Tipos BdE'!$A$7:$A$336,1),MATCH($D$9,'Tipos BdE'!$B$6:$M$6,0)),0))</f>
      </c>
      <c r="M297" s="13" t="str">
        <f t="shared" si="35"/>
      </c>
      <c r="N297" s="13" t="str">
        <f t="shared" si="36"/>
      </c>
      <c r="O297" s="14" t="str">
        <f t="shared" si="37"/>
      </c>
      <c r="P297" s="14" t="str">
        <f>IF(H297="","",$D$5+SUM($O$5:O297))</f>
      </c>
    </row>
    <row r="298" spans="7:16" x14ac:dyDescent="0.35">
      <c r="G298" s="11" t="str">
        <f t="shared" si="32"/>
      </c>
      <c r="H298" s="12" t="str">
        <f t="shared" si="38"/>
      </c>
      <c r="I298" s="12" t="str">
        <f t="shared" si="33"/>
      </c>
      <c r="J298" s="11" t="str">
        <f t="shared" si="34"/>
      </c>
      <c r="K298" s="12" t="str">
        <f t="shared" si="39"/>
      </c>
      <c r="L298" s="13" t="str">
        <f>IF(H298="","",IFERROR(INDEX('Tipos BdE'!$B$7:$M$336,MATCH(DATE(YEAR(K298),MONTH(K298),1),'Tipos BdE'!$A$7:$A$336,1),MATCH($D$9,'Tipos BdE'!$B$6:$M$6,0)),0))</f>
      </c>
      <c r="M298" s="13" t="str">
        <f t="shared" si="35"/>
      </c>
      <c r="N298" s="13" t="str">
        <f t="shared" si="36"/>
      </c>
      <c r="O298" s="14" t="str">
        <f t="shared" si="37"/>
      </c>
      <c r="P298" s="14" t="str">
        <f>IF(H298="","",$D$5+SUM($O$5:O298))</f>
      </c>
    </row>
    <row r="299" spans="7:16" x14ac:dyDescent="0.35">
      <c r="G299" s="11" t="str">
        <f t="shared" si="32"/>
      </c>
      <c r="H299" s="12" t="str">
        <f t="shared" si="38"/>
      </c>
      <c r="I299" s="12" t="str">
        <f t="shared" si="33"/>
      </c>
      <c r="J299" s="11" t="str">
        <f t="shared" si="34"/>
      </c>
      <c r="K299" s="12" t="str">
        <f t="shared" si="39"/>
      </c>
      <c r="L299" s="13" t="str">
        <f>IF(H299="","",IFERROR(INDEX('Tipos BdE'!$B$7:$M$336,MATCH(DATE(YEAR(K299),MONTH(K299),1),'Tipos BdE'!$A$7:$A$336,1),MATCH($D$9,'Tipos BdE'!$B$6:$M$6,0)),0))</f>
      </c>
      <c r="M299" s="13" t="str">
        <f t="shared" si="35"/>
      </c>
      <c r="N299" s="13" t="str">
        <f t="shared" si="36"/>
      </c>
      <c r="O299" s="14" t="str">
        <f t="shared" si="37"/>
      </c>
      <c r="P299" s="14" t="str">
        <f>IF(H299="","",$D$5+SUM($O$5:O299))</f>
      </c>
    </row>
    <row r="300" spans="7:16" x14ac:dyDescent="0.35">
      <c r="G300" s="11" t="str">
        <f t="shared" si="32"/>
      </c>
      <c r="H300" s="12" t="str">
        <f t="shared" si="38"/>
      </c>
      <c r="I300" s="12" t="str">
        <f t="shared" si="33"/>
      </c>
      <c r="J300" s="11" t="str">
        <f t="shared" si="34"/>
      </c>
      <c r="K300" s="12" t="str">
        <f t="shared" si="39"/>
      </c>
      <c r="L300" s="13" t="str">
        <f>IF(H300="","",IFERROR(INDEX('Tipos BdE'!$B$7:$M$336,MATCH(DATE(YEAR(K300),MONTH(K300),1),'Tipos BdE'!$A$7:$A$336,1),MATCH($D$9,'Tipos BdE'!$B$6:$M$6,0)),0))</f>
      </c>
      <c r="M300" s="13" t="str">
        <f t="shared" si="35"/>
      </c>
      <c r="N300" s="13" t="str">
        <f t="shared" si="36"/>
      </c>
      <c r="O300" s="14" t="str">
        <f t="shared" si="37"/>
      </c>
      <c r="P300" s="14" t="str">
        <f>IF(H300="","",$D$5+SUM($O$5:O300))</f>
      </c>
    </row>
    <row r="301" spans="7:16" x14ac:dyDescent="0.35">
      <c r="G301" s="11" t="str">
        <f t="shared" si="32"/>
      </c>
      <c r="H301" s="12" t="str">
        <f t="shared" si="38"/>
      </c>
      <c r="I301" s="12" t="str">
        <f t="shared" si="33"/>
      </c>
      <c r="J301" s="11" t="str">
        <f t="shared" si="34"/>
      </c>
      <c r="K301" s="12" t="str">
        <f t="shared" si="39"/>
      </c>
      <c r="L301" s="13" t="str">
        <f>IF(H301="","",IFERROR(INDEX('Tipos BdE'!$B$7:$M$336,MATCH(DATE(YEAR(K301),MONTH(K301),1),'Tipos BdE'!$A$7:$A$336,1),MATCH($D$9,'Tipos BdE'!$B$6:$M$6,0)),0))</f>
      </c>
      <c r="M301" s="13" t="str">
        <f t="shared" si="35"/>
      </c>
      <c r="N301" s="13" t="str">
        <f t="shared" si="36"/>
      </c>
      <c r="O301" s="14" t="str">
        <f t="shared" si="37"/>
      </c>
      <c r="P301" s="14" t="str">
        <f>IF(H301="","",$D$5+SUM($O$5:O301))</f>
      </c>
    </row>
    <row r="302" spans="7:16" x14ac:dyDescent="0.35">
      <c r="G302" s="11" t="str">
        <f t="shared" si="32"/>
      </c>
      <c r="H302" s="12" t="str">
        <f t="shared" si="38"/>
      </c>
      <c r="I302" s="12" t="str">
        <f t="shared" si="33"/>
      </c>
      <c r="J302" s="11" t="str">
        <f t="shared" si="34"/>
      </c>
      <c r="K302" s="12" t="str">
        <f t="shared" si="39"/>
      </c>
      <c r="L302" s="13" t="str">
        <f>IF(H302="","",IFERROR(INDEX('Tipos BdE'!$B$7:$M$336,MATCH(DATE(YEAR(K302),MONTH(K302),1),'Tipos BdE'!$A$7:$A$336,1),MATCH($D$9,'Tipos BdE'!$B$6:$M$6,0)),0))</f>
      </c>
      <c r="M302" s="13" t="str">
        <f t="shared" si="35"/>
      </c>
      <c r="N302" s="13" t="str">
        <f t="shared" si="36"/>
      </c>
      <c r="O302" s="14" t="str">
        <f t="shared" si="37"/>
      </c>
      <c r="P302" s="14" t="str">
        <f>IF(H302="","",$D$5+SUM($O$5:O302))</f>
      </c>
    </row>
    <row r="303" spans="7:16" x14ac:dyDescent="0.35">
      <c r="G303" s="11" t="str">
        <f t="shared" si="32"/>
      </c>
      <c r="H303" s="12" t="str">
        <f t="shared" si="38"/>
      </c>
      <c r="I303" s="12" t="str">
        <f t="shared" si="33"/>
      </c>
      <c r="J303" s="11" t="str">
        <f t="shared" si="34"/>
      </c>
      <c r="K303" s="12" t="str">
        <f t="shared" si="39"/>
      </c>
      <c r="L303" s="13" t="str">
        <f>IF(H303="","",IFERROR(INDEX('Tipos BdE'!$B$7:$M$336,MATCH(DATE(YEAR(K303),MONTH(K303),1),'Tipos BdE'!$A$7:$A$336,1),MATCH($D$9,'Tipos BdE'!$B$6:$M$6,0)),0))</f>
      </c>
      <c r="M303" s="13" t="str">
        <f t="shared" si="35"/>
      </c>
      <c r="N303" s="13" t="str">
        <f t="shared" si="36"/>
      </c>
      <c r="O303" s="14" t="str">
        <f t="shared" si="37"/>
      </c>
      <c r="P303" s="14" t="str">
        <f>IF(H303="","",$D$5+SUM($O$5:O303))</f>
      </c>
    </row>
    <row r="304" spans="7:16" x14ac:dyDescent="0.35">
      <c r="G304" s="11" t="str">
        <f t="shared" si="32"/>
      </c>
      <c r="H304" s="12" t="str">
        <f t="shared" si="38"/>
      </c>
      <c r="I304" s="12" t="str">
        <f t="shared" si="33"/>
      </c>
      <c r="J304" s="11" t="str">
        <f t="shared" si="34"/>
      </c>
      <c r="K304" s="12" t="str">
        <f t="shared" si="39"/>
      </c>
      <c r="L304" s="13" t="str">
        <f>IF(H304="","",IFERROR(INDEX('Tipos BdE'!$B$7:$M$336,MATCH(DATE(YEAR(K304),MONTH(K304),1),'Tipos BdE'!$A$7:$A$336,1),MATCH($D$9,'Tipos BdE'!$B$6:$M$6,0)),0))</f>
      </c>
      <c r="M304" s="13" t="str">
        <f t="shared" si="35"/>
      </c>
      <c r="N304" s="13" t="str">
        <f t="shared" si="36"/>
      </c>
      <c r="O304" s="14" t="str">
        <f t="shared" si="37"/>
      </c>
      <c r="P304" s="14" t="str">
        <f>IF(H304="","",$D$5+SUM($O$5:O304))</f>
      </c>
    </row>
  </sheetData>
  <mergeCells count="38">
    <mergeCell ref="A24:C24"/>
    <mergeCell ref="D12:E12"/>
    <mergeCell ref="D8:E8"/>
    <mergeCell ref="A4:E4"/>
    <mergeCell ref="A11:C11"/>
    <mergeCell ref="A20:E20"/>
    <mergeCell ref="D24:E24"/>
    <mergeCell ref="D15:E15"/>
    <mergeCell ref="D5:E5"/>
    <mergeCell ref="A6:C6"/>
    <mergeCell ref="D23:E23"/>
    <mergeCell ref="D14:E14"/>
    <mergeCell ref="A7:C7"/>
    <mergeCell ref="A16:C16"/>
    <mergeCell ref="A1:P1"/>
    <mergeCell ref="A9:C9"/>
    <mergeCell ref="D18:E18"/>
    <mergeCell ref="A15:C15"/>
    <mergeCell ref="D9:E9"/>
    <mergeCell ref="A2:P2"/>
    <mergeCell ref="D6:E6"/>
    <mergeCell ref="A5:C5"/>
    <mergeCell ref="A23:C23"/>
    <mergeCell ref="D11:E11"/>
    <mergeCell ref="A8:C8"/>
    <mergeCell ref="D13:E13"/>
    <mergeCell ref="A14:C14"/>
    <mergeCell ref="A17:C17"/>
    <mergeCell ref="D17:E17"/>
    <mergeCell ref="A10:C10"/>
    <mergeCell ref="D16:E16"/>
    <mergeCell ref="A13:C13"/>
    <mergeCell ref="D7:E7"/>
    <mergeCell ref="D10:E10"/>
    <mergeCell ref="A18:C18"/>
    <mergeCell ref="A21:C21"/>
    <mergeCell ref="A12:C12"/>
    <mergeCell ref="D21:E21"/>
  </mergeCells>
  <pageMargins left="0.25" right="0.25" top="0.75" bottom="0.75" header="0.3" footer="0.3"/>
  <pageSetup paperSize="9" scale="58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79998168889431442"/>
    <pageSetUpPr fitToPage="1"/>
  </sheetPr>
  <dimension ref="A1:P304"/>
  <sheetViews>
    <sheetView workbookViewId="0"/>
  </sheetViews>
  <sheetFormatPr defaultRowHeight="14.5" x14ac:dyDescent="0.35"/>
  <cols>
    <col min="1" max="1" width="26" customWidth="1"/>
    <col min="2" max="3" width="3" customWidth="1"/>
    <col min="4" max="4" width="11" customWidth="1"/>
    <col min="5" max="5" width="7.26953125" customWidth="1"/>
    <col min="6" max="6" width="2" customWidth="1"/>
    <col min="7" max="7" width="6" customWidth="1"/>
    <col min="8" max="9" width="13" customWidth="1"/>
    <col min="10" max="10" width="7" customWidth="1"/>
    <col min="11" max="11" width="13" customWidth="1"/>
    <col min="12" max="14" width="12" customWidth="1"/>
    <col min="15" max="15" width="14" customWidth="1"/>
    <col min="16" max="16" width="16" customWidth="1"/>
  </cols>
  <sheetData>
    <row r="1" spans="1:16" ht="15.75" customHeight="1" x14ac:dyDescent="0.35">
      <c r="A1" s="184" t="s">
        <v>160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 x14ac:dyDescent="0.35">
      <c r="A2" s="187" t="s">
        <v>161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4" spans="1:16" ht="26.15" customHeight="1" x14ac:dyDescent="0.35">
      <c r="A4" s="152" t="s">
        <v>162</v>
      </c>
      <c r="B4" s="147"/>
      <c r="C4" s="147"/>
      <c r="D4" s="147"/>
      <c r="E4" s="148"/>
      <c r="G4" s="4" t="s">
        <v>163</v>
      </c>
      <c r="H4" s="4" t="s">
        <v>164</v>
      </c>
      <c r="I4" s="4" t="s">
        <v>165</v>
      </c>
      <c r="J4" s="4" t="s">
        <v>166</v>
      </c>
      <c r="K4" s="4" t="s">
        <v>167</v>
      </c>
      <c r="L4" s="4" t="s">
        <v>168</v>
      </c>
      <c r="M4" s="4" t="s">
        <v>169</v>
      </c>
      <c r="N4" s="4" t="s">
        <v>170</v>
      </c>
      <c r="O4" s="4" t="s">
        <v>171</v>
      </c>
      <c r="P4" s="4" t="s">
        <v>172</v>
      </c>
    </row>
    <row r="5" spans="1:16" x14ac:dyDescent="0.35">
      <c r="A5" s="146" t="s">
        <v>57</v>
      </c>
      <c r="B5" s="147"/>
      <c r="C5" s="148"/>
      <c r="D5" s="167">
        <f>'Informe Subasta'!$D$10</f>
      </c>
      <c r="E5" s="148"/>
      <c r="G5" s="11">
        <f t="shared" ref="G5:G68" si="0">IF(H5="","",ROW()-4)</f>
      </c>
      <c r="H5" s="12">
        <f>$D$6</f>
      </c>
      <c r="I5" s="12">
        <f t="shared" ref="I5:I68" si="1">IF(H5="","",MIN(IF($D$18="LEGAL",DATE(YEAR(H5)+1,1,1),EDATE($D$12,$D$11*(INT((((YEAR(H5)-YEAR($D$12))*12+(MONTH(H5)-MONTH($D$12))-IF(DAY(H5)&lt;DAY($D$12),1,0))/$D$11))+1))),$D$7))</f>
      </c>
      <c r="J5" s="11">
        <f t="shared" ref="J5:J68" si="2">IF(H5="","",I5-H5)</f>
      </c>
      <c r="K5" s="12">
        <f>IF(H5="","",IF($D$18="LEGAL",H5,EDATE($D$12,-$D$13)))</f>
      </c>
      <c r="L5" s="13">
        <f>IF(H5="","",IFERROR(INDEX('Tipos BdE'!$B$7:$M$336,MATCH(DATE(YEAR(K5),MONTH(K5),1),'Tipos BdE'!$A$7:$A$336,1),MATCH($D$9,'Tipos BdE'!$B$6:$M$6,0)),0))</f>
      </c>
      <c r="M5" s="13">
        <f t="shared" ref="M5:M68" si="3">IF(H5="","",IF($D$18="LEGAL",0,$D$10))</f>
      </c>
      <c r="N5" s="13">
        <f t="shared" ref="N5:N68" si="4">IF(H5="","",IF(AND($D$14="Sí",(L5+M5)&lt;0),0,L5+M5))</f>
      </c>
      <c r="O5" s="14">
        <f t="shared" ref="O5:O68" si="5">IF(H5="","",$D$5*N5*J5/36500)</f>
      </c>
      <c r="P5" s="14">
        <f>IF(H5="","",$D$5+SUM($O$5:O5))</f>
      </c>
    </row>
    <row r="6" spans="1:16" x14ac:dyDescent="0.35">
      <c r="A6" s="146" t="s">
        <v>173</v>
      </c>
      <c r="B6" s="147"/>
      <c r="C6" s="148"/>
      <c r="D6" s="182">
        <f>'Informe Subasta'!$D$15</f>
      </c>
      <c r="E6" s="148"/>
      <c r="G6" s="11">
        <f t="shared" si="0"/>
      </c>
      <c r="H6" s="12">
        <f t="shared" ref="H6:H69" si="6">IF(OR(I5="",I5&gt;=$D$7),"",I5)</f>
      </c>
      <c r="I6" s="12">
        <f t="shared" si="1"/>
      </c>
      <c r="J6" s="11">
        <f t="shared" si="2"/>
      </c>
      <c r="K6" s="12">
        <f t="shared" ref="K6:K69" si="7">IF(H6="","",IF($D$18="LEGAL",H6,EDATE(H6,-$D$13)))</f>
      </c>
      <c r="L6" s="13">
        <f>IF(H6="","",IFERROR(INDEX('Tipos BdE'!$B$7:$M$336,MATCH(DATE(YEAR(K6),MONTH(K6),1),'Tipos BdE'!$A$7:$A$336,1),MATCH($D$9,'Tipos BdE'!$B$6:$M$6,0)),0))</f>
      </c>
      <c r="M6" s="13">
        <f t="shared" si="3"/>
      </c>
      <c r="N6" s="13">
        <f t="shared" si="4"/>
      </c>
      <c r="O6" s="14">
        <f t="shared" si="5"/>
      </c>
      <c r="P6" s="14">
        <f>IF(H6="","",$D$5+SUM($O$5:O6))</f>
      </c>
    </row>
    <row r="7" spans="1:16" x14ac:dyDescent="0.35">
      <c r="A7" s="146" t="s">
        <v>77</v>
      </c>
      <c r="B7" s="147"/>
      <c r="C7" s="148"/>
      <c r="D7" s="182">
        <f>'Informe Subasta'!$D$16</f>
      </c>
      <c r="E7" s="148"/>
      <c r="G7" s="11">
        <f t="shared" si="0"/>
      </c>
      <c r="H7" s="12">
        <f t="shared" si="6"/>
      </c>
      <c r="I7" s="12">
        <f t="shared" si="1"/>
      </c>
      <c r="J7" s="11">
        <f t="shared" si="2"/>
      </c>
      <c r="K7" s="12">
        <f t="shared" si="7"/>
      </c>
      <c r="L7" s="13">
        <f>IF(H7="","",IFERROR(INDEX('Tipos BdE'!$B$7:$M$336,MATCH(DATE(YEAR(K7),MONTH(K7),1),'Tipos BdE'!$A$7:$A$336,1),MATCH($D$9,'Tipos BdE'!$B$6:$M$6,0)),0))</f>
      </c>
      <c r="M7" s="13">
        <f t="shared" si="3"/>
      </c>
      <c r="N7" s="13">
        <f t="shared" si="4"/>
      </c>
      <c r="O7" s="14">
        <f t="shared" si="5"/>
      </c>
      <c r="P7" s="14">
        <f>IF(H7="","",$D$5+SUM($O$5:O7))</f>
      </c>
    </row>
    <row r="8" spans="1:16" x14ac:dyDescent="0.35">
      <c r="A8" s="146" t="s">
        <v>87</v>
      </c>
      <c r="B8" s="147"/>
      <c r="C8" s="148"/>
      <c r="D8" s="175" t="str">
        <f>'Informe Subasta'!$D$20</f>
      </c>
      <c r="E8" s="148"/>
      <c r="G8" s="11">
        <f t="shared" si="0"/>
      </c>
      <c r="H8" s="12">
        <f t="shared" si="6"/>
      </c>
      <c r="I8" s="12">
        <f t="shared" si="1"/>
      </c>
      <c r="J8" s="11">
        <f t="shared" si="2"/>
      </c>
      <c r="K8" s="12">
        <f t="shared" si="7"/>
      </c>
      <c r="L8" s="13">
        <f>IF(H8="","",IFERROR(INDEX('Tipos BdE'!$B$7:$M$336,MATCH(DATE(YEAR(K8),MONTH(K8),1),'Tipos BdE'!$A$7:$A$336,1),MATCH($D$9,'Tipos BdE'!$B$6:$M$6,0)),0))</f>
      </c>
      <c r="M8" s="13">
        <f t="shared" si="3"/>
      </c>
      <c r="N8" s="13">
        <f t="shared" si="4"/>
      </c>
      <c r="O8" s="14">
        <f t="shared" si="5"/>
      </c>
      <c r="P8" s="14">
        <f>IF(H8="","",$D$5+SUM($O$5:O8))</f>
      </c>
    </row>
    <row r="9" spans="1:16" x14ac:dyDescent="0.35">
      <c r="A9" s="146" t="s">
        <v>88</v>
      </c>
      <c r="B9" s="147"/>
      <c r="C9" s="148"/>
      <c r="D9" s="175" t="str">
        <f>'Informe Subasta'!$K$20</f>
      </c>
      <c r="E9" s="148"/>
      <c r="G9" s="11">
        <f t="shared" si="0"/>
      </c>
      <c r="H9" s="12">
        <f t="shared" si="6"/>
      </c>
      <c r="I9" s="12">
        <f t="shared" si="1"/>
      </c>
      <c r="J9" s="11">
        <f t="shared" si="2"/>
      </c>
      <c r="K9" s="12">
        <f t="shared" si="7"/>
      </c>
      <c r="L9" s="13">
        <f>IF(H9="","",IFERROR(INDEX('Tipos BdE'!$B$7:$M$336,MATCH(DATE(YEAR(K9),MONTH(K9),1),'Tipos BdE'!$A$7:$A$336,1),MATCH($D$9,'Tipos BdE'!$B$6:$M$6,0)),0))</f>
      </c>
      <c r="M9" s="13">
        <f t="shared" si="3"/>
      </c>
      <c r="N9" s="13">
        <f t="shared" si="4"/>
      </c>
      <c r="O9" s="14">
        <f t="shared" si="5"/>
      </c>
      <c r="P9" s="14">
        <f>IF(H9="","",$D$5+SUM($O$5:O9))</f>
      </c>
    </row>
    <row r="10" spans="1:16" x14ac:dyDescent="0.35">
      <c r="A10" s="146" t="s">
        <v>94</v>
      </c>
      <c r="B10" s="147"/>
      <c r="C10" s="148"/>
      <c r="D10" s="173">
        <f>'Informe Subasta'!$K$21+3</f>
      </c>
      <c r="E10" s="148"/>
      <c r="G10" s="11">
        <f t="shared" si="0"/>
      </c>
      <c r="H10" s="12">
        <f t="shared" si="6"/>
      </c>
      <c r="I10" s="12">
        <f t="shared" si="1"/>
      </c>
      <c r="J10" s="11">
        <f t="shared" si="2"/>
      </c>
      <c r="K10" s="12">
        <f t="shared" si="7"/>
      </c>
      <c r="L10" s="13">
        <f>IF(H10="","",IFERROR(INDEX('Tipos BdE'!$B$7:$M$336,MATCH(DATE(YEAR(K10),MONTH(K10),1),'Tipos BdE'!$A$7:$A$336,1),MATCH($D$9,'Tipos BdE'!$B$6:$M$6,0)),0))</f>
      </c>
      <c r="M10" s="13">
        <f t="shared" si="3"/>
      </c>
      <c r="N10" s="13">
        <f t="shared" si="4"/>
      </c>
      <c r="O10" s="14">
        <f t="shared" si="5"/>
      </c>
      <c r="P10" s="14">
        <f>IF(H10="","",$D$5+SUM($O$5:O10))</f>
      </c>
    </row>
    <row r="11" spans="1:16" x14ac:dyDescent="0.35">
      <c r="A11" s="146" t="s">
        <v>97</v>
      </c>
      <c r="B11" s="147"/>
      <c r="C11" s="148"/>
      <c r="D11" s="175">
        <f>'Informe Subasta'!$K$22</f>
      </c>
      <c r="E11" s="148"/>
      <c r="G11" s="11">
        <f t="shared" si="0"/>
      </c>
      <c r="H11" s="12">
        <f t="shared" si="6"/>
      </c>
      <c r="I11" s="12">
        <f t="shared" si="1"/>
      </c>
      <c r="J11" s="11">
        <f t="shared" si="2"/>
      </c>
      <c r="K11" s="12">
        <f t="shared" si="7"/>
      </c>
      <c r="L11" s="13">
        <f>IF(H11="","",IFERROR(INDEX('Tipos BdE'!$B$7:$M$336,MATCH(DATE(YEAR(K11),MONTH(K11),1),'Tipos BdE'!$A$7:$A$336,1),MATCH($D$9,'Tipos BdE'!$B$6:$M$6,0)),0))</f>
      </c>
      <c r="M11" s="13">
        <f t="shared" si="3"/>
      </c>
      <c r="N11" s="13">
        <f t="shared" si="4"/>
      </c>
      <c r="O11" s="14">
        <f t="shared" si="5"/>
      </c>
      <c r="P11" s="14">
        <f>IF(H11="","",$D$5+SUM($O$5:O11))</f>
      </c>
    </row>
    <row r="12" spans="1:16" x14ac:dyDescent="0.35">
      <c r="A12" s="146" t="s">
        <v>100</v>
      </c>
      <c r="B12" s="147"/>
      <c r="C12" s="148"/>
      <c r="D12" s="182">
        <f>'Informe Subasta'!$K$23</f>
      </c>
      <c r="E12" s="148"/>
      <c r="G12" s="11">
        <f t="shared" si="0"/>
      </c>
      <c r="H12" s="12">
        <f t="shared" si="6"/>
      </c>
      <c r="I12" s="12">
        <f t="shared" si="1"/>
      </c>
      <c r="J12" s="11">
        <f t="shared" si="2"/>
      </c>
      <c r="K12" s="12">
        <f t="shared" si="7"/>
      </c>
      <c r="L12" s="13">
        <f>IF(H12="","",IFERROR(INDEX('Tipos BdE'!$B$7:$M$336,MATCH(DATE(YEAR(K12),MONTH(K12),1),'Tipos BdE'!$A$7:$A$336,1),MATCH($D$9,'Tipos BdE'!$B$6:$M$6,0)),0))</f>
      </c>
      <c r="M12" s="13">
        <f t="shared" si="3"/>
      </c>
      <c r="N12" s="13">
        <f t="shared" si="4"/>
      </c>
      <c r="O12" s="14">
        <f t="shared" si="5"/>
      </c>
      <c r="P12" s="14">
        <f>IF(H12="","",$D$5+SUM($O$5:O12))</f>
      </c>
    </row>
    <row r="13" spans="1:16" x14ac:dyDescent="0.35">
      <c r="A13" s="146" t="s">
        <v>104</v>
      </c>
      <c r="B13" s="147"/>
      <c r="C13" s="148"/>
      <c r="D13" s="175">
        <f>'Informe Subasta'!$K$24</f>
      </c>
      <c r="E13" s="148"/>
      <c r="G13" s="11">
        <f t="shared" si="0"/>
      </c>
      <c r="H13" s="12">
        <f t="shared" si="6"/>
      </c>
      <c r="I13" s="12">
        <f t="shared" si="1"/>
      </c>
      <c r="J13" s="11">
        <f t="shared" si="2"/>
      </c>
      <c r="K13" s="12">
        <f t="shared" si="7"/>
      </c>
      <c r="L13" s="13">
        <f>IF(H13="","",IFERROR(INDEX('Tipos BdE'!$B$7:$M$336,MATCH(DATE(YEAR(K13),MONTH(K13),1),'Tipos BdE'!$A$7:$A$336,1),MATCH($D$9,'Tipos BdE'!$B$6:$M$6,0)),0))</f>
      </c>
      <c r="M13" s="13">
        <f t="shared" si="3"/>
      </c>
      <c r="N13" s="13">
        <f t="shared" si="4"/>
      </c>
      <c r="O13" s="14">
        <f t="shared" si="5"/>
      </c>
      <c r="P13" s="14">
        <f>IF(H13="","",$D$5+SUM($O$5:O13))</f>
      </c>
    </row>
    <row r="14" spans="1:16" x14ac:dyDescent="0.35">
      <c r="A14" s="146" t="s">
        <v>102</v>
      </c>
      <c r="B14" s="147"/>
      <c r="C14" s="148"/>
      <c r="D14" s="175" t="str">
        <f>'Informe Subasta'!$D$24</f>
      </c>
      <c r="E14" s="148"/>
      <c r="G14" s="11">
        <f t="shared" si="0"/>
      </c>
      <c r="H14" s="12">
        <f t="shared" si="6"/>
      </c>
      <c r="I14" s="12">
        <f t="shared" si="1"/>
      </c>
      <c r="J14" s="11">
        <f t="shared" si="2"/>
      </c>
      <c r="K14" s="12">
        <f t="shared" si="7"/>
      </c>
      <c r="L14" s="13">
        <f>IF(H14="","",IFERROR(INDEX('Tipos BdE'!$B$7:$M$336,MATCH(DATE(YEAR(K14),MONTH(K14),1),'Tipos BdE'!$A$7:$A$336,1),MATCH($D$9,'Tipos BdE'!$B$6:$M$6,0)),0))</f>
      </c>
      <c r="M14" s="13">
        <f t="shared" si="3"/>
      </c>
      <c r="N14" s="13">
        <f t="shared" si="4"/>
      </c>
      <c r="O14" s="14">
        <f t="shared" si="5"/>
      </c>
      <c r="P14" s="14">
        <f>IF(H14="","",$D$5+SUM($O$5:O14))</f>
      </c>
    </row>
    <row r="15" spans="1:16" x14ac:dyDescent="0.35">
      <c r="A15" s="146" t="s">
        <v>174</v>
      </c>
      <c r="B15" s="147"/>
      <c r="C15" s="148"/>
      <c r="D15" s="175" t="str">
        <f>'Informe Subasta'!$D$21</f>
      </c>
      <c r="E15" s="148"/>
      <c r="G15" s="11">
        <f t="shared" si="0"/>
      </c>
      <c r="H15" s="12">
        <f t="shared" si="6"/>
      </c>
      <c r="I15" s="12">
        <f t="shared" si="1"/>
      </c>
      <c r="J15" s="11">
        <f t="shared" si="2"/>
      </c>
      <c r="K15" s="12">
        <f t="shared" si="7"/>
      </c>
      <c r="L15" s="13">
        <f>IF(H15="","",IFERROR(INDEX('Tipos BdE'!$B$7:$M$336,MATCH(DATE(YEAR(K15),MONTH(K15),1),'Tipos BdE'!$A$7:$A$336,1),MATCH($D$9,'Tipos BdE'!$B$6:$M$6,0)),0))</f>
      </c>
      <c r="M15" s="13">
        <f t="shared" si="3"/>
      </c>
      <c r="N15" s="13">
        <f t="shared" si="4"/>
      </c>
      <c r="O15" s="14">
        <f t="shared" si="5"/>
      </c>
      <c r="P15" s="14">
        <f>IF(H15="","",$D$5+SUM($O$5:O15))</f>
      </c>
    </row>
    <row r="16" spans="1:16" x14ac:dyDescent="0.35">
      <c r="A16" s="146" t="s">
        <v>96</v>
      </c>
      <c r="B16" s="147"/>
      <c r="C16" s="148"/>
      <c r="D16" s="183">
        <f>'Informe Subasta'!$D$22</f>
      </c>
      <c r="E16" s="148"/>
      <c r="G16" s="11">
        <f t="shared" si="0"/>
      </c>
      <c r="H16" s="12">
        <f t="shared" si="6"/>
      </c>
      <c r="I16" s="12">
        <f t="shared" si="1"/>
      </c>
      <c r="J16" s="11">
        <f t="shared" si="2"/>
      </c>
      <c r="K16" s="12">
        <f t="shared" si="7"/>
      </c>
      <c r="L16" s="13">
        <f>IF(H16="","",IFERROR(INDEX('Tipos BdE'!$B$7:$M$336,MATCH(DATE(YEAR(K16),MONTH(K16),1),'Tipos BdE'!$A$7:$A$336,1),MATCH($D$9,'Tipos BdE'!$B$6:$M$6,0)),0))</f>
      </c>
      <c r="M16" s="13">
        <f t="shared" si="3"/>
      </c>
      <c r="N16" s="13">
        <f t="shared" si="4"/>
      </c>
      <c r="O16" s="14">
        <f t="shared" si="5"/>
      </c>
      <c r="P16" s="14">
        <f>IF(H16="","",$D$5+SUM($O$5:O16))</f>
      </c>
    </row>
    <row r="17" spans="1:16" x14ac:dyDescent="0.35">
      <c r="A17" s="146" t="s">
        <v>99</v>
      </c>
      <c r="B17" s="147"/>
      <c r="C17" s="148"/>
      <c r="D17" s="183">
        <f>'Informe Subasta'!$D$23</f>
      </c>
      <c r="E17" s="148"/>
      <c r="G17" s="11">
        <f t="shared" si="0"/>
      </c>
      <c r="H17" s="12">
        <f t="shared" si="6"/>
      </c>
      <c r="I17" s="12">
        <f t="shared" si="1"/>
      </c>
      <c r="J17" s="11">
        <f t="shared" si="2"/>
      </c>
      <c r="K17" s="12">
        <f t="shared" si="7"/>
      </c>
      <c r="L17" s="13">
        <f>IF(H17="","",IFERROR(INDEX('Tipos BdE'!$B$7:$M$336,MATCH(DATE(YEAR(K17),MONTH(K17),1),'Tipos BdE'!$A$7:$A$336,1),MATCH($D$9,'Tipos BdE'!$B$6:$M$6,0)),0))</f>
      </c>
      <c r="M17" s="13">
        <f t="shared" si="3"/>
      </c>
      <c r="N17" s="13">
        <f t="shared" si="4"/>
      </c>
      <c r="O17" s="14">
        <f t="shared" si="5"/>
      </c>
      <c r="P17" s="14">
        <f>IF(H17="","",$D$5+SUM($O$5:O17))</f>
      </c>
    </row>
    <row r="18" spans="1:16" x14ac:dyDescent="0.35">
      <c r="A18" s="146" t="s">
        <v>175</v>
      </c>
      <c r="B18" s="147"/>
      <c r="C18" s="148"/>
      <c r="D18" s="185" t="str">
        <f>IF(OR(ISNUMBER(SEARCH("legal",$D$9)),ISNUMBER(SEARCH("demora",$D$9)),ISNUMBER(SEARCH("mora procesal",$D$9)),ISNUMBER(SEARCH("576",$D$9))),"LEGAL","VARIABLE")</f>
      </c>
      <c r="E18" s="148"/>
      <c r="G18" s="11">
        <f t="shared" si="0"/>
      </c>
      <c r="H18" s="12">
        <f t="shared" si="6"/>
      </c>
      <c r="I18" s="12">
        <f t="shared" si="1"/>
      </c>
      <c r="J18" s="11">
        <f t="shared" si="2"/>
      </c>
      <c r="K18" s="12">
        <f t="shared" si="7"/>
      </c>
      <c r="L18" s="13">
        <f>IF(H18="","",IFERROR(INDEX('Tipos BdE'!$B$7:$M$336,MATCH(DATE(YEAR(K18),MONTH(K18),1),'Tipos BdE'!$A$7:$A$336,1),MATCH($D$9,'Tipos BdE'!$B$6:$M$6,0)),0))</f>
      </c>
      <c r="M18" s="13">
        <f t="shared" si="3"/>
      </c>
      <c r="N18" s="13">
        <f t="shared" si="4"/>
      </c>
      <c r="O18" s="14">
        <f t="shared" si="5"/>
      </c>
      <c r="P18" s="14">
        <f>IF(H18="","",$D$5+SUM($O$5:O18))</f>
      </c>
    </row>
    <row r="19" spans="1:16" x14ac:dyDescent="0.35">
      <c r="G19" s="11">
        <f t="shared" si="0"/>
      </c>
      <c r="H19" s="12">
        <f t="shared" si="6"/>
      </c>
      <c r="I19" s="12">
        <f t="shared" si="1"/>
      </c>
      <c r="J19" s="11">
        <f t="shared" si="2"/>
      </c>
      <c r="K19" s="12">
        <f t="shared" si="7"/>
      </c>
      <c r="L19" s="13">
        <f>IF(H19="","",IFERROR(INDEX('Tipos BdE'!$B$7:$M$336,MATCH(DATE(YEAR(K19),MONTH(K19),1),'Tipos BdE'!$A$7:$A$336,1),MATCH($D$9,'Tipos BdE'!$B$6:$M$6,0)),0))</f>
      </c>
      <c r="M19" s="13">
        <f t="shared" si="3"/>
      </c>
      <c r="N19" s="13">
        <f t="shared" si="4"/>
      </c>
      <c r="O19" s="14">
        <f t="shared" si="5"/>
      </c>
      <c r="P19" s="14">
        <f>IF(H19="","",$D$5+SUM($O$5:O19))</f>
      </c>
    </row>
    <row r="20" spans="1:16" x14ac:dyDescent="0.35">
      <c r="A20" s="152" t="s">
        <v>176</v>
      </c>
      <c r="B20" s="147"/>
      <c r="C20" s="147"/>
      <c r="D20" s="147"/>
      <c r="E20" s="148"/>
      <c r="G20" s="11">
        <f t="shared" si="0"/>
      </c>
      <c r="H20" s="12">
        <f t="shared" si="6"/>
      </c>
      <c r="I20" s="12">
        <f t="shared" si="1"/>
      </c>
      <c r="J20" s="11">
        <f t="shared" si="2"/>
      </c>
      <c r="K20" s="12">
        <f t="shared" si="7"/>
      </c>
      <c r="L20" s="13">
        <f>IF(H20="","",IFERROR(INDEX('Tipos BdE'!$B$7:$M$336,MATCH(DATE(YEAR(K20),MONTH(K20),1),'Tipos BdE'!$A$7:$A$336,1),MATCH($D$9,'Tipos BdE'!$B$6:$M$6,0)),0))</f>
      </c>
      <c r="M20" s="13">
        <f t="shared" si="3"/>
      </c>
      <c r="N20" s="13">
        <f t="shared" si="4"/>
      </c>
      <c r="O20" s="14">
        <f t="shared" si="5"/>
      </c>
      <c r="P20" s="14">
        <f>IF(H20="","",$D$5+SUM($O$5:O20))</f>
      </c>
    </row>
    <row r="21" spans="1:16" x14ac:dyDescent="0.35">
      <c r="A21" s="146" t="s">
        <v>177</v>
      </c>
      <c r="B21" s="147"/>
      <c r="C21" s="148"/>
      <c r="D21" s="181">
        <f>IF($D$8="FIJO",($D$7-$D$6)*IF($D$15="Y",$D$16,$D$17)*$D$5/365,SUM($O$5:$O$304))</f>
      </c>
      <c r="E21" s="164"/>
      <c r="G21" s="11">
        <f t="shared" si="0"/>
      </c>
      <c r="H21" s="12">
        <f t="shared" si="6"/>
      </c>
      <c r="I21" s="12">
        <f t="shared" si="1"/>
      </c>
      <c r="J21" s="11">
        <f t="shared" si="2"/>
      </c>
      <c r="K21" s="12">
        <f t="shared" si="7"/>
      </c>
      <c r="L21" s="13">
        <f>IF(H21="","",IFERROR(INDEX('Tipos BdE'!$B$7:$M$336,MATCH(DATE(YEAR(K21),MONTH(K21),1),'Tipos BdE'!$A$7:$A$336,1),MATCH($D$9,'Tipos BdE'!$B$6:$M$6,0)),0))</f>
      </c>
      <c r="M21" s="13">
        <f t="shared" si="3"/>
      </c>
      <c r="N21" s="13">
        <f t="shared" si="4"/>
      </c>
      <c r="O21" s="14">
        <f t="shared" si="5"/>
      </c>
      <c r="P21" s="14">
        <f>IF(H21="","",$D$5+SUM($O$5:O21))</f>
      </c>
    </row>
    <row r="22" spans="1:16" x14ac:dyDescent="0.35">
      <c r="A22" s="72"/>
      <c r="D22" s="73"/>
      <c r="G22" s="11" t="str">
        <f t="shared" si="0"/>
      </c>
      <c r="H22" s="12" t="str">
        <f t="shared" si="6"/>
      </c>
      <c r="I22" s="12" t="str">
        <f t="shared" si="1"/>
      </c>
      <c r="J22" s="11" t="str">
        <f t="shared" si="2"/>
      </c>
      <c r="K22" s="12" t="str">
        <f t="shared" si="7"/>
      </c>
      <c r="L22" s="13" t="str">
        <f>IF(H22="","",IFERROR(INDEX('Tipos BdE'!$B$7:$M$336,MATCH(DATE(YEAR(K22),MONTH(K22),1),'Tipos BdE'!$A$7:$A$336,1),MATCH($D$9,'Tipos BdE'!$B$6:$M$6,0)),0))</f>
      </c>
      <c r="M22" s="13" t="str">
        <f t="shared" si="3"/>
      </c>
      <c r="N22" s="13" t="str">
        <f t="shared" si="4"/>
      </c>
      <c r="O22" s="14" t="str">
        <f t="shared" si="5"/>
      </c>
      <c r="P22" s="14" t="str">
        <f>IF(H22="","",$D$5+SUM($O$5:O22))</f>
      </c>
    </row>
    <row r="23" spans="1:16" x14ac:dyDescent="0.35">
      <c r="A23" s="146" t="s">
        <v>178</v>
      </c>
      <c r="B23" s="147"/>
      <c r="C23" s="148"/>
      <c r="D23" s="171">
        <f>COUNT($J$5:$J$304)</f>
      </c>
      <c r="E23" s="148"/>
      <c r="G23" s="11" t="str">
        <f t="shared" si="0"/>
      </c>
      <c r="H23" s="12" t="str">
        <f t="shared" si="6"/>
      </c>
      <c r="I23" s="12" t="str">
        <f t="shared" si="1"/>
      </c>
      <c r="J23" s="11" t="str">
        <f t="shared" si="2"/>
      </c>
      <c r="K23" s="12" t="str">
        <f t="shared" si="7"/>
      </c>
      <c r="L23" s="13" t="str">
        <f>IF(H23="","",IFERROR(INDEX('Tipos BdE'!$B$7:$M$336,MATCH(DATE(YEAR(K23),MONTH(K23),1),'Tipos BdE'!$A$7:$A$336,1),MATCH($D$9,'Tipos BdE'!$B$6:$M$6,0)),0))</f>
      </c>
      <c r="M23" s="13" t="str">
        <f t="shared" si="3"/>
      </c>
      <c r="N23" s="13" t="str">
        <f t="shared" si="4"/>
      </c>
      <c r="O23" s="14" t="str">
        <f t="shared" si="5"/>
      </c>
      <c r="P23" s="14" t="str">
        <f>IF(H23="","",$D$5+SUM($O$5:O23))</f>
      </c>
    </row>
    <row r="24" spans="1:16" x14ac:dyDescent="0.35">
      <c r="A24" s="146" t="s">
        <v>179</v>
      </c>
      <c r="B24" s="147"/>
      <c r="C24" s="148"/>
      <c r="D24" s="186">
        <f>IFERROR($D$21*36500/($D$5*IF($D$8="FIJO",$D$7-$D$6,SUM($J$5:$J$304))),0)</f>
      </c>
      <c r="E24" s="148"/>
      <c r="G24" s="11" t="str">
        <f t="shared" si="0"/>
      </c>
      <c r="H24" s="12" t="str">
        <f t="shared" si="6"/>
      </c>
      <c r="I24" s="12" t="str">
        <f t="shared" si="1"/>
      </c>
      <c r="J24" s="11" t="str">
        <f t="shared" si="2"/>
      </c>
      <c r="K24" s="12" t="str">
        <f t="shared" si="7"/>
      </c>
      <c r="L24" s="13" t="str">
        <f>IF(H24="","",IFERROR(INDEX('Tipos BdE'!$B$7:$M$336,MATCH(DATE(YEAR(K24),MONTH(K24),1),'Tipos BdE'!$A$7:$A$336,1),MATCH($D$9,'Tipos BdE'!$B$6:$M$6,0)),0))</f>
      </c>
      <c r="M24" s="13" t="str">
        <f t="shared" si="3"/>
      </c>
      <c r="N24" s="13" t="str">
        <f t="shared" si="4"/>
      </c>
      <c r="O24" s="14" t="str">
        <f t="shared" si="5"/>
      </c>
      <c r="P24" s="14" t="str">
        <f>IF(H24="","",$D$5+SUM($O$5:O24))</f>
      </c>
    </row>
    <row r="25" spans="1:16" x14ac:dyDescent="0.35">
      <c r="G25" s="11" t="str">
        <f t="shared" si="0"/>
      </c>
      <c r="H25" s="12" t="str">
        <f t="shared" si="6"/>
      </c>
      <c r="I25" s="12" t="str">
        <f t="shared" si="1"/>
      </c>
      <c r="J25" s="11" t="str">
        <f t="shared" si="2"/>
      </c>
      <c r="K25" s="12" t="str">
        <f t="shared" si="7"/>
      </c>
      <c r="L25" s="13" t="str">
        <f>IF(H25="","",IFERROR(INDEX('Tipos BdE'!$B$7:$M$336,MATCH(DATE(YEAR(K25),MONTH(K25),1),'Tipos BdE'!$A$7:$A$336,1),MATCH($D$9,'Tipos BdE'!$B$6:$M$6,0)),0))</f>
      </c>
      <c r="M25" s="13" t="str">
        <f t="shared" si="3"/>
      </c>
      <c r="N25" s="13" t="str">
        <f t="shared" si="4"/>
      </c>
      <c r="O25" s="14" t="str">
        <f t="shared" si="5"/>
      </c>
      <c r="P25" s="14" t="str">
        <f>IF(H25="","",$D$5+SUM($O$5:O25))</f>
      </c>
    </row>
    <row r="26" spans="1:16" x14ac:dyDescent="0.35">
      <c r="G26" s="11" t="str">
        <f t="shared" si="0"/>
      </c>
      <c r="H26" s="12" t="str">
        <f t="shared" si="6"/>
      </c>
      <c r="I26" s="12" t="str">
        <f t="shared" si="1"/>
      </c>
      <c r="J26" s="11" t="str">
        <f t="shared" si="2"/>
      </c>
      <c r="K26" s="12" t="str">
        <f t="shared" si="7"/>
      </c>
      <c r="L26" s="13" t="str">
        <f>IF(H26="","",IFERROR(INDEX('Tipos BdE'!$B$7:$M$336,MATCH(DATE(YEAR(K26),MONTH(K26),1),'Tipos BdE'!$A$7:$A$336,1),MATCH($D$9,'Tipos BdE'!$B$6:$M$6,0)),0))</f>
      </c>
      <c r="M26" s="13" t="str">
        <f t="shared" si="3"/>
      </c>
      <c r="N26" s="13" t="str">
        <f t="shared" si="4"/>
      </c>
      <c r="O26" s="14" t="str">
        <f t="shared" si="5"/>
      </c>
      <c r="P26" s="14" t="str">
        <f>IF(H26="","",$D$5+SUM($O$5:O26))</f>
      </c>
    </row>
    <row r="27" spans="1:16" x14ac:dyDescent="0.35">
      <c r="G27" s="11" t="str">
        <f t="shared" si="0"/>
      </c>
      <c r="H27" s="12" t="str">
        <f t="shared" si="6"/>
      </c>
      <c r="I27" s="12" t="str">
        <f t="shared" si="1"/>
      </c>
      <c r="J27" s="11" t="str">
        <f t="shared" si="2"/>
      </c>
      <c r="K27" s="12" t="str">
        <f t="shared" si="7"/>
      </c>
      <c r="L27" s="13" t="str">
        <f>IF(H27="","",IFERROR(INDEX('Tipos BdE'!$B$7:$M$336,MATCH(DATE(YEAR(K27),MONTH(K27),1),'Tipos BdE'!$A$7:$A$336,1),MATCH($D$9,'Tipos BdE'!$B$6:$M$6,0)),0))</f>
      </c>
      <c r="M27" s="13" t="str">
        <f t="shared" si="3"/>
      </c>
      <c r="N27" s="13" t="str">
        <f t="shared" si="4"/>
      </c>
      <c r="O27" s="14" t="str">
        <f t="shared" si="5"/>
      </c>
      <c r="P27" s="14" t="str">
        <f>IF(H27="","",$D$5+SUM($O$5:O27))</f>
      </c>
    </row>
    <row r="28" spans="1:16" x14ac:dyDescent="0.35">
      <c r="G28" s="11" t="str">
        <f t="shared" si="0"/>
      </c>
      <c r="H28" s="12" t="str">
        <f t="shared" si="6"/>
      </c>
      <c r="I28" s="12" t="str">
        <f t="shared" si="1"/>
      </c>
      <c r="J28" s="11" t="str">
        <f t="shared" si="2"/>
      </c>
      <c r="K28" s="12" t="str">
        <f t="shared" si="7"/>
      </c>
      <c r="L28" s="13" t="str">
        <f>IF(H28="","",IFERROR(INDEX('Tipos BdE'!$B$7:$M$336,MATCH(DATE(YEAR(K28),MONTH(K28),1),'Tipos BdE'!$A$7:$A$336,1),MATCH($D$9,'Tipos BdE'!$B$6:$M$6,0)),0))</f>
      </c>
      <c r="M28" s="13" t="str">
        <f t="shared" si="3"/>
      </c>
      <c r="N28" s="13" t="str">
        <f t="shared" si="4"/>
      </c>
      <c r="O28" s="14" t="str">
        <f t="shared" si="5"/>
      </c>
      <c r="P28" s="14" t="str">
        <f>IF(H28="","",$D$5+SUM($O$5:O28))</f>
      </c>
    </row>
    <row r="29" spans="1:16" x14ac:dyDescent="0.35">
      <c r="G29" s="11" t="str">
        <f t="shared" si="0"/>
      </c>
      <c r="H29" s="12" t="str">
        <f t="shared" si="6"/>
      </c>
      <c r="I29" s="12" t="str">
        <f t="shared" si="1"/>
      </c>
      <c r="J29" s="11" t="str">
        <f t="shared" si="2"/>
      </c>
      <c r="K29" s="12" t="str">
        <f t="shared" si="7"/>
      </c>
      <c r="L29" s="13" t="str">
        <f>IF(H29="","",IFERROR(INDEX('Tipos BdE'!$B$7:$M$336,MATCH(DATE(YEAR(K29),MONTH(K29),1),'Tipos BdE'!$A$7:$A$336,1),MATCH($D$9,'Tipos BdE'!$B$6:$M$6,0)),0))</f>
      </c>
      <c r="M29" s="13" t="str">
        <f t="shared" si="3"/>
      </c>
      <c r="N29" s="13" t="str">
        <f t="shared" si="4"/>
      </c>
      <c r="O29" s="14" t="str">
        <f t="shared" si="5"/>
      </c>
      <c r="P29" s="14" t="str">
        <f>IF(H29="","",$D$5+SUM($O$5:O29))</f>
      </c>
    </row>
    <row r="30" spans="1:16" x14ac:dyDescent="0.35">
      <c r="G30" s="11" t="str">
        <f t="shared" si="0"/>
      </c>
      <c r="H30" s="12" t="str">
        <f t="shared" si="6"/>
      </c>
      <c r="I30" s="12" t="str">
        <f t="shared" si="1"/>
      </c>
      <c r="J30" s="11" t="str">
        <f t="shared" si="2"/>
      </c>
      <c r="K30" s="12" t="str">
        <f t="shared" si="7"/>
      </c>
      <c r="L30" s="13" t="str">
        <f>IF(H30="","",IFERROR(INDEX('Tipos BdE'!$B$7:$M$336,MATCH(DATE(YEAR(K30),MONTH(K30),1),'Tipos BdE'!$A$7:$A$336,1),MATCH($D$9,'Tipos BdE'!$B$6:$M$6,0)),0))</f>
      </c>
      <c r="M30" s="13" t="str">
        <f t="shared" si="3"/>
      </c>
      <c r="N30" s="13" t="str">
        <f t="shared" si="4"/>
      </c>
      <c r="O30" s="14" t="str">
        <f t="shared" si="5"/>
      </c>
      <c r="P30" s="14" t="str">
        <f>IF(H30="","",$D$5+SUM($O$5:O30))</f>
      </c>
    </row>
    <row r="31" spans="1:16" x14ac:dyDescent="0.35">
      <c r="G31" s="11" t="str">
        <f t="shared" si="0"/>
      </c>
      <c r="H31" s="12" t="str">
        <f t="shared" si="6"/>
      </c>
      <c r="I31" s="12" t="str">
        <f t="shared" si="1"/>
      </c>
      <c r="J31" s="11" t="str">
        <f t="shared" si="2"/>
      </c>
      <c r="K31" s="12" t="str">
        <f t="shared" si="7"/>
      </c>
      <c r="L31" s="13" t="str">
        <f>IF(H31="","",IFERROR(INDEX('Tipos BdE'!$B$7:$M$336,MATCH(DATE(YEAR(K31),MONTH(K31),1),'Tipos BdE'!$A$7:$A$336,1),MATCH($D$9,'Tipos BdE'!$B$6:$M$6,0)),0))</f>
      </c>
      <c r="M31" s="13" t="str">
        <f t="shared" si="3"/>
      </c>
      <c r="N31" s="13" t="str">
        <f t="shared" si="4"/>
      </c>
      <c r="O31" s="14" t="str">
        <f t="shared" si="5"/>
      </c>
      <c r="P31" s="14" t="str">
        <f>IF(H31="","",$D$5+SUM($O$5:O31))</f>
      </c>
    </row>
    <row r="32" spans="1:16" x14ac:dyDescent="0.35">
      <c r="G32" s="11" t="str">
        <f t="shared" si="0"/>
      </c>
      <c r="H32" s="12" t="str">
        <f t="shared" si="6"/>
      </c>
      <c r="I32" s="12" t="str">
        <f t="shared" si="1"/>
      </c>
      <c r="J32" s="11" t="str">
        <f t="shared" si="2"/>
      </c>
      <c r="K32" s="12" t="str">
        <f t="shared" si="7"/>
      </c>
      <c r="L32" s="13" t="str">
        <f>IF(H32="","",IFERROR(INDEX('Tipos BdE'!$B$7:$M$336,MATCH(DATE(YEAR(K32),MONTH(K32),1),'Tipos BdE'!$A$7:$A$336,1),MATCH($D$9,'Tipos BdE'!$B$6:$M$6,0)),0))</f>
      </c>
      <c r="M32" s="13" t="str">
        <f t="shared" si="3"/>
      </c>
      <c r="N32" s="13" t="str">
        <f t="shared" si="4"/>
      </c>
      <c r="O32" s="14" t="str">
        <f t="shared" si="5"/>
      </c>
      <c r="P32" s="14" t="str">
        <f>IF(H32="","",$D$5+SUM($O$5:O32))</f>
      </c>
    </row>
    <row r="33" spans="7:16" x14ac:dyDescent="0.35">
      <c r="G33" s="11" t="str">
        <f t="shared" si="0"/>
      </c>
      <c r="H33" s="12" t="str">
        <f t="shared" si="6"/>
      </c>
      <c r="I33" s="12" t="str">
        <f t="shared" si="1"/>
      </c>
      <c r="J33" s="11" t="str">
        <f t="shared" si="2"/>
      </c>
      <c r="K33" s="12" t="str">
        <f t="shared" si="7"/>
      </c>
      <c r="L33" s="13" t="str">
        <f>IF(H33="","",IFERROR(INDEX('Tipos BdE'!$B$7:$M$336,MATCH(DATE(YEAR(K33),MONTH(K33),1),'Tipos BdE'!$A$7:$A$336,1),MATCH($D$9,'Tipos BdE'!$B$6:$M$6,0)),0))</f>
      </c>
      <c r="M33" s="13" t="str">
        <f t="shared" si="3"/>
      </c>
      <c r="N33" s="13" t="str">
        <f t="shared" si="4"/>
      </c>
      <c r="O33" s="14" t="str">
        <f t="shared" si="5"/>
      </c>
      <c r="P33" s="14" t="str">
        <f>IF(H33="","",$D$5+SUM($O$5:O33))</f>
      </c>
    </row>
    <row r="34" spans="7:16" x14ac:dyDescent="0.35">
      <c r="G34" s="11" t="str">
        <f t="shared" si="0"/>
      </c>
      <c r="H34" s="12" t="str">
        <f t="shared" si="6"/>
      </c>
      <c r="I34" s="12" t="str">
        <f t="shared" si="1"/>
      </c>
      <c r="J34" s="11" t="str">
        <f t="shared" si="2"/>
      </c>
      <c r="K34" s="12" t="str">
        <f t="shared" si="7"/>
      </c>
      <c r="L34" s="13" t="str">
        <f>IF(H34="","",IFERROR(INDEX('Tipos BdE'!$B$7:$M$336,MATCH(DATE(YEAR(K34),MONTH(K34),1),'Tipos BdE'!$A$7:$A$336,1),MATCH($D$9,'Tipos BdE'!$B$6:$M$6,0)),0))</f>
      </c>
      <c r="M34" s="13" t="str">
        <f t="shared" si="3"/>
      </c>
      <c r="N34" s="13" t="str">
        <f t="shared" si="4"/>
      </c>
      <c r="O34" s="14" t="str">
        <f t="shared" si="5"/>
      </c>
      <c r="P34" s="14" t="str">
        <f>IF(H34="","",$D$5+SUM($O$5:O34))</f>
      </c>
    </row>
    <row r="35" spans="7:16" x14ac:dyDescent="0.35">
      <c r="G35" s="11" t="str">
        <f t="shared" si="0"/>
      </c>
      <c r="H35" s="12" t="str">
        <f t="shared" si="6"/>
      </c>
      <c r="I35" s="12" t="str">
        <f t="shared" si="1"/>
      </c>
      <c r="J35" s="11" t="str">
        <f t="shared" si="2"/>
      </c>
      <c r="K35" s="12" t="str">
        <f t="shared" si="7"/>
      </c>
      <c r="L35" s="13" t="str">
        <f>IF(H35="","",IFERROR(INDEX('Tipos BdE'!$B$7:$M$336,MATCH(DATE(YEAR(K35),MONTH(K35),1),'Tipos BdE'!$A$7:$A$336,1),MATCH($D$9,'Tipos BdE'!$B$6:$M$6,0)),0))</f>
      </c>
      <c r="M35" s="13" t="str">
        <f t="shared" si="3"/>
      </c>
      <c r="N35" s="13" t="str">
        <f t="shared" si="4"/>
      </c>
      <c r="O35" s="14" t="str">
        <f t="shared" si="5"/>
      </c>
      <c r="P35" s="14" t="str">
        <f>IF(H35="","",$D$5+SUM($O$5:O35))</f>
      </c>
    </row>
    <row r="36" spans="7:16" x14ac:dyDescent="0.35">
      <c r="G36" s="11" t="str">
        <f t="shared" si="0"/>
      </c>
      <c r="H36" s="12" t="str">
        <f t="shared" si="6"/>
      </c>
      <c r="I36" s="12" t="str">
        <f t="shared" si="1"/>
      </c>
      <c r="J36" s="11" t="str">
        <f t="shared" si="2"/>
      </c>
      <c r="K36" s="12" t="str">
        <f t="shared" si="7"/>
      </c>
      <c r="L36" s="13" t="str">
        <f>IF(H36="","",IFERROR(INDEX('Tipos BdE'!$B$7:$M$336,MATCH(DATE(YEAR(K36),MONTH(K36),1),'Tipos BdE'!$A$7:$A$336,1),MATCH($D$9,'Tipos BdE'!$B$6:$M$6,0)),0))</f>
      </c>
      <c r="M36" s="13" t="str">
        <f t="shared" si="3"/>
      </c>
      <c r="N36" s="13" t="str">
        <f t="shared" si="4"/>
      </c>
      <c r="O36" s="14" t="str">
        <f t="shared" si="5"/>
      </c>
      <c r="P36" s="14" t="str">
        <f>IF(H36="","",$D$5+SUM($O$5:O36))</f>
      </c>
    </row>
    <row r="37" spans="7:16" x14ac:dyDescent="0.35">
      <c r="G37" s="11" t="str">
        <f t="shared" si="0"/>
      </c>
      <c r="H37" s="12" t="str">
        <f t="shared" si="6"/>
      </c>
      <c r="I37" s="12" t="str">
        <f t="shared" si="1"/>
      </c>
      <c r="J37" s="11" t="str">
        <f t="shared" si="2"/>
      </c>
      <c r="K37" s="12" t="str">
        <f t="shared" si="7"/>
      </c>
      <c r="L37" s="13" t="str">
        <f>IF(H37="","",IFERROR(INDEX('Tipos BdE'!$B$7:$M$336,MATCH(DATE(YEAR(K37),MONTH(K37),1),'Tipos BdE'!$A$7:$A$336,1),MATCH($D$9,'Tipos BdE'!$B$6:$M$6,0)),0))</f>
      </c>
      <c r="M37" s="13" t="str">
        <f t="shared" si="3"/>
      </c>
      <c r="N37" s="13" t="str">
        <f t="shared" si="4"/>
      </c>
      <c r="O37" s="14" t="str">
        <f t="shared" si="5"/>
      </c>
      <c r="P37" s="14" t="str">
        <f>IF(H37="","",$D$5+SUM($O$5:O37))</f>
      </c>
    </row>
    <row r="38" spans="7:16" x14ac:dyDescent="0.35">
      <c r="G38" s="11" t="str">
        <f t="shared" si="0"/>
      </c>
      <c r="H38" s="12" t="str">
        <f t="shared" si="6"/>
      </c>
      <c r="I38" s="12" t="str">
        <f t="shared" si="1"/>
      </c>
      <c r="J38" s="11" t="str">
        <f t="shared" si="2"/>
      </c>
      <c r="K38" s="12" t="str">
        <f t="shared" si="7"/>
      </c>
      <c r="L38" s="13" t="str">
        <f>IF(H38="","",IFERROR(INDEX('Tipos BdE'!$B$7:$M$336,MATCH(DATE(YEAR(K38),MONTH(K38),1),'Tipos BdE'!$A$7:$A$336,1),MATCH($D$9,'Tipos BdE'!$B$6:$M$6,0)),0))</f>
      </c>
      <c r="M38" s="13" t="str">
        <f t="shared" si="3"/>
      </c>
      <c r="N38" s="13" t="str">
        <f t="shared" si="4"/>
      </c>
      <c r="O38" s="14" t="str">
        <f t="shared" si="5"/>
      </c>
      <c r="P38" s="14" t="str">
        <f>IF(H38="","",$D$5+SUM($O$5:O38))</f>
      </c>
    </row>
    <row r="39" spans="7:16" x14ac:dyDescent="0.35">
      <c r="G39" s="11" t="str">
        <f t="shared" si="0"/>
      </c>
      <c r="H39" s="12" t="str">
        <f t="shared" si="6"/>
      </c>
      <c r="I39" s="12" t="str">
        <f t="shared" si="1"/>
      </c>
      <c r="J39" s="11" t="str">
        <f t="shared" si="2"/>
      </c>
      <c r="K39" s="12" t="str">
        <f t="shared" si="7"/>
      </c>
      <c r="L39" s="13" t="str">
        <f>IF(H39="","",IFERROR(INDEX('Tipos BdE'!$B$7:$M$336,MATCH(DATE(YEAR(K39),MONTH(K39),1),'Tipos BdE'!$A$7:$A$336,1),MATCH($D$9,'Tipos BdE'!$B$6:$M$6,0)),0))</f>
      </c>
      <c r="M39" s="13" t="str">
        <f t="shared" si="3"/>
      </c>
      <c r="N39" s="13" t="str">
        <f t="shared" si="4"/>
      </c>
      <c r="O39" s="14" t="str">
        <f t="shared" si="5"/>
      </c>
      <c r="P39" s="14" t="str">
        <f>IF(H39="","",$D$5+SUM($O$5:O39))</f>
      </c>
    </row>
    <row r="40" spans="7:16" x14ac:dyDescent="0.35">
      <c r="G40" s="11" t="str">
        <f t="shared" si="0"/>
      </c>
      <c r="H40" s="12" t="str">
        <f t="shared" si="6"/>
      </c>
      <c r="I40" s="12" t="str">
        <f t="shared" si="1"/>
      </c>
      <c r="J40" s="11" t="str">
        <f t="shared" si="2"/>
      </c>
      <c r="K40" s="12" t="str">
        <f t="shared" si="7"/>
      </c>
      <c r="L40" s="13" t="str">
        <f>IF(H40="","",IFERROR(INDEX('Tipos BdE'!$B$7:$M$336,MATCH(DATE(YEAR(K40),MONTH(K40),1),'Tipos BdE'!$A$7:$A$336,1),MATCH($D$9,'Tipos BdE'!$B$6:$M$6,0)),0))</f>
      </c>
      <c r="M40" s="13" t="str">
        <f t="shared" si="3"/>
      </c>
      <c r="N40" s="13" t="str">
        <f t="shared" si="4"/>
      </c>
      <c r="O40" s="14" t="str">
        <f t="shared" si="5"/>
      </c>
      <c r="P40" s="14" t="str">
        <f>IF(H40="","",$D$5+SUM($O$5:O40))</f>
      </c>
    </row>
    <row r="41" spans="7:16" x14ac:dyDescent="0.35">
      <c r="G41" s="11" t="str">
        <f t="shared" si="0"/>
      </c>
      <c r="H41" s="12" t="str">
        <f t="shared" si="6"/>
      </c>
      <c r="I41" s="12" t="str">
        <f t="shared" si="1"/>
      </c>
      <c r="J41" s="11" t="str">
        <f t="shared" si="2"/>
      </c>
      <c r="K41" s="12" t="str">
        <f t="shared" si="7"/>
      </c>
      <c r="L41" s="13" t="str">
        <f>IF(H41="","",IFERROR(INDEX('Tipos BdE'!$B$7:$M$336,MATCH(DATE(YEAR(K41),MONTH(K41),1),'Tipos BdE'!$A$7:$A$336,1),MATCH($D$9,'Tipos BdE'!$B$6:$M$6,0)),0))</f>
      </c>
      <c r="M41" s="13" t="str">
        <f t="shared" si="3"/>
      </c>
      <c r="N41" s="13" t="str">
        <f t="shared" si="4"/>
      </c>
      <c r="O41" s="14" t="str">
        <f t="shared" si="5"/>
      </c>
      <c r="P41" s="14" t="str">
        <f>IF(H41="","",$D$5+SUM($O$5:O41))</f>
      </c>
    </row>
    <row r="42" spans="7:16" x14ac:dyDescent="0.35">
      <c r="G42" s="11" t="str">
        <f t="shared" si="0"/>
      </c>
      <c r="H42" s="12" t="str">
        <f t="shared" si="6"/>
      </c>
      <c r="I42" s="12" t="str">
        <f t="shared" si="1"/>
      </c>
      <c r="J42" s="11" t="str">
        <f t="shared" si="2"/>
      </c>
      <c r="K42" s="12" t="str">
        <f t="shared" si="7"/>
      </c>
      <c r="L42" s="13" t="str">
        <f>IF(H42="","",IFERROR(INDEX('Tipos BdE'!$B$7:$M$336,MATCH(DATE(YEAR(K42),MONTH(K42),1),'Tipos BdE'!$A$7:$A$336,1),MATCH($D$9,'Tipos BdE'!$B$6:$M$6,0)),0))</f>
      </c>
      <c r="M42" s="13" t="str">
        <f t="shared" si="3"/>
      </c>
      <c r="N42" s="13" t="str">
        <f t="shared" si="4"/>
      </c>
      <c r="O42" s="14" t="str">
        <f t="shared" si="5"/>
      </c>
      <c r="P42" s="14" t="str">
        <f>IF(H42="","",$D$5+SUM($O$5:O42))</f>
      </c>
    </row>
    <row r="43" spans="7:16" x14ac:dyDescent="0.35">
      <c r="G43" s="11" t="str">
        <f t="shared" si="0"/>
      </c>
      <c r="H43" s="12" t="str">
        <f t="shared" si="6"/>
      </c>
      <c r="I43" s="12" t="str">
        <f t="shared" si="1"/>
      </c>
      <c r="J43" s="11" t="str">
        <f t="shared" si="2"/>
      </c>
      <c r="K43" s="12" t="str">
        <f t="shared" si="7"/>
      </c>
      <c r="L43" s="13" t="str">
        <f>IF(H43="","",IFERROR(INDEX('Tipos BdE'!$B$7:$M$336,MATCH(DATE(YEAR(K43),MONTH(K43),1),'Tipos BdE'!$A$7:$A$336,1),MATCH($D$9,'Tipos BdE'!$B$6:$M$6,0)),0))</f>
      </c>
      <c r="M43" s="13" t="str">
        <f t="shared" si="3"/>
      </c>
      <c r="N43" s="13" t="str">
        <f t="shared" si="4"/>
      </c>
      <c r="O43" s="14" t="str">
        <f t="shared" si="5"/>
      </c>
      <c r="P43" s="14" t="str">
        <f>IF(H43="","",$D$5+SUM($O$5:O43))</f>
      </c>
    </row>
    <row r="44" spans="7:16" x14ac:dyDescent="0.35">
      <c r="G44" s="11" t="str">
        <f t="shared" si="0"/>
      </c>
      <c r="H44" s="12" t="str">
        <f t="shared" si="6"/>
      </c>
      <c r="I44" s="12" t="str">
        <f t="shared" si="1"/>
      </c>
      <c r="J44" s="11" t="str">
        <f t="shared" si="2"/>
      </c>
      <c r="K44" s="12" t="str">
        <f t="shared" si="7"/>
      </c>
      <c r="L44" s="13" t="str">
        <f>IF(H44="","",IFERROR(INDEX('Tipos BdE'!$B$7:$M$336,MATCH(DATE(YEAR(K44),MONTH(K44),1),'Tipos BdE'!$A$7:$A$336,1),MATCH($D$9,'Tipos BdE'!$B$6:$M$6,0)),0))</f>
      </c>
      <c r="M44" s="13" t="str">
        <f t="shared" si="3"/>
      </c>
      <c r="N44" s="13" t="str">
        <f t="shared" si="4"/>
      </c>
      <c r="O44" s="14" t="str">
        <f t="shared" si="5"/>
      </c>
      <c r="P44" s="14" t="str">
        <f>IF(H44="","",$D$5+SUM($O$5:O44))</f>
      </c>
    </row>
    <row r="45" spans="7:16" x14ac:dyDescent="0.35">
      <c r="G45" s="11" t="str">
        <f t="shared" si="0"/>
      </c>
      <c r="H45" s="12" t="str">
        <f t="shared" si="6"/>
      </c>
      <c r="I45" s="12" t="str">
        <f t="shared" si="1"/>
      </c>
      <c r="J45" s="11" t="str">
        <f t="shared" si="2"/>
      </c>
      <c r="K45" s="12" t="str">
        <f t="shared" si="7"/>
      </c>
      <c r="L45" s="13" t="str">
        <f>IF(H45="","",IFERROR(INDEX('Tipos BdE'!$B$7:$M$336,MATCH(DATE(YEAR(K45),MONTH(K45),1),'Tipos BdE'!$A$7:$A$336,1),MATCH($D$9,'Tipos BdE'!$B$6:$M$6,0)),0))</f>
      </c>
      <c r="M45" s="13" t="str">
        <f t="shared" si="3"/>
      </c>
      <c r="N45" s="13" t="str">
        <f t="shared" si="4"/>
      </c>
      <c r="O45" s="14" t="str">
        <f t="shared" si="5"/>
      </c>
      <c r="P45" s="14" t="str">
        <f>IF(H45="","",$D$5+SUM($O$5:O45))</f>
      </c>
    </row>
    <row r="46" spans="7:16" x14ac:dyDescent="0.35">
      <c r="G46" s="11" t="str">
        <f t="shared" si="0"/>
      </c>
      <c r="H46" s="12" t="str">
        <f t="shared" si="6"/>
      </c>
      <c r="I46" s="12" t="str">
        <f t="shared" si="1"/>
      </c>
      <c r="J46" s="11" t="str">
        <f t="shared" si="2"/>
      </c>
      <c r="K46" s="12" t="str">
        <f t="shared" si="7"/>
      </c>
      <c r="L46" s="13" t="str">
        <f>IF(H46="","",IFERROR(INDEX('Tipos BdE'!$B$7:$M$336,MATCH(DATE(YEAR(K46),MONTH(K46),1),'Tipos BdE'!$A$7:$A$336,1),MATCH($D$9,'Tipos BdE'!$B$6:$M$6,0)),0))</f>
      </c>
      <c r="M46" s="13" t="str">
        <f t="shared" si="3"/>
      </c>
      <c r="N46" s="13" t="str">
        <f t="shared" si="4"/>
      </c>
      <c r="O46" s="14" t="str">
        <f t="shared" si="5"/>
      </c>
      <c r="P46" s="14" t="str">
        <f>IF(H46="","",$D$5+SUM($O$5:O46))</f>
      </c>
    </row>
    <row r="47" spans="7:16" x14ac:dyDescent="0.35">
      <c r="G47" s="11" t="str">
        <f t="shared" si="0"/>
      </c>
      <c r="H47" s="12" t="str">
        <f t="shared" si="6"/>
      </c>
      <c r="I47" s="12" t="str">
        <f t="shared" si="1"/>
      </c>
      <c r="J47" s="11" t="str">
        <f t="shared" si="2"/>
      </c>
      <c r="K47" s="12" t="str">
        <f t="shared" si="7"/>
      </c>
      <c r="L47" s="13" t="str">
        <f>IF(H47="","",IFERROR(INDEX('Tipos BdE'!$B$7:$M$336,MATCH(DATE(YEAR(K47),MONTH(K47),1),'Tipos BdE'!$A$7:$A$336,1),MATCH($D$9,'Tipos BdE'!$B$6:$M$6,0)),0))</f>
      </c>
      <c r="M47" s="13" t="str">
        <f t="shared" si="3"/>
      </c>
      <c r="N47" s="13" t="str">
        <f t="shared" si="4"/>
      </c>
      <c r="O47" s="14" t="str">
        <f t="shared" si="5"/>
      </c>
      <c r="P47" s="14" t="str">
        <f>IF(H47="","",$D$5+SUM($O$5:O47))</f>
      </c>
    </row>
    <row r="48" spans="7:16" x14ac:dyDescent="0.35">
      <c r="G48" s="11" t="str">
        <f t="shared" si="0"/>
      </c>
      <c r="H48" s="12" t="str">
        <f t="shared" si="6"/>
      </c>
      <c r="I48" s="12" t="str">
        <f t="shared" si="1"/>
      </c>
      <c r="J48" s="11" t="str">
        <f t="shared" si="2"/>
      </c>
      <c r="K48" s="12" t="str">
        <f t="shared" si="7"/>
      </c>
      <c r="L48" s="13" t="str">
        <f>IF(H48="","",IFERROR(INDEX('Tipos BdE'!$B$7:$M$336,MATCH(DATE(YEAR(K48),MONTH(K48),1),'Tipos BdE'!$A$7:$A$336,1),MATCH($D$9,'Tipos BdE'!$B$6:$M$6,0)),0))</f>
      </c>
      <c r="M48" s="13" t="str">
        <f t="shared" si="3"/>
      </c>
      <c r="N48" s="13" t="str">
        <f t="shared" si="4"/>
      </c>
      <c r="O48" s="14" t="str">
        <f t="shared" si="5"/>
      </c>
      <c r="P48" s="14" t="str">
        <f>IF(H48="","",$D$5+SUM($O$5:O48))</f>
      </c>
    </row>
    <row r="49" spans="7:16" x14ac:dyDescent="0.35">
      <c r="G49" s="11" t="str">
        <f t="shared" si="0"/>
      </c>
      <c r="H49" s="12" t="str">
        <f t="shared" si="6"/>
      </c>
      <c r="I49" s="12" t="str">
        <f t="shared" si="1"/>
      </c>
      <c r="J49" s="11" t="str">
        <f t="shared" si="2"/>
      </c>
      <c r="K49" s="12" t="str">
        <f t="shared" si="7"/>
      </c>
      <c r="L49" s="13" t="str">
        <f>IF(H49="","",IFERROR(INDEX('Tipos BdE'!$B$7:$M$336,MATCH(DATE(YEAR(K49),MONTH(K49),1),'Tipos BdE'!$A$7:$A$336,1),MATCH($D$9,'Tipos BdE'!$B$6:$M$6,0)),0))</f>
      </c>
      <c r="M49" s="13" t="str">
        <f t="shared" si="3"/>
      </c>
      <c r="N49" s="13" t="str">
        <f t="shared" si="4"/>
      </c>
      <c r="O49" s="14" t="str">
        <f t="shared" si="5"/>
      </c>
      <c r="P49" s="14" t="str">
        <f>IF(H49="","",$D$5+SUM($O$5:O49))</f>
      </c>
    </row>
    <row r="50" spans="7:16" x14ac:dyDescent="0.35">
      <c r="G50" s="11" t="str">
        <f t="shared" si="0"/>
      </c>
      <c r="H50" s="12" t="str">
        <f t="shared" si="6"/>
      </c>
      <c r="I50" s="12" t="str">
        <f t="shared" si="1"/>
      </c>
      <c r="J50" s="11" t="str">
        <f t="shared" si="2"/>
      </c>
      <c r="K50" s="12" t="str">
        <f t="shared" si="7"/>
      </c>
      <c r="L50" s="13" t="str">
        <f>IF(H50="","",IFERROR(INDEX('Tipos BdE'!$B$7:$M$336,MATCH(DATE(YEAR(K50),MONTH(K50),1),'Tipos BdE'!$A$7:$A$336,1),MATCH($D$9,'Tipos BdE'!$B$6:$M$6,0)),0))</f>
      </c>
      <c r="M50" s="13" t="str">
        <f t="shared" si="3"/>
      </c>
      <c r="N50" s="13" t="str">
        <f t="shared" si="4"/>
      </c>
      <c r="O50" s="14" t="str">
        <f t="shared" si="5"/>
      </c>
      <c r="P50" s="14" t="str">
        <f>IF(H50="","",$D$5+SUM($O$5:O50))</f>
      </c>
    </row>
    <row r="51" spans="7:16" x14ac:dyDescent="0.35">
      <c r="G51" s="11" t="str">
        <f t="shared" si="0"/>
      </c>
      <c r="H51" s="12" t="str">
        <f t="shared" si="6"/>
      </c>
      <c r="I51" s="12" t="str">
        <f t="shared" si="1"/>
      </c>
      <c r="J51" s="11" t="str">
        <f t="shared" si="2"/>
      </c>
      <c r="K51" s="12" t="str">
        <f t="shared" si="7"/>
      </c>
      <c r="L51" s="13" t="str">
        <f>IF(H51="","",IFERROR(INDEX('Tipos BdE'!$B$7:$M$336,MATCH(DATE(YEAR(K51),MONTH(K51),1),'Tipos BdE'!$A$7:$A$336,1),MATCH($D$9,'Tipos BdE'!$B$6:$M$6,0)),0))</f>
      </c>
      <c r="M51" s="13" t="str">
        <f t="shared" si="3"/>
      </c>
      <c r="N51" s="13" t="str">
        <f t="shared" si="4"/>
      </c>
      <c r="O51" s="14" t="str">
        <f t="shared" si="5"/>
      </c>
      <c r="P51" s="14" t="str">
        <f>IF(H51="","",$D$5+SUM($O$5:O51))</f>
      </c>
    </row>
    <row r="52" spans="7:16" x14ac:dyDescent="0.35">
      <c r="G52" s="11" t="str">
        <f t="shared" si="0"/>
      </c>
      <c r="H52" s="12" t="str">
        <f t="shared" si="6"/>
      </c>
      <c r="I52" s="12" t="str">
        <f t="shared" si="1"/>
      </c>
      <c r="J52" s="11" t="str">
        <f t="shared" si="2"/>
      </c>
      <c r="K52" s="12" t="str">
        <f t="shared" si="7"/>
      </c>
      <c r="L52" s="13" t="str">
        <f>IF(H52="","",IFERROR(INDEX('Tipos BdE'!$B$7:$M$336,MATCH(DATE(YEAR(K52),MONTH(K52),1),'Tipos BdE'!$A$7:$A$336,1),MATCH($D$9,'Tipos BdE'!$B$6:$M$6,0)),0))</f>
      </c>
      <c r="M52" s="13" t="str">
        <f t="shared" si="3"/>
      </c>
      <c r="N52" s="13" t="str">
        <f t="shared" si="4"/>
      </c>
      <c r="O52" s="14" t="str">
        <f t="shared" si="5"/>
      </c>
      <c r="P52" s="14" t="str">
        <f>IF(H52="","",$D$5+SUM($O$5:O52))</f>
      </c>
    </row>
    <row r="53" spans="7:16" x14ac:dyDescent="0.35">
      <c r="G53" s="11" t="str">
        <f t="shared" si="0"/>
      </c>
      <c r="H53" s="12" t="str">
        <f t="shared" si="6"/>
      </c>
      <c r="I53" s="12" t="str">
        <f t="shared" si="1"/>
      </c>
      <c r="J53" s="11" t="str">
        <f t="shared" si="2"/>
      </c>
      <c r="K53" s="12" t="str">
        <f t="shared" si="7"/>
      </c>
      <c r="L53" s="13" t="str">
        <f>IF(H53="","",IFERROR(INDEX('Tipos BdE'!$B$7:$M$336,MATCH(DATE(YEAR(K53),MONTH(K53),1),'Tipos BdE'!$A$7:$A$336,1),MATCH($D$9,'Tipos BdE'!$B$6:$M$6,0)),0))</f>
      </c>
      <c r="M53" s="13" t="str">
        <f t="shared" si="3"/>
      </c>
      <c r="N53" s="13" t="str">
        <f t="shared" si="4"/>
      </c>
      <c r="O53" s="14" t="str">
        <f t="shared" si="5"/>
      </c>
      <c r="P53" s="14" t="str">
        <f>IF(H53="","",$D$5+SUM($O$5:O53))</f>
      </c>
    </row>
    <row r="54" spans="7:16" x14ac:dyDescent="0.35">
      <c r="G54" s="11" t="str">
        <f t="shared" si="0"/>
      </c>
      <c r="H54" s="12" t="str">
        <f t="shared" si="6"/>
      </c>
      <c r="I54" s="12" t="str">
        <f t="shared" si="1"/>
      </c>
      <c r="J54" s="11" t="str">
        <f t="shared" si="2"/>
      </c>
      <c r="K54" s="12" t="str">
        <f t="shared" si="7"/>
      </c>
      <c r="L54" s="13" t="str">
        <f>IF(H54="","",IFERROR(INDEX('Tipos BdE'!$B$7:$M$336,MATCH(DATE(YEAR(K54),MONTH(K54),1),'Tipos BdE'!$A$7:$A$336,1),MATCH($D$9,'Tipos BdE'!$B$6:$M$6,0)),0))</f>
      </c>
      <c r="M54" s="13" t="str">
        <f t="shared" si="3"/>
      </c>
      <c r="N54" s="13" t="str">
        <f t="shared" si="4"/>
      </c>
      <c r="O54" s="14" t="str">
        <f t="shared" si="5"/>
      </c>
      <c r="P54" s="14" t="str">
        <f>IF(H54="","",$D$5+SUM($O$5:O54))</f>
      </c>
    </row>
    <row r="55" spans="7:16" x14ac:dyDescent="0.35">
      <c r="G55" s="11" t="str">
        <f t="shared" si="0"/>
      </c>
      <c r="H55" s="12" t="str">
        <f t="shared" si="6"/>
      </c>
      <c r="I55" s="12" t="str">
        <f t="shared" si="1"/>
      </c>
      <c r="J55" s="11" t="str">
        <f t="shared" si="2"/>
      </c>
      <c r="K55" s="12" t="str">
        <f t="shared" si="7"/>
      </c>
      <c r="L55" s="13" t="str">
        <f>IF(H55="","",IFERROR(INDEX('Tipos BdE'!$B$7:$M$336,MATCH(DATE(YEAR(K55),MONTH(K55),1),'Tipos BdE'!$A$7:$A$336,1),MATCH($D$9,'Tipos BdE'!$B$6:$M$6,0)),0))</f>
      </c>
      <c r="M55" s="13" t="str">
        <f t="shared" si="3"/>
      </c>
      <c r="N55" s="13" t="str">
        <f t="shared" si="4"/>
      </c>
      <c r="O55" s="14" t="str">
        <f t="shared" si="5"/>
      </c>
      <c r="P55" s="14" t="str">
        <f>IF(H55="","",$D$5+SUM($O$5:O55))</f>
      </c>
    </row>
    <row r="56" spans="7:16" x14ac:dyDescent="0.35">
      <c r="G56" s="11" t="str">
        <f t="shared" si="0"/>
      </c>
      <c r="H56" s="12" t="str">
        <f t="shared" si="6"/>
      </c>
      <c r="I56" s="12" t="str">
        <f t="shared" si="1"/>
      </c>
      <c r="J56" s="11" t="str">
        <f t="shared" si="2"/>
      </c>
      <c r="K56" s="12" t="str">
        <f t="shared" si="7"/>
      </c>
      <c r="L56" s="13" t="str">
        <f>IF(H56="","",IFERROR(INDEX('Tipos BdE'!$B$7:$M$336,MATCH(DATE(YEAR(K56),MONTH(K56),1),'Tipos BdE'!$A$7:$A$336,1),MATCH($D$9,'Tipos BdE'!$B$6:$M$6,0)),0))</f>
      </c>
      <c r="M56" s="13" t="str">
        <f t="shared" si="3"/>
      </c>
      <c r="N56" s="13" t="str">
        <f t="shared" si="4"/>
      </c>
      <c r="O56" s="14" t="str">
        <f t="shared" si="5"/>
      </c>
      <c r="P56" s="14" t="str">
        <f>IF(H56="","",$D$5+SUM($O$5:O56))</f>
      </c>
    </row>
    <row r="57" spans="7:16" x14ac:dyDescent="0.35">
      <c r="G57" s="11" t="str">
        <f t="shared" si="0"/>
      </c>
      <c r="H57" s="12" t="str">
        <f t="shared" si="6"/>
      </c>
      <c r="I57" s="12" t="str">
        <f t="shared" si="1"/>
      </c>
      <c r="J57" s="11" t="str">
        <f t="shared" si="2"/>
      </c>
      <c r="K57" s="12" t="str">
        <f t="shared" si="7"/>
      </c>
      <c r="L57" s="13" t="str">
        <f>IF(H57="","",IFERROR(INDEX('Tipos BdE'!$B$7:$M$336,MATCH(DATE(YEAR(K57),MONTH(K57),1),'Tipos BdE'!$A$7:$A$336,1),MATCH($D$9,'Tipos BdE'!$B$6:$M$6,0)),0))</f>
      </c>
      <c r="M57" s="13" t="str">
        <f t="shared" si="3"/>
      </c>
      <c r="N57" s="13" t="str">
        <f t="shared" si="4"/>
      </c>
      <c r="O57" s="14" t="str">
        <f t="shared" si="5"/>
      </c>
      <c r="P57" s="14" t="str">
        <f>IF(H57="","",$D$5+SUM($O$5:O57))</f>
      </c>
    </row>
    <row r="58" spans="7:16" x14ac:dyDescent="0.35">
      <c r="G58" s="11" t="str">
        <f t="shared" si="0"/>
      </c>
      <c r="H58" s="12" t="str">
        <f t="shared" si="6"/>
      </c>
      <c r="I58" s="12" t="str">
        <f t="shared" si="1"/>
      </c>
      <c r="J58" s="11" t="str">
        <f t="shared" si="2"/>
      </c>
      <c r="K58" s="12" t="str">
        <f t="shared" si="7"/>
      </c>
      <c r="L58" s="13" t="str">
        <f>IF(H58="","",IFERROR(INDEX('Tipos BdE'!$B$7:$M$336,MATCH(DATE(YEAR(K58),MONTH(K58),1),'Tipos BdE'!$A$7:$A$336,1),MATCH($D$9,'Tipos BdE'!$B$6:$M$6,0)),0))</f>
      </c>
      <c r="M58" s="13" t="str">
        <f t="shared" si="3"/>
      </c>
      <c r="N58" s="13" t="str">
        <f t="shared" si="4"/>
      </c>
      <c r="O58" s="14" t="str">
        <f t="shared" si="5"/>
      </c>
      <c r="P58" s="14" t="str">
        <f>IF(H58="","",$D$5+SUM($O$5:O58))</f>
      </c>
    </row>
    <row r="59" spans="7:16" x14ac:dyDescent="0.35">
      <c r="G59" s="11" t="str">
        <f t="shared" si="0"/>
      </c>
      <c r="H59" s="12" t="str">
        <f t="shared" si="6"/>
      </c>
      <c r="I59" s="12" t="str">
        <f t="shared" si="1"/>
      </c>
      <c r="J59" s="11" t="str">
        <f t="shared" si="2"/>
      </c>
      <c r="K59" s="12" t="str">
        <f t="shared" si="7"/>
      </c>
      <c r="L59" s="13" t="str">
        <f>IF(H59="","",IFERROR(INDEX('Tipos BdE'!$B$7:$M$336,MATCH(DATE(YEAR(K59),MONTH(K59),1),'Tipos BdE'!$A$7:$A$336,1),MATCH($D$9,'Tipos BdE'!$B$6:$M$6,0)),0))</f>
      </c>
      <c r="M59" s="13" t="str">
        <f t="shared" si="3"/>
      </c>
      <c r="N59" s="13" t="str">
        <f t="shared" si="4"/>
      </c>
      <c r="O59" s="14" t="str">
        <f t="shared" si="5"/>
      </c>
      <c r="P59" s="14" t="str">
        <f>IF(H59="","",$D$5+SUM($O$5:O59))</f>
      </c>
    </row>
    <row r="60" spans="7:16" x14ac:dyDescent="0.35">
      <c r="G60" s="11" t="str">
        <f t="shared" si="0"/>
      </c>
      <c r="H60" s="12" t="str">
        <f t="shared" si="6"/>
      </c>
      <c r="I60" s="12" t="str">
        <f t="shared" si="1"/>
      </c>
      <c r="J60" s="11" t="str">
        <f t="shared" si="2"/>
      </c>
      <c r="K60" s="12" t="str">
        <f t="shared" si="7"/>
      </c>
      <c r="L60" s="13" t="str">
        <f>IF(H60="","",IFERROR(INDEX('Tipos BdE'!$B$7:$M$336,MATCH(DATE(YEAR(K60),MONTH(K60),1),'Tipos BdE'!$A$7:$A$336,1),MATCH($D$9,'Tipos BdE'!$B$6:$M$6,0)),0))</f>
      </c>
      <c r="M60" s="13" t="str">
        <f t="shared" si="3"/>
      </c>
      <c r="N60" s="13" t="str">
        <f t="shared" si="4"/>
      </c>
      <c r="O60" s="14" t="str">
        <f t="shared" si="5"/>
      </c>
      <c r="P60" s="14" t="str">
        <f>IF(H60="","",$D$5+SUM($O$5:O60))</f>
      </c>
    </row>
    <row r="61" spans="7:16" x14ac:dyDescent="0.35">
      <c r="G61" s="11" t="str">
        <f t="shared" si="0"/>
      </c>
      <c r="H61" s="12" t="str">
        <f t="shared" si="6"/>
      </c>
      <c r="I61" s="12" t="str">
        <f t="shared" si="1"/>
      </c>
      <c r="J61" s="11" t="str">
        <f t="shared" si="2"/>
      </c>
      <c r="K61" s="12" t="str">
        <f t="shared" si="7"/>
      </c>
      <c r="L61" s="13" t="str">
        <f>IF(H61="","",IFERROR(INDEX('Tipos BdE'!$B$7:$M$336,MATCH(DATE(YEAR(K61),MONTH(K61),1),'Tipos BdE'!$A$7:$A$336,1),MATCH($D$9,'Tipos BdE'!$B$6:$M$6,0)),0))</f>
      </c>
      <c r="M61" s="13" t="str">
        <f t="shared" si="3"/>
      </c>
      <c r="N61" s="13" t="str">
        <f t="shared" si="4"/>
      </c>
      <c r="O61" s="14" t="str">
        <f t="shared" si="5"/>
      </c>
      <c r="P61" s="14" t="str">
        <f>IF(H61="","",$D$5+SUM($O$5:O61))</f>
      </c>
    </row>
    <row r="62" spans="7:16" x14ac:dyDescent="0.35">
      <c r="G62" s="11" t="str">
        <f t="shared" si="0"/>
      </c>
      <c r="H62" s="12" t="str">
        <f t="shared" si="6"/>
      </c>
      <c r="I62" s="12" t="str">
        <f t="shared" si="1"/>
      </c>
      <c r="J62" s="11" t="str">
        <f t="shared" si="2"/>
      </c>
      <c r="K62" s="12" t="str">
        <f t="shared" si="7"/>
      </c>
      <c r="L62" s="13" t="str">
        <f>IF(H62="","",IFERROR(INDEX('Tipos BdE'!$B$7:$M$336,MATCH(DATE(YEAR(K62),MONTH(K62),1),'Tipos BdE'!$A$7:$A$336,1),MATCH($D$9,'Tipos BdE'!$B$6:$M$6,0)),0))</f>
      </c>
      <c r="M62" s="13" t="str">
        <f t="shared" si="3"/>
      </c>
      <c r="N62" s="13" t="str">
        <f t="shared" si="4"/>
      </c>
      <c r="O62" s="14" t="str">
        <f t="shared" si="5"/>
      </c>
      <c r="P62" s="14" t="str">
        <f>IF(H62="","",$D$5+SUM($O$5:O62))</f>
      </c>
    </row>
    <row r="63" spans="7:16" x14ac:dyDescent="0.35">
      <c r="G63" s="11" t="str">
        <f t="shared" si="0"/>
      </c>
      <c r="H63" s="12" t="str">
        <f t="shared" si="6"/>
      </c>
      <c r="I63" s="12" t="str">
        <f t="shared" si="1"/>
      </c>
      <c r="J63" s="11" t="str">
        <f t="shared" si="2"/>
      </c>
      <c r="K63" s="12" t="str">
        <f t="shared" si="7"/>
      </c>
      <c r="L63" s="13" t="str">
        <f>IF(H63="","",IFERROR(INDEX('Tipos BdE'!$B$7:$M$336,MATCH(DATE(YEAR(K63),MONTH(K63),1),'Tipos BdE'!$A$7:$A$336,1),MATCH($D$9,'Tipos BdE'!$B$6:$M$6,0)),0))</f>
      </c>
      <c r="M63" s="13" t="str">
        <f t="shared" si="3"/>
      </c>
      <c r="N63" s="13" t="str">
        <f t="shared" si="4"/>
      </c>
      <c r="O63" s="14" t="str">
        <f t="shared" si="5"/>
      </c>
      <c r="P63" s="14" t="str">
        <f>IF(H63="","",$D$5+SUM($O$5:O63))</f>
      </c>
    </row>
    <row r="64" spans="7:16" x14ac:dyDescent="0.35">
      <c r="G64" s="11" t="str">
        <f t="shared" si="0"/>
      </c>
      <c r="H64" s="12" t="str">
        <f t="shared" si="6"/>
      </c>
      <c r="I64" s="12" t="str">
        <f t="shared" si="1"/>
      </c>
      <c r="J64" s="11" t="str">
        <f t="shared" si="2"/>
      </c>
      <c r="K64" s="12" t="str">
        <f t="shared" si="7"/>
      </c>
      <c r="L64" s="13" t="str">
        <f>IF(H64="","",IFERROR(INDEX('Tipos BdE'!$B$7:$M$336,MATCH(DATE(YEAR(K64),MONTH(K64),1),'Tipos BdE'!$A$7:$A$336,1),MATCH($D$9,'Tipos BdE'!$B$6:$M$6,0)),0))</f>
      </c>
      <c r="M64" s="13" t="str">
        <f t="shared" si="3"/>
      </c>
      <c r="N64" s="13" t="str">
        <f t="shared" si="4"/>
      </c>
      <c r="O64" s="14" t="str">
        <f t="shared" si="5"/>
      </c>
      <c r="P64" s="14" t="str">
        <f>IF(H64="","",$D$5+SUM($O$5:O64))</f>
      </c>
    </row>
    <row r="65" spans="7:16" x14ac:dyDescent="0.35">
      <c r="G65" s="11" t="str">
        <f t="shared" si="0"/>
      </c>
      <c r="H65" s="12" t="str">
        <f t="shared" si="6"/>
      </c>
      <c r="I65" s="12" t="str">
        <f t="shared" si="1"/>
      </c>
      <c r="J65" s="11" t="str">
        <f t="shared" si="2"/>
      </c>
      <c r="K65" s="12" t="str">
        <f t="shared" si="7"/>
      </c>
      <c r="L65" s="13" t="str">
        <f>IF(H65="","",IFERROR(INDEX('Tipos BdE'!$B$7:$M$336,MATCH(DATE(YEAR(K65),MONTH(K65),1),'Tipos BdE'!$A$7:$A$336,1),MATCH($D$9,'Tipos BdE'!$B$6:$M$6,0)),0))</f>
      </c>
      <c r="M65" s="13" t="str">
        <f t="shared" si="3"/>
      </c>
      <c r="N65" s="13" t="str">
        <f t="shared" si="4"/>
      </c>
      <c r="O65" s="14" t="str">
        <f t="shared" si="5"/>
      </c>
      <c r="P65" s="14" t="str">
        <f>IF(H65="","",$D$5+SUM($O$5:O65))</f>
      </c>
    </row>
    <row r="66" spans="7:16" x14ac:dyDescent="0.35">
      <c r="G66" s="11" t="str">
        <f t="shared" si="0"/>
      </c>
      <c r="H66" s="12" t="str">
        <f t="shared" si="6"/>
      </c>
      <c r="I66" s="12" t="str">
        <f t="shared" si="1"/>
      </c>
      <c r="J66" s="11" t="str">
        <f t="shared" si="2"/>
      </c>
      <c r="K66" s="12" t="str">
        <f t="shared" si="7"/>
      </c>
      <c r="L66" s="13" t="str">
        <f>IF(H66="","",IFERROR(INDEX('Tipos BdE'!$B$7:$M$336,MATCH(DATE(YEAR(K66),MONTH(K66),1),'Tipos BdE'!$A$7:$A$336,1),MATCH($D$9,'Tipos BdE'!$B$6:$M$6,0)),0))</f>
      </c>
      <c r="M66" s="13" t="str">
        <f t="shared" si="3"/>
      </c>
      <c r="N66" s="13" t="str">
        <f t="shared" si="4"/>
      </c>
      <c r="O66" s="14" t="str">
        <f t="shared" si="5"/>
      </c>
      <c r="P66" s="14" t="str">
        <f>IF(H66="","",$D$5+SUM($O$5:O66))</f>
      </c>
    </row>
    <row r="67" spans="7:16" x14ac:dyDescent="0.35">
      <c r="G67" s="11" t="str">
        <f t="shared" si="0"/>
      </c>
      <c r="H67" s="12" t="str">
        <f t="shared" si="6"/>
      </c>
      <c r="I67" s="12" t="str">
        <f t="shared" si="1"/>
      </c>
      <c r="J67" s="11" t="str">
        <f t="shared" si="2"/>
      </c>
      <c r="K67" s="12" t="str">
        <f t="shared" si="7"/>
      </c>
      <c r="L67" s="13" t="str">
        <f>IF(H67="","",IFERROR(INDEX('Tipos BdE'!$B$7:$M$336,MATCH(DATE(YEAR(K67),MONTH(K67),1),'Tipos BdE'!$A$7:$A$336,1),MATCH($D$9,'Tipos BdE'!$B$6:$M$6,0)),0))</f>
      </c>
      <c r="M67" s="13" t="str">
        <f t="shared" si="3"/>
      </c>
      <c r="N67" s="13" t="str">
        <f t="shared" si="4"/>
      </c>
      <c r="O67" s="14" t="str">
        <f t="shared" si="5"/>
      </c>
      <c r="P67" s="14" t="str">
        <f>IF(H67="","",$D$5+SUM($O$5:O67))</f>
      </c>
    </row>
    <row r="68" spans="7:16" x14ac:dyDescent="0.35">
      <c r="G68" s="11" t="str">
        <f t="shared" si="0"/>
      </c>
      <c r="H68" s="12" t="str">
        <f t="shared" si="6"/>
      </c>
      <c r="I68" s="12" t="str">
        <f t="shared" si="1"/>
      </c>
      <c r="J68" s="11" t="str">
        <f t="shared" si="2"/>
      </c>
      <c r="K68" s="12" t="str">
        <f t="shared" si="7"/>
      </c>
      <c r="L68" s="13" t="str">
        <f>IF(H68="","",IFERROR(INDEX('Tipos BdE'!$B$7:$M$336,MATCH(DATE(YEAR(K68),MONTH(K68),1),'Tipos BdE'!$A$7:$A$336,1),MATCH($D$9,'Tipos BdE'!$B$6:$M$6,0)),0))</f>
      </c>
      <c r="M68" s="13" t="str">
        <f t="shared" si="3"/>
      </c>
      <c r="N68" s="13" t="str">
        <f t="shared" si="4"/>
      </c>
      <c r="O68" s="14" t="str">
        <f t="shared" si="5"/>
      </c>
      <c r="P68" s="14" t="str">
        <f>IF(H68="","",$D$5+SUM($O$5:O68))</f>
      </c>
    </row>
    <row r="69" spans="7:16" x14ac:dyDescent="0.35">
      <c r="G69" s="11" t="str">
        <f t="shared" ref="G69:G132" si="8">IF(H69="","",ROW()-4)</f>
      </c>
      <c r="H69" s="12" t="str">
        <f t="shared" si="6"/>
      </c>
      <c r="I69" s="12" t="str">
        <f t="shared" ref="I69:I132" si="9">IF(H69="","",MIN(IF($D$18="LEGAL",DATE(YEAR(H69)+1,1,1),EDATE($D$12,$D$11*(INT((((YEAR(H69)-YEAR($D$12))*12+(MONTH(H69)-MONTH($D$12))-IF(DAY(H69)&lt;DAY($D$12),1,0))/$D$11))+1))),$D$7))</f>
      </c>
      <c r="J69" s="11" t="str">
        <f t="shared" ref="J69:J132" si="10">IF(H69="","",I69-H69)</f>
      </c>
      <c r="K69" s="12" t="str">
        <f t="shared" si="7"/>
      </c>
      <c r="L69" s="13" t="str">
        <f>IF(H69="","",IFERROR(INDEX('Tipos BdE'!$B$7:$M$336,MATCH(DATE(YEAR(K69),MONTH(K69),1),'Tipos BdE'!$A$7:$A$336,1),MATCH($D$9,'Tipos BdE'!$B$6:$M$6,0)),0))</f>
      </c>
      <c r="M69" s="13" t="str">
        <f t="shared" ref="M69:M132" si="11">IF(H69="","",IF($D$18="LEGAL",0,$D$10))</f>
      </c>
      <c r="N69" s="13" t="str">
        <f t="shared" ref="N69:N132" si="12">IF(H69="","",IF(AND($D$14="Sí",(L69+M69)&lt;0),0,L69+M69))</f>
      </c>
      <c r="O69" s="14" t="str">
        <f t="shared" ref="O69:O132" si="13">IF(H69="","",$D$5*N69*J69/36500)</f>
      </c>
      <c r="P69" s="14" t="str">
        <f>IF(H69="","",$D$5+SUM($O$5:O69))</f>
      </c>
    </row>
    <row r="70" spans="7:16" x14ac:dyDescent="0.35">
      <c r="G70" s="11" t="str">
        <f t="shared" si="8"/>
      </c>
      <c r="H70" s="12" t="str">
        <f t="shared" ref="H70:H133" si="14">IF(OR(I69="",I69&gt;=$D$7),"",I69)</f>
      </c>
      <c r="I70" s="12" t="str">
        <f t="shared" si="9"/>
      </c>
      <c r="J70" s="11" t="str">
        <f t="shared" si="10"/>
      </c>
      <c r="K70" s="12" t="str">
        <f t="shared" ref="K70:K133" si="15">IF(H70="","",IF($D$18="LEGAL",H70,EDATE(H70,-$D$13)))</f>
      </c>
      <c r="L70" s="13" t="str">
        <f>IF(H70="","",IFERROR(INDEX('Tipos BdE'!$B$7:$M$336,MATCH(DATE(YEAR(K70),MONTH(K70),1),'Tipos BdE'!$A$7:$A$336,1),MATCH($D$9,'Tipos BdE'!$B$6:$M$6,0)),0))</f>
      </c>
      <c r="M70" s="13" t="str">
        <f t="shared" si="11"/>
      </c>
      <c r="N70" s="13" t="str">
        <f t="shared" si="12"/>
      </c>
      <c r="O70" s="14" t="str">
        <f t="shared" si="13"/>
      </c>
      <c r="P70" s="14" t="str">
        <f>IF(H70="","",$D$5+SUM($O$5:O70))</f>
      </c>
    </row>
    <row r="71" spans="7:16" x14ac:dyDescent="0.35">
      <c r="G71" s="11" t="str">
        <f t="shared" si="8"/>
      </c>
      <c r="H71" s="12" t="str">
        <f t="shared" si="14"/>
      </c>
      <c r="I71" s="12" t="str">
        <f t="shared" si="9"/>
      </c>
      <c r="J71" s="11" t="str">
        <f t="shared" si="10"/>
      </c>
      <c r="K71" s="12" t="str">
        <f t="shared" si="15"/>
      </c>
      <c r="L71" s="13" t="str">
        <f>IF(H71="","",IFERROR(INDEX('Tipos BdE'!$B$7:$M$336,MATCH(DATE(YEAR(K71),MONTH(K71),1),'Tipos BdE'!$A$7:$A$336,1),MATCH($D$9,'Tipos BdE'!$B$6:$M$6,0)),0))</f>
      </c>
      <c r="M71" s="13" t="str">
        <f t="shared" si="11"/>
      </c>
      <c r="N71" s="13" t="str">
        <f t="shared" si="12"/>
      </c>
      <c r="O71" s="14" t="str">
        <f t="shared" si="13"/>
      </c>
      <c r="P71" s="14" t="str">
        <f>IF(H71="","",$D$5+SUM($O$5:O71))</f>
      </c>
    </row>
    <row r="72" spans="7:16" x14ac:dyDescent="0.35">
      <c r="G72" s="11" t="str">
        <f t="shared" si="8"/>
      </c>
      <c r="H72" s="12" t="str">
        <f t="shared" si="14"/>
      </c>
      <c r="I72" s="12" t="str">
        <f t="shared" si="9"/>
      </c>
      <c r="J72" s="11" t="str">
        <f t="shared" si="10"/>
      </c>
      <c r="K72" s="12" t="str">
        <f t="shared" si="15"/>
      </c>
      <c r="L72" s="13" t="str">
        <f>IF(H72="","",IFERROR(INDEX('Tipos BdE'!$B$7:$M$336,MATCH(DATE(YEAR(K72),MONTH(K72),1),'Tipos BdE'!$A$7:$A$336,1),MATCH($D$9,'Tipos BdE'!$B$6:$M$6,0)),0))</f>
      </c>
      <c r="M72" s="13" t="str">
        <f t="shared" si="11"/>
      </c>
      <c r="N72" s="13" t="str">
        <f t="shared" si="12"/>
      </c>
      <c r="O72" s="14" t="str">
        <f t="shared" si="13"/>
      </c>
      <c r="P72" s="14" t="str">
        <f>IF(H72="","",$D$5+SUM($O$5:O72))</f>
      </c>
    </row>
    <row r="73" spans="7:16" x14ac:dyDescent="0.35">
      <c r="G73" s="11" t="str">
        <f t="shared" si="8"/>
      </c>
      <c r="H73" s="12" t="str">
        <f t="shared" si="14"/>
      </c>
      <c r="I73" s="12" t="str">
        <f t="shared" si="9"/>
      </c>
      <c r="J73" s="11" t="str">
        <f t="shared" si="10"/>
      </c>
      <c r="K73" s="12" t="str">
        <f t="shared" si="15"/>
      </c>
      <c r="L73" s="13" t="str">
        <f>IF(H73="","",IFERROR(INDEX('Tipos BdE'!$B$7:$M$336,MATCH(DATE(YEAR(K73),MONTH(K73),1),'Tipos BdE'!$A$7:$A$336,1),MATCH($D$9,'Tipos BdE'!$B$6:$M$6,0)),0))</f>
      </c>
      <c r="M73" s="13" t="str">
        <f t="shared" si="11"/>
      </c>
      <c r="N73" s="13" t="str">
        <f t="shared" si="12"/>
      </c>
      <c r="O73" s="14" t="str">
        <f t="shared" si="13"/>
      </c>
      <c r="P73" s="14" t="str">
        <f>IF(H73="","",$D$5+SUM($O$5:O73))</f>
      </c>
    </row>
    <row r="74" spans="7:16" x14ac:dyDescent="0.35">
      <c r="G74" s="11" t="str">
        <f t="shared" si="8"/>
      </c>
      <c r="H74" s="12" t="str">
        <f t="shared" si="14"/>
      </c>
      <c r="I74" s="12" t="str">
        <f t="shared" si="9"/>
      </c>
      <c r="J74" s="11" t="str">
        <f t="shared" si="10"/>
      </c>
      <c r="K74" s="12" t="str">
        <f t="shared" si="15"/>
      </c>
      <c r="L74" s="13" t="str">
        <f>IF(H74="","",IFERROR(INDEX('Tipos BdE'!$B$7:$M$336,MATCH(DATE(YEAR(K74),MONTH(K74),1),'Tipos BdE'!$A$7:$A$336,1),MATCH($D$9,'Tipos BdE'!$B$6:$M$6,0)),0))</f>
      </c>
      <c r="M74" s="13" t="str">
        <f t="shared" si="11"/>
      </c>
      <c r="N74" s="13" t="str">
        <f t="shared" si="12"/>
      </c>
      <c r="O74" s="14" t="str">
        <f t="shared" si="13"/>
      </c>
      <c r="P74" s="14" t="str">
        <f>IF(H74="","",$D$5+SUM($O$5:O74))</f>
      </c>
    </row>
    <row r="75" spans="7:16" x14ac:dyDescent="0.35">
      <c r="G75" s="11" t="str">
        <f t="shared" si="8"/>
      </c>
      <c r="H75" s="12" t="str">
        <f t="shared" si="14"/>
      </c>
      <c r="I75" s="12" t="str">
        <f t="shared" si="9"/>
      </c>
      <c r="J75" s="11" t="str">
        <f t="shared" si="10"/>
      </c>
      <c r="K75" s="12" t="str">
        <f t="shared" si="15"/>
      </c>
      <c r="L75" s="13" t="str">
        <f>IF(H75="","",IFERROR(INDEX('Tipos BdE'!$B$7:$M$336,MATCH(DATE(YEAR(K75),MONTH(K75),1),'Tipos BdE'!$A$7:$A$336,1),MATCH($D$9,'Tipos BdE'!$B$6:$M$6,0)),0))</f>
      </c>
      <c r="M75" s="13" t="str">
        <f t="shared" si="11"/>
      </c>
      <c r="N75" s="13" t="str">
        <f t="shared" si="12"/>
      </c>
      <c r="O75" s="14" t="str">
        <f t="shared" si="13"/>
      </c>
      <c r="P75" s="14" t="str">
        <f>IF(H75="","",$D$5+SUM($O$5:O75))</f>
      </c>
    </row>
    <row r="76" spans="7:16" x14ac:dyDescent="0.35">
      <c r="G76" s="11" t="str">
        <f t="shared" si="8"/>
      </c>
      <c r="H76" s="12" t="str">
        <f t="shared" si="14"/>
      </c>
      <c r="I76" s="12" t="str">
        <f t="shared" si="9"/>
      </c>
      <c r="J76" s="11" t="str">
        <f t="shared" si="10"/>
      </c>
      <c r="K76" s="12" t="str">
        <f t="shared" si="15"/>
      </c>
      <c r="L76" s="13" t="str">
        <f>IF(H76="","",IFERROR(INDEX('Tipos BdE'!$B$7:$M$336,MATCH(DATE(YEAR(K76),MONTH(K76),1),'Tipos BdE'!$A$7:$A$336,1),MATCH($D$9,'Tipos BdE'!$B$6:$M$6,0)),0))</f>
      </c>
      <c r="M76" s="13" t="str">
        <f t="shared" si="11"/>
      </c>
      <c r="N76" s="13" t="str">
        <f t="shared" si="12"/>
      </c>
      <c r="O76" s="14" t="str">
        <f t="shared" si="13"/>
      </c>
      <c r="P76" s="14" t="str">
        <f>IF(H76="","",$D$5+SUM($O$5:O76))</f>
      </c>
    </row>
    <row r="77" spans="7:16" x14ac:dyDescent="0.35">
      <c r="G77" s="11" t="str">
        <f t="shared" si="8"/>
      </c>
      <c r="H77" s="12" t="str">
        <f t="shared" si="14"/>
      </c>
      <c r="I77" s="12" t="str">
        <f t="shared" si="9"/>
      </c>
      <c r="J77" s="11" t="str">
        <f t="shared" si="10"/>
      </c>
      <c r="K77" s="12" t="str">
        <f t="shared" si="15"/>
      </c>
      <c r="L77" s="13" t="str">
        <f>IF(H77="","",IFERROR(INDEX('Tipos BdE'!$B$7:$M$336,MATCH(DATE(YEAR(K77),MONTH(K77),1),'Tipos BdE'!$A$7:$A$336,1),MATCH($D$9,'Tipos BdE'!$B$6:$M$6,0)),0))</f>
      </c>
      <c r="M77" s="13" t="str">
        <f t="shared" si="11"/>
      </c>
      <c r="N77" s="13" t="str">
        <f t="shared" si="12"/>
      </c>
      <c r="O77" s="14" t="str">
        <f t="shared" si="13"/>
      </c>
      <c r="P77" s="14" t="str">
        <f>IF(H77="","",$D$5+SUM($O$5:O77))</f>
      </c>
    </row>
    <row r="78" spans="7:16" x14ac:dyDescent="0.35">
      <c r="G78" s="11" t="str">
        <f t="shared" si="8"/>
      </c>
      <c r="H78" s="12" t="str">
        <f t="shared" si="14"/>
      </c>
      <c r="I78" s="12" t="str">
        <f t="shared" si="9"/>
      </c>
      <c r="J78" s="11" t="str">
        <f t="shared" si="10"/>
      </c>
      <c r="K78" s="12" t="str">
        <f t="shared" si="15"/>
      </c>
      <c r="L78" s="13" t="str">
        <f>IF(H78="","",IFERROR(INDEX('Tipos BdE'!$B$7:$M$336,MATCH(DATE(YEAR(K78),MONTH(K78),1),'Tipos BdE'!$A$7:$A$336,1),MATCH($D$9,'Tipos BdE'!$B$6:$M$6,0)),0))</f>
      </c>
      <c r="M78" s="13" t="str">
        <f t="shared" si="11"/>
      </c>
      <c r="N78" s="13" t="str">
        <f t="shared" si="12"/>
      </c>
      <c r="O78" s="14" t="str">
        <f t="shared" si="13"/>
      </c>
      <c r="P78" s="14" t="str">
        <f>IF(H78="","",$D$5+SUM($O$5:O78))</f>
      </c>
    </row>
    <row r="79" spans="7:16" x14ac:dyDescent="0.35">
      <c r="G79" s="11" t="str">
        <f t="shared" si="8"/>
      </c>
      <c r="H79" s="12" t="str">
        <f t="shared" si="14"/>
      </c>
      <c r="I79" s="12" t="str">
        <f t="shared" si="9"/>
      </c>
      <c r="J79" s="11" t="str">
        <f t="shared" si="10"/>
      </c>
      <c r="K79" s="12" t="str">
        <f t="shared" si="15"/>
      </c>
      <c r="L79" s="13" t="str">
        <f>IF(H79="","",IFERROR(INDEX('Tipos BdE'!$B$7:$M$336,MATCH(DATE(YEAR(K79),MONTH(K79),1),'Tipos BdE'!$A$7:$A$336,1),MATCH($D$9,'Tipos BdE'!$B$6:$M$6,0)),0))</f>
      </c>
      <c r="M79" s="13" t="str">
        <f t="shared" si="11"/>
      </c>
      <c r="N79" s="13" t="str">
        <f t="shared" si="12"/>
      </c>
      <c r="O79" s="14" t="str">
        <f t="shared" si="13"/>
      </c>
      <c r="P79" s="14" t="str">
        <f>IF(H79="","",$D$5+SUM($O$5:O79))</f>
      </c>
    </row>
    <row r="80" spans="7:16" x14ac:dyDescent="0.35">
      <c r="G80" s="11" t="str">
        <f t="shared" si="8"/>
      </c>
      <c r="H80" s="12" t="str">
        <f t="shared" si="14"/>
      </c>
      <c r="I80" s="12" t="str">
        <f t="shared" si="9"/>
      </c>
      <c r="J80" s="11" t="str">
        <f t="shared" si="10"/>
      </c>
      <c r="K80" s="12" t="str">
        <f t="shared" si="15"/>
      </c>
      <c r="L80" s="13" t="str">
        <f>IF(H80="","",IFERROR(INDEX('Tipos BdE'!$B$7:$M$336,MATCH(DATE(YEAR(K80),MONTH(K80),1),'Tipos BdE'!$A$7:$A$336,1),MATCH($D$9,'Tipos BdE'!$B$6:$M$6,0)),0))</f>
      </c>
      <c r="M80" s="13" t="str">
        <f t="shared" si="11"/>
      </c>
      <c r="N80" s="13" t="str">
        <f t="shared" si="12"/>
      </c>
      <c r="O80" s="14" t="str">
        <f t="shared" si="13"/>
      </c>
      <c r="P80" s="14" t="str">
        <f>IF(H80="","",$D$5+SUM($O$5:O80))</f>
      </c>
    </row>
    <row r="81" spans="7:16" x14ac:dyDescent="0.35">
      <c r="G81" s="11" t="str">
        <f t="shared" si="8"/>
      </c>
      <c r="H81" s="12" t="str">
        <f t="shared" si="14"/>
      </c>
      <c r="I81" s="12" t="str">
        <f t="shared" si="9"/>
      </c>
      <c r="J81" s="11" t="str">
        <f t="shared" si="10"/>
      </c>
      <c r="K81" s="12" t="str">
        <f t="shared" si="15"/>
      </c>
      <c r="L81" s="13" t="str">
        <f>IF(H81="","",IFERROR(INDEX('Tipos BdE'!$B$7:$M$336,MATCH(DATE(YEAR(K81),MONTH(K81),1),'Tipos BdE'!$A$7:$A$336,1),MATCH($D$9,'Tipos BdE'!$B$6:$M$6,0)),0))</f>
      </c>
      <c r="M81" s="13" t="str">
        <f t="shared" si="11"/>
      </c>
      <c r="N81" s="13" t="str">
        <f t="shared" si="12"/>
      </c>
      <c r="O81" s="14" t="str">
        <f t="shared" si="13"/>
      </c>
      <c r="P81" s="14" t="str">
        <f>IF(H81="","",$D$5+SUM($O$5:O81))</f>
      </c>
    </row>
    <row r="82" spans="7:16" x14ac:dyDescent="0.35">
      <c r="G82" s="11" t="str">
        <f t="shared" si="8"/>
      </c>
      <c r="H82" s="12" t="str">
        <f t="shared" si="14"/>
      </c>
      <c r="I82" s="12" t="str">
        <f t="shared" si="9"/>
      </c>
      <c r="J82" s="11" t="str">
        <f t="shared" si="10"/>
      </c>
      <c r="K82" s="12" t="str">
        <f t="shared" si="15"/>
      </c>
      <c r="L82" s="13" t="str">
        <f>IF(H82="","",IFERROR(INDEX('Tipos BdE'!$B$7:$M$336,MATCH(DATE(YEAR(K82),MONTH(K82),1),'Tipos BdE'!$A$7:$A$336,1),MATCH($D$9,'Tipos BdE'!$B$6:$M$6,0)),0))</f>
      </c>
      <c r="M82" s="13" t="str">
        <f t="shared" si="11"/>
      </c>
      <c r="N82" s="13" t="str">
        <f t="shared" si="12"/>
      </c>
      <c r="O82" s="14" t="str">
        <f t="shared" si="13"/>
      </c>
      <c r="P82" s="14" t="str">
        <f>IF(H82="","",$D$5+SUM($O$5:O82))</f>
      </c>
    </row>
    <row r="83" spans="7:16" x14ac:dyDescent="0.35">
      <c r="G83" s="11" t="str">
        <f t="shared" si="8"/>
      </c>
      <c r="H83" s="12" t="str">
        <f t="shared" si="14"/>
      </c>
      <c r="I83" s="12" t="str">
        <f t="shared" si="9"/>
      </c>
      <c r="J83" s="11" t="str">
        <f t="shared" si="10"/>
      </c>
      <c r="K83" s="12" t="str">
        <f t="shared" si="15"/>
      </c>
      <c r="L83" s="13" t="str">
        <f>IF(H83="","",IFERROR(INDEX('Tipos BdE'!$B$7:$M$336,MATCH(DATE(YEAR(K83),MONTH(K83),1),'Tipos BdE'!$A$7:$A$336,1),MATCH($D$9,'Tipos BdE'!$B$6:$M$6,0)),0))</f>
      </c>
      <c r="M83" s="13" t="str">
        <f t="shared" si="11"/>
      </c>
      <c r="N83" s="13" t="str">
        <f t="shared" si="12"/>
      </c>
      <c r="O83" s="14" t="str">
        <f t="shared" si="13"/>
      </c>
      <c r="P83" s="14" t="str">
        <f>IF(H83="","",$D$5+SUM($O$5:O83))</f>
      </c>
    </row>
    <row r="84" spans="7:16" x14ac:dyDescent="0.35">
      <c r="G84" s="11" t="str">
        <f t="shared" si="8"/>
      </c>
      <c r="H84" s="12" t="str">
        <f t="shared" si="14"/>
      </c>
      <c r="I84" s="12" t="str">
        <f t="shared" si="9"/>
      </c>
      <c r="J84" s="11" t="str">
        <f t="shared" si="10"/>
      </c>
      <c r="K84" s="12" t="str">
        <f t="shared" si="15"/>
      </c>
      <c r="L84" s="13" t="str">
        <f>IF(H84="","",IFERROR(INDEX('Tipos BdE'!$B$7:$M$336,MATCH(DATE(YEAR(K84),MONTH(K84),1),'Tipos BdE'!$A$7:$A$336,1),MATCH($D$9,'Tipos BdE'!$B$6:$M$6,0)),0))</f>
      </c>
      <c r="M84" s="13" t="str">
        <f t="shared" si="11"/>
      </c>
      <c r="N84" s="13" t="str">
        <f t="shared" si="12"/>
      </c>
      <c r="O84" s="14" t="str">
        <f t="shared" si="13"/>
      </c>
      <c r="P84" s="14" t="str">
        <f>IF(H84="","",$D$5+SUM($O$5:O84))</f>
      </c>
    </row>
    <row r="85" spans="7:16" x14ac:dyDescent="0.35">
      <c r="G85" s="11" t="str">
        <f t="shared" si="8"/>
      </c>
      <c r="H85" s="12" t="str">
        <f t="shared" si="14"/>
      </c>
      <c r="I85" s="12" t="str">
        <f t="shared" si="9"/>
      </c>
      <c r="J85" s="11" t="str">
        <f t="shared" si="10"/>
      </c>
      <c r="K85" s="12" t="str">
        <f t="shared" si="15"/>
      </c>
      <c r="L85" s="13" t="str">
        <f>IF(H85="","",IFERROR(INDEX('Tipos BdE'!$B$7:$M$336,MATCH(DATE(YEAR(K85),MONTH(K85),1),'Tipos BdE'!$A$7:$A$336,1),MATCH($D$9,'Tipos BdE'!$B$6:$M$6,0)),0))</f>
      </c>
      <c r="M85" s="13" t="str">
        <f t="shared" si="11"/>
      </c>
      <c r="N85" s="13" t="str">
        <f t="shared" si="12"/>
      </c>
      <c r="O85" s="14" t="str">
        <f t="shared" si="13"/>
      </c>
      <c r="P85" s="14" t="str">
        <f>IF(H85="","",$D$5+SUM($O$5:O85))</f>
      </c>
    </row>
    <row r="86" spans="7:16" x14ac:dyDescent="0.35">
      <c r="G86" s="11" t="str">
        <f t="shared" si="8"/>
      </c>
      <c r="H86" s="12" t="str">
        <f t="shared" si="14"/>
      </c>
      <c r="I86" s="12" t="str">
        <f t="shared" si="9"/>
      </c>
      <c r="J86" s="11" t="str">
        <f t="shared" si="10"/>
      </c>
      <c r="K86" s="12" t="str">
        <f t="shared" si="15"/>
      </c>
      <c r="L86" s="13" t="str">
        <f>IF(H86="","",IFERROR(INDEX('Tipos BdE'!$B$7:$M$336,MATCH(DATE(YEAR(K86),MONTH(K86),1),'Tipos BdE'!$A$7:$A$336,1),MATCH($D$9,'Tipos BdE'!$B$6:$M$6,0)),0))</f>
      </c>
      <c r="M86" s="13" t="str">
        <f t="shared" si="11"/>
      </c>
      <c r="N86" s="13" t="str">
        <f t="shared" si="12"/>
      </c>
      <c r="O86" s="14" t="str">
        <f t="shared" si="13"/>
      </c>
      <c r="P86" s="14" t="str">
        <f>IF(H86="","",$D$5+SUM($O$5:O86))</f>
      </c>
    </row>
    <row r="87" spans="7:16" x14ac:dyDescent="0.35">
      <c r="G87" s="11" t="str">
        <f t="shared" si="8"/>
      </c>
      <c r="H87" s="12" t="str">
        <f t="shared" si="14"/>
      </c>
      <c r="I87" s="12" t="str">
        <f t="shared" si="9"/>
      </c>
      <c r="J87" s="11" t="str">
        <f t="shared" si="10"/>
      </c>
      <c r="K87" s="12" t="str">
        <f t="shared" si="15"/>
      </c>
      <c r="L87" s="13" t="str">
        <f>IF(H87="","",IFERROR(INDEX('Tipos BdE'!$B$7:$M$336,MATCH(DATE(YEAR(K87),MONTH(K87),1),'Tipos BdE'!$A$7:$A$336,1),MATCH($D$9,'Tipos BdE'!$B$6:$M$6,0)),0))</f>
      </c>
      <c r="M87" s="13" t="str">
        <f t="shared" si="11"/>
      </c>
      <c r="N87" s="13" t="str">
        <f t="shared" si="12"/>
      </c>
      <c r="O87" s="14" t="str">
        <f t="shared" si="13"/>
      </c>
      <c r="P87" s="14" t="str">
        <f>IF(H87="","",$D$5+SUM($O$5:O87))</f>
      </c>
    </row>
    <row r="88" spans="7:16" x14ac:dyDescent="0.35">
      <c r="G88" s="11" t="str">
        <f t="shared" si="8"/>
      </c>
      <c r="H88" s="12" t="str">
        <f t="shared" si="14"/>
      </c>
      <c r="I88" s="12" t="str">
        <f t="shared" si="9"/>
      </c>
      <c r="J88" s="11" t="str">
        <f t="shared" si="10"/>
      </c>
      <c r="K88" s="12" t="str">
        <f t="shared" si="15"/>
      </c>
      <c r="L88" s="13" t="str">
        <f>IF(H88="","",IFERROR(INDEX('Tipos BdE'!$B$7:$M$336,MATCH(DATE(YEAR(K88),MONTH(K88),1),'Tipos BdE'!$A$7:$A$336,1),MATCH($D$9,'Tipos BdE'!$B$6:$M$6,0)),0))</f>
      </c>
      <c r="M88" s="13" t="str">
        <f t="shared" si="11"/>
      </c>
      <c r="N88" s="13" t="str">
        <f t="shared" si="12"/>
      </c>
      <c r="O88" s="14" t="str">
        <f t="shared" si="13"/>
      </c>
      <c r="P88" s="14" t="str">
        <f>IF(H88="","",$D$5+SUM($O$5:O88))</f>
      </c>
    </row>
    <row r="89" spans="7:16" x14ac:dyDescent="0.35">
      <c r="G89" s="11" t="str">
        <f t="shared" si="8"/>
      </c>
      <c r="H89" s="12" t="str">
        <f t="shared" si="14"/>
      </c>
      <c r="I89" s="12" t="str">
        <f t="shared" si="9"/>
      </c>
      <c r="J89" s="11" t="str">
        <f t="shared" si="10"/>
      </c>
      <c r="K89" s="12" t="str">
        <f t="shared" si="15"/>
      </c>
      <c r="L89" s="13" t="str">
        <f>IF(H89="","",IFERROR(INDEX('Tipos BdE'!$B$7:$M$336,MATCH(DATE(YEAR(K89),MONTH(K89),1),'Tipos BdE'!$A$7:$A$336,1),MATCH($D$9,'Tipos BdE'!$B$6:$M$6,0)),0))</f>
      </c>
      <c r="M89" s="13" t="str">
        <f t="shared" si="11"/>
      </c>
      <c r="N89" s="13" t="str">
        <f t="shared" si="12"/>
      </c>
      <c r="O89" s="14" t="str">
        <f t="shared" si="13"/>
      </c>
      <c r="P89" s="14" t="str">
        <f>IF(H89="","",$D$5+SUM($O$5:O89))</f>
      </c>
    </row>
    <row r="90" spans="7:16" x14ac:dyDescent="0.35">
      <c r="G90" s="11" t="str">
        <f t="shared" si="8"/>
      </c>
      <c r="H90" s="12" t="str">
        <f t="shared" si="14"/>
      </c>
      <c r="I90" s="12" t="str">
        <f t="shared" si="9"/>
      </c>
      <c r="J90" s="11" t="str">
        <f t="shared" si="10"/>
      </c>
      <c r="K90" s="12" t="str">
        <f t="shared" si="15"/>
      </c>
      <c r="L90" s="13" t="str">
        <f>IF(H90="","",IFERROR(INDEX('Tipos BdE'!$B$7:$M$336,MATCH(DATE(YEAR(K90),MONTH(K90),1),'Tipos BdE'!$A$7:$A$336,1),MATCH($D$9,'Tipos BdE'!$B$6:$M$6,0)),0))</f>
      </c>
      <c r="M90" s="13" t="str">
        <f t="shared" si="11"/>
      </c>
      <c r="N90" s="13" t="str">
        <f t="shared" si="12"/>
      </c>
      <c r="O90" s="14" t="str">
        <f t="shared" si="13"/>
      </c>
      <c r="P90" s="14" t="str">
        <f>IF(H90="","",$D$5+SUM($O$5:O90))</f>
      </c>
    </row>
    <row r="91" spans="7:16" x14ac:dyDescent="0.35">
      <c r="G91" s="11" t="str">
        <f t="shared" si="8"/>
      </c>
      <c r="H91" s="12" t="str">
        <f t="shared" si="14"/>
      </c>
      <c r="I91" s="12" t="str">
        <f t="shared" si="9"/>
      </c>
      <c r="J91" s="11" t="str">
        <f t="shared" si="10"/>
      </c>
      <c r="K91" s="12" t="str">
        <f t="shared" si="15"/>
      </c>
      <c r="L91" s="13" t="str">
        <f>IF(H91="","",IFERROR(INDEX('Tipos BdE'!$B$7:$M$336,MATCH(DATE(YEAR(K91),MONTH(K91),1),'Tipos BdE'!$A$7:$A$336,1),MATCH($D$9,'Tipos BdE'!$B$6:$M$6,0)),0))</f>
      </c>
      <c r="M91" s="13" t="str">
        <f t="shared" si="11"/>
      </c>
      <c r="N91" s="13" t="str">
        <f t="shared" si="12"/>
      </c>
      <c r="O91" s="14" t="str">
        <f t="shared" si="13"/>
      </c>
      <c r="P91" s="14" t="str">
        <f>IF(H91="","",$D$5+SUM($O$5:O91))</f>
      </c>
    </row>
    <row r="92" spans="7:16" x14ac:dyDescent="0.35">
      <c r="G92" s="11" t="str">
        <f t="shared" si="8"/>
      </c>
      <c r="H92" s="12" t="str">
        <f t="shared" si="14"/>
      </c>
      <c r="I92" s="12" t="str">
        <f t="shared" si="9"/>
      </c>
      <c r="J92" s="11" t="str">
        <f t="shared" si="10"/>
      </c>
      <c r="K92" s="12" t="str">
        <f t="shared" si="15"/>
      </c>
      <c r="L92" s="13" t="str">
        <f>IF(H92="","",IFERROR(INDEX('Tipos BdE'!$B$7:$M$336,MATCH(DATE(YEAR(K92),MONTH(K92),1),'Tipos BdE'!$A$7:$A$336,1),MATCH($D$9,'Tipos BdE'!$B$6:$M$6,0)),0))</f>
      </c>
      <c r="M92" s="13" t="str">
        <f t="shared" si="11"/>
      </c>
      <c r="N92" s="13" t="str">
        <f t="shared" si="12"/>
      </c>
      <c r="O92" s="14" t="str">
        <f t="shared" si="13"/>
      </c>
      <c r="P92" s="14" t="str">
        <f>IF(H92="","",$D$5+SUM($O$5:O92))</f>
      </c>
    </row>
    <row r="93" spans="7:16" x14ac:dyDescent="0.35">
      <c r="G93" s="11" t="str">
        <f t="shared" si="8"/>
      </c>
      <c r="H93" s="12" t="str">
        <f t="shared" si="14"/>
      </c>
      <c r="I93" s="12" t="str">
        <f t="shared" si="9"/>
      </c>
      <c r="J93" s="11" t="str">
        <f t="shared" si="10"/>
      </c>
      <c r="K93" s="12" t="str">
        <f t="shared" si="15"/>
      </c>
      <c r="L93" s="13" t="str">
        <f>IF(H93="","",IFERROR(INDEX('Tipos BdE'!$B$7:$M$336,MATCH(DATE(YEAR(K93),MONTH(K93),1),'Tipos BdE'!$A$7:$A$336,1),MATCH($D$9,'Tipos BdE'!$B$6:$M$6,0)),0))</f>
      </c>
      <c r="M93" s="13" t="str">
        <f t="shared" si="11"/>
      </c>
      <c r="N93" s="13" t="str">
        <f t="shared" si="12"/>
      </c>
      <c r="O93" s="14" t="str">
        <f t="shared" si="13"/>
      </c>
      <c r="P93" s="14" t="str">
        <f>IF(H93="","",$D$5+SUM($O$5:O93))</f>
      </c>
    </row>
    <row r="94" spans="7:16" x14ac:dyDescent="0.35">
      <c r="G94" s="11" t="str">
        <f t="shared" si="8"/>
      </c>
      <c r="H94" s="12" t="str">
        <f t="shared" si="14"/>
      </c>
      <c r="I94" s="12" t="str">
        <f t="shared" si="9"/>
      </c>
      <c r="J94" s="11" t="str">
        <f t="shared" si="10"/>
      </c>
      <c r="K94" s="12" t="str">
        <f t="shared" si="15"/>
      </c>
      <c r="L94" s="13" t="str">
        <f>IF(H94="","",IFERROR(INDEX('Tipos BdE'!$B$7:$M$336,MATCH(DATE(YEAR(K94),MONTH(K94),1),'Tipos BdE'!$A$7:$A$336,1),MATCH($D$9,'Tipos BdE'!$B$6:$M$6,0)),0))</f>
      </c>
      <c r="M94" s="13" t="str">
        <f t="shared" si="11"/>
      </c>
      <c r="N94" s="13" t="str">
        <f t="shared" si="12"/>
      </c>
      <c r="O94" s="14" t="str">
        <f t="shared" si="13"/>
      </c>
      <c r="P94" s="14" t="str">
        <f>IF(H94="","",$D$5+SUM($O$5:O94))</f>
      </c>
    </row>
    <row r="95" spans="7:16" x14ac:dyDescent="0.35">
      <c r="G95" s="11" t="str">
        <f t="shared" si="8"/>
      </c>
      <c r="H95" s="12" t="str">
        <f t="shared" si="14"/>
      </c>
      <c r="I95" s="12" t="str">
        <f t="shared" si="9"/>
      </c>
      <c r="J95" s="11" t="str">
        <f t="shared" si="10"/>
      </c>
      <c r="K95" s="12" t="str">
        <f t="shared" si="15"/>
      </c>
      <c r="L95" s="13" t="str">
        <f>IF(H95="","",IFERROR(INDEX('Tipos BdE'!$B$7:$M$336,MATCH(DATE(YEAR(K95),MONTH(K95),1),'Tipos BdE'!$A$7:$A$336,1),MATCH($D$9,'Tipos BdE'!$B$6:$M$6,0)),0))</f>
      </c>
      <c r="M95" s="13" t="str">
        <f t="shared" si="11"/>
      </c>
      <c r="N95" s="13" t="str">
        <f t="shared" si="12"/>
      </c>
      <c r="O95" s="14" t="str">
        <f t="shared" si="13"/>
      </c>
      <c r="P95" s="14" t="str">
        <f>IF(H95="","",$D$5+SUM($O$5:O95))</f>
      </c>
    </row>
    <row r="96" spans="7:16" x14ac:dyDescent="0.35">
      <c r="G96" s="11" t="str">
        <f t="shared" si="8"/>
      </c>
      <c r="H96" s="12" t="str">
        <f t="shared" si="14"/>
      </c>
      <c r="I96" s="12" t="str">
        <f t="shared" si="9"/>
      </c>
      <c r="J96" s="11" t="str">
        <f t="shared" si="10"/>
      </c>
      <c r="K96" s="12" t="str">
        <f t="shared" si="15"/>
      </c>
      <c r="L96" s="13" t="str">
        <f>IF(H96="","",IFERROR(INDEX('Tipos BdE'!$B$7:$M$336,MATCH(DATE(YEAR(K96),MONTH(K96),1),'Tipos BdE'!$A$7:$A$336,1),MATCH($D$9,'Tipos BdE'!$B$6:$M$6,0)),0))</f>
      </c>
      <c r="M96" s="13" t="str">
        <f t="shared" si="11"/>
      </c>
      <c r="N96" s="13" t="str">
        <f t="shared" si="12"/>
      </c>
      <c r="O96" s="14" t="str">
        <f t="shared" si="13"/>
      </c>
      <c r="P96" s="14" t="str">
        <f>IF(H96="","",$D$5+SUM($O$5:O96))</f>
      </c>
    </row>
    <row r="97" spans="7:16" x14ac:dyDescent="0.35">
      <c r="G97" s="11" t="str">
        <f t="shared" si="8"/>
      </c>
      <c r="H97" s="12" t="str">
        <f t="shared" si="14"/>
      </c>
      <c r="I97" s="12" t="str">
        <f t="shared" si="9"/>
      </c>
      <c r="J97" s="11" t="str">
        <f t="shared" si="10"/>
      </c>
      <c r="K97" s="12" t="str">
        <f t="shared" si="15"/>
      </c>
      <c r="L97" s="13" t="str">
        <f>IF(H97="","",IFERROR(INDEX('Tipos BdE'!$B$7:$M$336,MATCH(DATE(YEAR(K97),MONTH(K97),1),'Tipos BdE'!$A$7:$A$336,1),MATCH($D$9,'Tipos BdE'!$B$6:$M$6,0)),0))</f>
      </c>
      <c r="M97" s="13" t="str">
        <f t="shared" si="11"/>
      </c>
      <c r="N97" s="13" t="str">
        <f t="shared" si="12"/>
      </c>
      <c r="O97" s="14" t="str">
        <f t="shared" si="13"/>
      </c>
      <c r="P97" s="14" t="str">
        <f>IF(H97="","",$D$5+SUM($O$5:O97))</f>
      </c>
    </row>
    <row r="98" spans="7:16" x14ac:dyDescent="0.35">
      <c r="G98" s="11" t="str">
        <f t="shared" si="8"/>
      </c>
      <c r="H98" s="12" t="str">
        <f t="shared" si="14"/>
      </c>
      <c r="I98" s="12" t="str">
        <f t="shared" si="9"/>
      </c>
      <c r="J98" s="11" t="str">
        <f t="shared" si="10"/>
      </c>
      <c r="K98" s="12" t="str">
        <f t="shared" si="15"/>
      </c>
      <c r="L98" s="13" t="str">
        <f>IF(H98="","",IFERROR(INDEX('Tipos BdE'!$B$7:$M$336,MATCH(DATE(YEAR(K98),MONTH(K98),1),'Tipos BdE'!$A$7:$A$336,1),MATCH($D$9,'Tipos BdE'!$B$6:$M$6,0)),0))</f>
      </c>
      <c r="M98" s="13" t="str">
        <f t="shared" si="11"/>
      </c>
      <c r="N98" s="13" t="str">
        <f t="shared" si="12"/>
      </c>
      <c r="O98" s="14" t="str">
        <f t="shared" si="13"/>
      </c>
      <c r="P98" s="14" t="str">
        <f>IF(H98="","",$D$5+SUM($O$5:O98))</f>
      </c>
    </row>
    <row r="99" spans="7:16" x14ac:dyDescent="0.35">
      <c r="G99" s="11" t="str">
        <f t="shared" si="8"/>
      </c>
      <c r="H99" s="12" t="str">
        <f t="shared" si="14"/>
      </c>
      <c r="I99" s="12" t="str">
        <f t="shared" si="9"/>
      </c>
      <c r="J99" s="11" t="str">
        <f t="shared" si="10"/>
      </c>
      <c r="K99" s="12" t="str">
        <f t="shared" si="15"/>
      </c>
      <c r="L99" s="13" t="str">
        <f>IF(H99="","",IFERROR(INDEX('Tipos BdE'!$B$7:$M$336,MATCH(DATE(YEAR(K99),MONTH(K99),1),'Tipos BdE'!$A$7:$A$336,1),MATCH($D$9,'Tipos BdE'!$B$6:$M$6,0)),0))</f>
      </c>
      <c r="M99" s="13" t="str">
        <f t="shared" si="11"/>
      </c>
      <c r="N99" s="13" t="str">
        <f t="shared" si="12"/>
      </c>
      <c r="O99" s="14" t="str">
        <f t="shared" si="13"/>
      </c>
      <c r="P99" s="14" t="str">
        <f>IF(H99="","",$D$5+SUM($O$5:O99))</f>
      </c>
    </row>
    <row r="100" spans="7:16" x14ac:dyDescent="0.35">
      <c r="G100" s="11" t="str">
        <f t="shared" si="8"/>
      </c>
      <c r="H100" s="12" t="str">
        <f t="shared" si="14"/>
      </c>
      <c r="I100" s="12" t="str">
        <f t="shared" si="9"/>
      </c>
      <c r="J100" s="11" t="str">
        <f t="shared" si="10"/>
      </c>
      <c r="K100" s="12" t="str">
        <f t="shared" si="15"/>
      </c>
      <c r="L100" s="13" t="str">
        <f>IF(H100="","",IFERROR(INDEX('Tipos BdE'!$B$7:$M$336,MATCH(DATE(YEAR(K100),MONTH(K100),1),'Tipos BdE'!$A$7:$A$336,1),MATCH($D$9,'Tipos BdE'!$B$6:$M$6,0)),0))</f>
      </c>
      <c r="M100" s="13" t="str">
        <f t="shared" si="11"/>
      </c>
      <c r="N100" s="13" t="str">
        <f t="shared" si="12"/>
      </c>
      <c r="O100" s="14" t="str">
        <f t="shared" si="13"/>
      </c>
      <c r="P100" s="14" t="str">
        <f>IF(H100="","",$D$5+SUM($O$5:O100))</f>
      </c>
    </row>
    <row r="101" spans="7:16" x14ac:dyDescent="0.35">
      <c r="G101" s="11" t="str">
        <f t="shared" si="8"/>
      </c>
      <c r="H101" s="12" t="str">
        <f t="shared" si="14"/>
      </c>
      <c r="I101" s="12" t="str">
        <f t="shared" si="9"/>
      </c>
      <c r="J101" s="11" t="str">
        <f t="shared" si="10"/>
      </c>
      <c r="K101" s="12" t="str">
        <f t="shared" si="15"/>
      </c>
      <c r="L101" s="13" t="str">
        <f>IF(H101="","",IFERROR(INDEX('Tipos BdE'!$B$7:$M$336,MATCH(DATE(YEAR(K101),MONTH(K101),1),'Tipos BdE'!$A$7:$A$336,1),MATCH($D$9,'Tipos BdE'!$B$6:$M$6,0)),0))</f>
      </c>
      <c r="M101" s="13" t="str">
        <f t="shared" si="11"/>
      </c>
      <c r="N101" s="13" t="str">
        <f t="shared" si="12"/>
      </c>
      <c r="O101" s="14" t="str">
        <f t="shared" si="13"/>
      </c>
      <c r="P101" s="14" t="str">
        <f>IF(H101="","",$D$5+SUM($O$5:O101))</f>
      </c>
    </row>
    <row r="102" spans="7:16" x14ac:dyDescent="0.35">
      <c r="G102" s="11" t="str">
        <f t="shared" si="8"/>
      </c>
      <c r="H102" s="12" t="str">
        <f t="shared" si="14"/>
      </c>
      <c r="I102" s="12" t="str">
        <f t="shared" si="9"/>
      </c>
      <c r="J102" s="11" t="str">
        <f t="shared" si="10"/>
      </c>
      <c r="K102" s="12" t="str">
        <f t="shared" si="15"/>
      </c>
      <c r="L102" s="13" t="str">
        <f>IF(H102="","",IFERROR(INDEX('Tipos BdE'!$B$7:$M$336,MATCH(DATE(YEAR(K102),MONTH(K102),1),'Tipos BdE'!$A$7:$A$336,1),MATCH($D$9,'Tipos BdE'!$B$6:$M$6,0)),0))</f>
      </c>
      <c r="M102" s="13" t="str">
        <f t="shared" si="11"/>
      </c>
      <c r="N102" s="13" t="str">
        <f t="shared" si="12"/>
      </c>
      <c r="O102" s="14" t="str">
        <f t="shared" si="13"/>
      </c>
      <c r="P102" s="14" t="str">
        <f>IF(H102="","",$D$5+SUM($O$5:O102))</f>
      </c>
    </row>
    <row r="103" spans="7:16" x14ac:dyDescent="0.35">
      <c r="G103" s="11" t="str">
        <f t="shared" si="8"/>
      </c>
      <c r="H103" s="12" t="str">
        <f t="shared" si="14"/>
      </c>
      <c r="I103" s="12" t="str">
        <f t="shared" si="9"/>
      </c>
      <c r="J103" s="11" t="str">
        <f t="shared" si="10"/>
      </c>
      <c r="K103" s="12" t="str">
        <f t="shared" si="15"/>
      </c>
      <c r="L103" s="13" t="str">
        <f>IF(H103="","",IFERROR(INDEX('Tipos BdE'!$B$7:$M$336,MATCH(DATE(YEAR(K103),MONTH(K103),1),'Tipos BdE'!$A$7:$A$336,1),MATCH($D$9,'Tipos BdE'!$B$6:$M$6,0)),0))</f>
      </c>
      <c r="M103" s="13" t="str">
        <f t="shared" si="11"/>
      </c>
      <c r="N103" s="13" t="str">
        <f t="shared" si="12"/>
      </c>
      <c r="O103" s="14" t="str">
        <f t="shared" si="13"/>
      </c>
      <c r="P103" s="14" t="str">
        <f>IF(H103="","",$D$5+SUM($O$5:O103))</f>
      </c>
    </row>
    <row r="104" spans="7:16" x14ac:dyDescent="0.35">
      <c r="G104" s="11" t="str">
        <f t="shared" si="8"/>
      </c>
      <c r="H104" s="12" t="str">
        <f t="shared" si="14"/>
      </c>
      <c r="I104" s="12" t="str">
        <f t="shared" si="9"/>
      </c>
      <c r="J104" s="11" t="str">
        <f t="shared" si="10"/>
      </c>
      <c r="K104" s="12" t="str">
        <f t="shared" si="15"/>
      </c>
      <c r="L104" s="13" t="str">
        <f>IF(H104="","",IFERROR(INDEX('Tipos BdE'!$B$7:$M$336,MATCH(DATE(YEAR(K104),MONTH(K104),1),'Tipos BdE'!$A$7:$A$336,1),MATCH($D$9,'Tipos BdE'!$B$6:$M$6,0)),0))</f>
      </c>
      <c r="M104" s="13" t="str">
        <f t="shared" si="11"/>
      </c>
      <c r="N104" s="13" t="str">
        <f t="shared" si="12"/>
      </c>
      <c r="O104" s="14" t="str">
        <f t="shared" si="13"/>
      </c>
      <c r="P104" s="14" t="str">
        <f>IF(H104="","",$D$5+SUM($O$5:O104))</f>
      </c>
    </row>
    <row r="105" spans="7:16" x14ac:dyDescent="0.35">
      <c r="G105" s="11" t="str">
        <f t="shared" si="8"/>
      </c>
      <c r="H105" s="12" t="str">
        <f t="shared" si="14"/>
      </c>
      <c r="I105" s="12" t="str">
        <f t="shared" si="9"/>
      </c>
      <c r="J105" s="11" t="str">
        <f t="shared" si="10"/>
      </c>
      <c r="K105" s="12" t="str">
        <f t="shared" si="15"/>
      </c>
      <c r="L105" s="13" t="str">
        <f>IF(H105="","",IFERROR(INDEX('Tipos BdE'!$B$7:$M$336,MATCH(DATE(YEAR(K105),MONTH(K105),1),'Tipos BdE'!$A$7:$A$336,1),MATCH($D$9,'Tipos BdE'!$B$6:$M$6,0)),0))</f>
      </c>
      <c r="M105" s="13" t="str">
        <f t="shared" si="11"/>
      </c>
      <c r="N105" s="13" t="str">
        <f t="shared" si="12"/>
      </c>
      <c r="O105" s="14" t="str">
        <f t="shared" si="13"/>
      </c>
      <c r="P105" s="14" t="str">
        <f>IF(H105="","",$D$5+SUM($O$5:O105))</f>
      </c>
    </row>
    <row r="106" spans="7:16" x14ac:dyDescent="0.35">
      <c r="G106" s="11" t="str">
        <f t="shared" si="8"/>
      </c>
      <c r="H106" s="12" t="str">
        <f t="shared" si="14"/>
      </c>
      <c r="I106" s="12" t="str">
        <f t="shared" si="9"/>
      </c>
      <c r="J106" s="11" t="str">
        <f t="shared" si="10"/>
      </c>
      <c r="K106" s="12" t="str">
        <f t="shared" si="15"/>
      </c>
      <c r="L106" s="13" t="str">
        <f>IF(H106="","",IFERROR(INDEX('Tipos BdE'!$B$7:$M$336,MATCH(DATE(YEAR(K106),MONTH(K106),1),'Tipos BdE'!$A$7:$A$336,1),MATCH($D$9,'Tipos BdE'!$B$6:$M$6,0)),0))</f>
      </c>
      <c r="M106" s="13" t="str">
        <f t="shared" si="11"/>
      </c>
      <c r="N106" s="13" t="str">
        <f t="shared" si="12"/>
      </c>
      <c r="O106" s="14" t="str">
        <f t="shared" si="13"/>
      </c>
      <c r="P106" s="14" t="str">
        <f>IF(H106="","",$D$5+SUM($O$5:O106))</f>
      </c>
    </row>
    <row r="107" spans="7:16" x14ac:dyDescent="0.35">
      <c r="G107" s="11" t="str">
        <f t="shared" si="8"/>
      </c>
      <c r="H107" s="12" t="str">
        <f t="shared" si="14"/>
      </c>
      <c r="I107" s="12" t="str">
        <f t="shared" si="9"/>
      </c>
      <c r="J107" s="11" t="str">
        <f t="shared" si="10"/>
      </c>
      <c r="K107" s="12" t="str">
        <f t="shared" si="15"/>
      </c>
      <c r="L107" s="13" t="str">
        <f>IF(H107="","",IFERROR(INDEX('Tipos BdE'!$B$7:$M$336,MATCH(DATE(YEAR(K107),MONTH(K107),1),'Tipos BdE'!$A$7:$A$336,1),MATCH($D$9,'Tipos BdE'!$B$6:$M$6,0)),0))</f>
      </c>
      <c r="M107" s="13" t="str">
        <f t="shared" si="11"/>
      </c>
      <c r="N107" s="13" t="str">
        <f t="shared" si="12"/>
      </c>
      <c r="O107" s="14" t="str">
        <f t="shared" si="13"/>
      </c>
      <c r="P107" s="14" t="str">
        <f>IF(H107="","",$D$5+SUM($O$5:O107))</f>
      </c>
    </row>
    <row r="108" spans="7:16" x14ac:dyDescent="0.35">
      <c r="G108" s="11" t="str">
        <f t="shared" si="8"/>
      </c>
      <c r="H108" s="12" t="str">
        <f t="shared" si="14"/>
      </c>
      <c r="I108" s="12" t="str">
        <f t="shared" si="9"/>
      </c>
      <c r="J108" s="11" t="str">
        <f t="shared" si="10"/>
      </c>
      <c r="K108" s="12" t="str">
        <f t="shared" si="15"/>
      </c>
      <c r="L108" s="13" t="str">
        <f>IF(H108="","",IFERROR(INDEX('Tipos BdE'!$B$7:$M$336,MATCH(DATE(YEAR(K108),MONTH(K108),1),'Tipos BdE'!$A$7:$A$336,1),MATCH($D$9,'Tipos BdE'!$B$6:$M$6,0)),0))</f>
      </c>
      <c r="M108" s="13" t="str">
        <f t="shared" si="11"/>
      </c>
      <c r="N108" s="13" t="str">
        <f t="shared" si="12"/>
      </c>
      <c r="O108" s="14" t="str">
        <f t="shared" si="13"/>
      </c>
      <c r="P108" s="14" t="str">
        <f>IF(H108="","",$D$5+SUM($O$5:O108))</f>
      </c>
    </row>
    <row r="109" spans="7:16" x14ac:dyDescent="0.35">
      <c r="G109" s="11" t="str">
        <f t="shared" si="8"/>
      </c>
      <c r="H109" s="12" t="str">
        <f t="shared" si="14"/>
      </c>
      <c r="I109" s="12" t="str">
        <f t="shared" si="9"/>
      </c>
      <c r="J109" s="11" t="str">
        <f t="shared" si="10"/>
      </c>
      <c r="K109" s="12" t="str">
        <f t="shared" si="15"/>
      </c>
      <c r="L109" s="13" t="str">
        <f>IF(H109="","",IFERROR(INDEX('Tipos BdE'!$B$7:$M$336,MATCH(DATE(YEAR(K109),MONTH(K109),1),'Tipos BdE'!$A$7:$A$336,1),MATCH($D$9,'Tipos BdE'!$B$6:$M$6,0)),0))</f>
      </c>
      <c r="M109" s="13" t="str">
        <f t="shared" si="11"/>
      </c>
      <c r="N109" s="13" t="str">
        <f t="shared" si="12"/>
      </c>
      <c r="O109" s="14" t="str">
        <f t="shared" si="13"/>
      </c>
      <c r="P109" s="14" t="str">
        <f>IF(H109="","",$D$5+SUM($O$5:O109))</f>
      </c>
    </row>
    <row r="110" spans="7:16" x14ac:dyDescent="0.35">
      <c r="G110" s="11" t="str">
        <f t="shared" si="8"/>
      </c>
      <c r="H110" s="12" t="str">
        <f t="shared" si="14"/>
      </c>
      <c r="I110" s="12" t="str">
        <f t="shared" si="9"/>
      </c>
      <c r="J110" s="11" t="str">
        <f t="shared" si="10"/>
      </c>
      <c r="K110" s="12" t="str">
        <f t="shared" si="15"/>
      </c>
      <c r="L110" s="13" t="str">
        <f>IF(H110="","",IFERROR(INDEX('Tipos BdE'!$B$7:$M$336,MATCH(DATE(YEAR(K110),MONTH(K110),1),'Tipos BdE'!$A$7:$A$336,1),MATCH($D$9,'Tipos BdE'!$B$6:$M$6,0)),0))</f>
      </c>
      <c r="M110" s="13" t="str">
        <f t="shared" si="11"/>
      </c>
      <c r="N110" s="13" t="str">
        <f t="shared" si="12"/>
      </c>
      <c r="O110" s="14" t="str">
        <f t="shared" si="13"/>
      </c>
      <c r="P110" s="14" t="str">
        <f>IF(H110="","",$D$5+SUM($O$5:O110))</f>
      </c>
    </row>
    <row r="111" spans="7:16" x14ac:dyDescent="0.35">
      <c r="G111" s="11" t="str">
        <f t="shared" si="8"/>
      </c>
      <c r="H111" s="12" t="str">
        <f t="shared" si="14"/>
      </c>
      <c r="I111" s="12" t="str">
        <f t="shared" si="9"/>
      </c>
      <c r="J111" s="11" t="str">
        <f t="shared" si="10"/>
      </c>
      <c r="K111" s="12" t="str">
        <f t="shared" si="15"/>
      </c>
      <c r="L111" s="13" t="str">
        <f>IF(H111="","",IFERROR(INDEX('Tipos BdE'!$B$7:$M$336,MATCH(DATE(YEAR(K111),MONTH(K111),1),'Tipos BdE'!$A$7:$A$336,1),MATCH($D$9,'Tipos BdE'!$B$6:$M$6,0)),0))</f>
      </c>
      <c r="M111" s="13" t="str">
        <f t="shared" si="11"/>
      </c>
      <c r="N111" s="13" t="str">
        <f t="shared" si="12"/>
      </c>
      <c r="O111" s="14" t="str">
        <f t="shared" si="13"/>
      </c>
      <c r="P111" s="14" t="str">
        <f>IF(H111="","",$D$5+SUM($O$5:O111))</f>
      </c>
    </row>
    <row r="112" spans="7:16" x14ac:dyDescent="0.35">
      <c r="G112" s="11" t="str">
        <f t="shared" si="8"/>
      </c>
      <c r="H112" s="12" t="str">
        <f t="shared" si="14"/>
      </c>
      <c r="I112" s="12" t="str">
        <f t="shared" si="9"/>
      </c>
      <c r="J112" s="11" t="str">
        <f t="shared" si="10"/>
      </c>
      <c r="K112" s="12" t="str">
        <f t="shared" si="15"/>
      </c>
      <c r="L112" s="13" t="str">
        <f>IF(H112="","",IFERROR(INDEX('Tipos BdE'!$B$7:$M$336,MATCH(DATE(YEAR(K112),MONTH(K112),1),'Tipos BdE'!$A$7:$A$336,1),MATCH($D$9,'Tipos BdE'!$B$6:$M$6,0)),0))</f>
      </c>
      <c r="M112" s="13" t="str">
        <f t="shared" si="11"/>
      </c>
      <c r="N112" s="13" t="str">
        <f t="shared" si="12"/>
      </c>
      <c r="O112" s="14" t="str">
        <f t="shared" si="13"/>
      </c>
      <c r="P112" s="14" t="str">
        <f>IF(H112="","",$D$5+SUM($O$5:O112))</f>
      </c>
    </row>
    <row r="113" spans="7:16" x14ac:dyDescent="0.35">
      <c r="G113" s="11" t="str">
        <f t="shared" si="8"/>
      </c>
      <c r="H113" s="12" t="str">
        <f t="shared" si="14"/>
      </c>
      <c r="I113" s="12" t="str">
        <f t="shared" si="9"/>
      </c>
      <c r="J113" s="11" t="str">
        <f t="shared" si="10"/>
      </c>
      <c r="K113" s="12" t="str">
        <f t="shared" si="15"/>
      </c>
      <c r="L113" s="13" t="str">
        <f>IF(H113="","",IFERROR(INDEX('Tipos BdE'!$B$7:$M$336,MATCH(DATE(YEAR(K113),MONTH(K113),1),'Tipos BdE'!$A$7:$A$336,1),MATCH($D$9,'Tipos BdE'!$B$6:$M$6,0)),0))</f>
      </c>
      <c r="M113" s="13" t="str">
        <f t="shared" si="11"/>
      </c>
      <c r="N113" s="13" t="str">
        <f t="shared" si="12"/>
      </c>
      <c r="O113" s="14" t="str">
        <f t="shared" si="13"/>
      </c>
      <c r="P113" s="14" t="str">
        <f>IF(H113="","",$D$5+SUM($O$5:O113))</f>
      </c>
    </row>
    <row r="114" spans="7:16" x14ac:dyDescent="0.35">
      <c r="G114" s="11" t="str">
        <f t="shared" si="8"/>
      </c>
      <c r="H114" s="12" t="str">
        <f t="shared" si="14"/>
      </c>
      <c r="I114" s="12" t="str">
        <f t="shared" si="9"/>
      </c>
      <c r="J114" s="11" t="str">
        <f t="shared" si="10"/>
      </c>
      <c r="K114" s="12" t="str">
        <f t="shared" si="15"/>
      </c>
      <c r="L114" s="13" t="str">
        <f>IF(H114="","",IFERROR(INDEX('Tipos BdE'!$B$7:$M$336,MATCH(DATE(YEAR(K114),MONTH(K114),1),'Tipos BdE'!$A$7:$A$336,1),MATCH($D$9,'Tipos BdE'!$B$6:$M$6,0)),0))</f>
      </c>
      <c r="M114" s="13" t="str">
        <f t="shared" si="11"/>
      </c>
      <c r="N114" s="13" t="str">
        <f t="shared" si="12"/>
      </c>
      <c r="O114" s="14" t="str">
        <f t="shared" si="13"/>
      </c>
      <c r="P114" s="14" t="str">
        <f>IF(H114="","",$D$5+SUM($O$5:O114))</f>
      </c>
    </row>
    <row r="115" spans="7:16" x14ac:dyDescent="0.35">
      <c r="G115" s="11" t="str">
        <f t="shared" si="8"/>
      </c>
      <c r="H115" s="12" t="str">
        <f t="shared" si="14"/>
      </c>
      <c r="I115" s="12" t="str">
        <f t="shared" si="9"/>
      </c>
      <c r="J115" s="11" t="str">
        <f t="shared" si="10"/>
      </c>
      <c r="K115" s="12" t="str">
        <f t="shared" si="15"/>
      </c>
      <c r="L115" s="13" t="str">
        <f>IF(H115="","",IFERROR(INDEX('Tipos BdE'!$B$7:$M$336,MATCH(DATE(YEAR(K115),MONTH(K115),1),'Tipos BdE'!$A$7:$A$336,1),MATCH($D$9,'Tipos BdE'!$B$6:$M$6,0)),0))</f>
      </c>
      <c r="M115" s="13" t="str">
        <f t="shared" si="11"/>
      </c>
      <c r="N115" s="13" t="str">
        <f t="shared" si="12"/>
      </c>
      <c r="O115" s="14" t="str">
        <f t="shared" si="13"/>
      </c>
      <c r="P115" s="14" t="str">
        <f>IF(H115="","",$D$5+SUM($O$5:O115))</f>
      </c>
    </row>
    <row r="116" spans="7:16" x14ac:dyDescent="0.35">
      <c r="G116" s="11" t="str">
        <f t="shared" si="8"/>
      </c>
      <c r="H116" s="12" t="str">
        <f t="shared" si="14"/>
      </c>
      <c r="I116" s="12" t="str">
        <f t="shared" si="9"/>
      </c>
      <c r="J116" s="11" t="str">
        <f t="shared" si="10"/>
      </c>
      <c r="K116" s="12" t="str">
        <f t="shared" si="15"/>
      </c>
      <c r="L116" s="13" t="str">
        <f>IF(H116="","",IFERROR(INDEX('Tipos BdE'!$B$7:$M$336,MATCH(DATE(YEAR(K116),MONTH(K116),1),'Tipos BdE'!$A$7:$A$336,1),MATCH($D$9,'Tipos BdE'!$B$6:$M$6,0)),0))</f>
      </c>
      <c r="M116" s="13" t="str">
        <f t="shared" si="11"/>
      </c>
      <c r="N116" s="13" t="str">
        <f t="shared" si="12"/>
      </c>
      <c r="O116" s="14" t="str">
        <f t="shared" si="13"/>
      </c>
      <c r="P116" s="14" t="str">
        <f>IF(H116="","",$D$5+SUM($O$5:O116))</f>
      </c>
    </row>
    <row r="117" spans="7:16" x14ac:dyDescent="0.35">
      <c r="G117" s="11" t="str">
        <f t="shared" si="8"/>
      </c>
      <c r="H117" s="12" t="str">
        <f t="shared" si="14"/>
      </c>
      <c r="I117" s="12" t="str">
        <f t="shared" si="9"/>
      </c>
      <c r="J117" s="11" t="str">
        <f t="shared" si="10"/>
      </c>
      <c r="K117" s="12" t="str">
        <f t="shared" si="15"/>
      </c>
      <c r="L117" s="13" t="str">
        <f>IF(H117="","",IFERROR(INDEX('Tipos BdE'!$B$7:$M$336,MATCH(DATE(YEAR(K117),MONTH(K117),1),'Tipos BdE'!$A$7:$A$336,1),MATCH($D$9,'Tipos BdE'!$B$6:$M$6,0)),0))</f>
      </c>
      <c r="M117" s="13" t="str">
        <f t="shared" si="11"/>
      </c>
      <c r="N117" s="13" t="str">
        <f t="shared" si="12"/>
      </c>
      <c r="O117" s="14" t="str">
        <f t="shared" si="13"/>
      </c>
      <c r="P117" s="14" t="str">
        <f>IF(H117="","",$D$5+SUM($O$5:O117))</f>
      </c>
    </row>
    <row r="118" spans="7:16" x14ac:dyDescent="0.35">
      <c r="G118" s="11" t="str">
        <f t="shared" si="8"/>
      </c>
      <c r="H118" s="12" t="str">
        <f t="shared" si="14"/>
      </c>
      <c r="I118" s="12" t="str">
        <f t="shared" si="9"/>
      </c>
      <c r="J118" s="11" t="str">
        <f t="shared" si="10"/>
      </c>
      <c r="K118" s="12" t="str">
        <f t="shared" si="15"/>
      </c>
      <c r="L118" s="13" t="str">
        <f>IF(H118="","",IFERROR(INDEX('Tipos BdE'!$B$7:$M$336,MATCH(DATE(YEAR(K118),MONTH(K118),1),'Tipos BdE'!$A$7:$A$336,1),MATCH($D$9,'Tipos BdE'!$B$6:$M$6,0)),0))</f>
      </c>
      <c r="M118" s="13" t="str">
        <f t="shared" si="11"/>
      </c>
      <c r="N118" s="13" t="str">
        <f t="shared" si="12"/>
      </c>
      <c r="O118" s="14" t="str">
        <f t="shared" si="13"/>
      </c>
      <c r="P118" s="14" t="str">
        <f>IF(H118="","",$D$5+SUM($O$5:O118))</f>
      </c>
    </row>
    <row r="119" spans="7:16" x14ac:dyDescent="0.35">
      <c r="G119" s="11" t="str">
        <f t="shared" si="8"/>
      </c>
      <c r="H119" s="12" t="str">
        <f t="shared" si="14"/>
      </c>
      <c r="I119" s="12" t="str">
        <f t="shared" si="9"/>
      </c>
      <c r="J119" s="11" t="str">
        <f t="shared" si="10"/>
      </c>
      <c r="K119" s="12" t="str">
        <f t="shared" si="15"/>
      </c>
      <c r="L119" s="13" t="str">
        <f>IF(H119="","",IFERROR(INDEX('Tipos BdE'!$B$7:$M$336,MATCH(DATE(YEAR(K119),MONTH(K119),1),'Tipos BdE'!$A$7:$A$336,1),MATCH($D$9,'Tipos BdE'!$B$6:$M$6,0)),0))</f>
      </c>
      <c r="M119" s="13" t="str">
        <f t="shared" si="11"/>
      </c>
      <c r="N119" s="13" t="str">
        <f t="shared" si="12"/>
      </c>
      <c r="O119" s="14" t="str">
        <f t="shared" si="13"/>
      </c>
      <c r="P119" s="14" t="str">
        <f>IF(H119="","",$D$5+SUM($O$5:O119))</f>
      </c>
    </row>
    <row r="120" spans="7:16" x14ac:dyDescent="0.35">
      <c r="G120" s="11" t="str">
        <f t="shared" si="8"/>
      </c>
      <c r="H120" s="12" t="str">
        <f t="shared" si="14"/>
      </c>
      <c r="I120" s="12" t="str">
        <f t="shared" si="9"/>
      </c>
      <c r="J120" s="11" t="str">
        <f t="shared" si="10"/>
      </c>
      <c r="K120" s="12" t="str">
        <f t="shared" si="15"/>
      </c>
      <c r="L120" s="13" t="str">
        <f>IF(H120="","",IFERROR(INDEX('Tipos BdE'!$B$7:$M$336,MATCH(DATE(YEAR(K120),MONTH(K120),1),'Tipos BdE'!$A$7:$A$336,1),MATCH($D$9,'Tipos BdE'!$B$6:$M$6,0)),0))</f>
      </c>
      <c r="M120" s="13" t="str">
        <f t="shared" si="11"/>
      </c>
      <c r="N120" s="13" t="str">
        <f t="shared" si="12"/>
      </c>
      <c r="O120" s="14" t="str">
        <f t="shared" si="13"/>
      </c>
      <c r="P120" s="14" t="str">
        <f>IF(H120="","",$D$5+SUM($O$5:O120))</f>
      </c>
    </row>
    <row r="121" spans="7:16" x14ac:dyDescent="0.35">
      <c r="G121" s="11" t="str">
        <f t="shared" si="8"/>
      </c>
      <c r="H121" s="12" t="str">
        <f t="shared" si="14"/>
      </c>
      <c r="I121" s="12" t="str">
        <f t="shared" si="9"/>
      </c>
      <c r="J121" s="11" t="str">
        <f t="shared" si="10"/>
      </c>
      <c r="K121" s="12" t="str">
        <f t="shared" si="15"/>
      </c>
      <c r="L121" s="13" t="str">
        <f>IF(H121="","",IFERROR(INDEX('Tipos BdE'!$B$7:$M$336,MATCH(DATE(YEAR(K121),MONTH(K121),1),'Tipos BdE'!$A$7:$A$336,1),MATCH($D$9,'Tipos BdE'!$B$6:$M$6,0)),0))</f>
      </c>
      <c r="M121" s="13" t="str">
        <f t="shared" si="11"/>
      </c>
      <c r="N121" s="13" t="str">
        <f t="shared" si="12"/>
      </c>
      <c r="O121" s="14" t="str">
        <f t="shared" si="13"/>
      </c>
      <c r="P121" s="14" t="str">
        <f>IF(H121="","",$D$5+SUM($O$5:O121))</f>
      </c>
    </row>
    <row r="122" spans="7:16" x14ac:dyDescent="0.35">
      <c r="G122" s="11" t="str">
        <f t="shared" si="8"/>
      </c>
      <c r="H122" s="12" t="str">
        <f t="shared" si="14"/>
      </c>
      <c r="I122" s="12" t="str">
        <f t="shared" si="9"/>
      </c>
      <c r="J122" s="11" t="str">
        <f t="shared" si="10"/>
      </c>
      <c r="K122" s="12" t="str">
        <f t="shared" si="15"/>
      </c>
      <c r="L122" s="13" t="str">
        <f>IF(H122="","",IFERROR(INDEX('Tipos BdE'!$B$7:$M$336,MATCH(DATE(YEAR(K122),MONTH(K122),1),'Tipos BdE'!$A$7:$A$336,1),MATCH($D$9,'Tipos BdE'!$B$6:$M$6,0)),0))</f>
      </c>
      <c r="M122" s="13" t="str">
        <f t="shared" si="11"/>
      </c>
      <c r="N122" s="13" t="str">
        <f t="shared" si="12"/>
      </c>
      <c r="O122" s="14" t="str">
        <f t="shared" si="13"/>
      </c>
      <c r="P122" s="14" t="str">
        <f>IF(H122="","",$D$5+SUM($O$5:O122))</f>
      </c>
    </row>
    <row r="123" spans="7:16" x14ac:dyDescent="0.35">
      <c r="G123" s="11" t="str">
        <f t="shared" si="8"/>
      </c>
      <c r="H123" s="12" t="str">
        <f t="shared" si="14"/>
      </c>
      <c r="I123" s="12" t="str">
        <f t="shared" si="9"/>
      </c>
      <c r="J123" s="11" t="str">
        <f t="shared" si="10"/>
      </c>
      <c r="K123" s="12" t="str">
        <f t="shared" si="15"/>
      </c>
      <c r="L123" s="13" t="str">
        <f>IF(H123="","",IFERROR(INDEX('Tipos BdE'!$B$7:$M$336,MATCH(DATE(YEAR(K123),MONTH(K123),1),'Tipos BdE'!$A$7:$A$336,1),MATCH($D$9,'Tipos BdE'!$B$6:$M$6,0)),0))</f>
      </c>
      <c r="M123" s="13" t="str">
        <f t="shared" si="11"/>
      </c>
      <c r="N123" s="13" t="str">
        <f t="shared" si="12"/>
      </c>
      <c r="O123" s="14" t="str">
        <f t="shared" si="13"/>
      </c>
      <c r="P123" s="14" t="str">
        <f>IF(H123="","",$D$5+SUM($O$5:O123))</f>
      </c>
    </row>
    <row r="124" spans="7:16" x14ac:dyDescent="0.35">
      <c r="G124" s="11" t="str">
        <f t="shared" si="8"/>
      </c>
      <c r="H124" s="12" t="str">
        <f t="shared" si="14"/>
      </c>
      <c r="I124" s="12" t="str">
        <f t="shared" si="9"/>
      </c>
      <c r="J124" s="11" t="str">
        <f t="shared" si="10"/>
      </c>
      <c r="K124" s="12" t="str">
        <f t="shared" si="15"/>
      </c>
      <c r="L124" s="13" t="str">
        <f>IF(H124="","",IFERROR(INDEX('Tipos BdE'!$B$7:$M$336,MATCH(DATE(YEAR(K124),MONTH(K124),1),'Tipos BdE'!$A$7:$A$336,1),MATCH($D$9,'Tipos BdE'!$B$6:$M$6,0)),0))</f>
      </c>
      <c r="M124" s="13" t="str">
        <f t="shared" si="11"/>
      </c>
      <c r="N124" s="13" t="str">
        <f t="shared" si="12"/>
      </c>
      <c r="O124" s="14" t="str">
        <f t="shared" si="13"/>
      </c>
      <c r="P124" s="14" t="str">
        <f>IF(H124="","",$D$5+SUM($O$5:O124))</f>
      </c>
    </row>
    <row r="125" spans="7:16" x14ac:dyDescent="0.35">
      <c r="G125" s="11" t="str">
        <f t="shared" si="8"/>
      </c>
      <c r="H125" s="12" t="str">
        <f t="shared" si="14"/>
      </c>
      <c r="I125" s="12" t="str">
        <f t="shared" si="9"/>
      </c>
      <c r="J125" s="11" t="str">
        <f t="shared" si="10"/>
      </c>
      <c r="K125" s="12" t="str">
        <f t="shared" si="15"/>
      </c>
      <c r="L125" s="13" t="str">
        <f>IF(H125="","",IFERROR(INDEX('Tipos BdE'!$B$7:$M$336,MATCH(DATE(YEAR(K125),MONTH(K125),1),'Tipos BdE'!$A$7:$A$336,1),MATCH($D$9,'Tipos BdE'!$B$6:$M$6,0)),0))</f>
      </c>
      <c r="M125" s="13" t="str">
        <f t="shared" si="11"/>
      </c>
      <c r="N125" s="13" t="str">
        <f t="shared" si="12"/>
      </c>
      <c r="O125" s="14" t="str">
        <f t="shared" si="13"/>
      </c>
      <c r="P125" s="14" t="str">
        <f>IF(H125="","",$D$5+SUM($O$5:O125))</f>
      </c>
    </row>
    <row r="126" spans="7:16" x14ac:dyDescent="0.35">
      <c r="G126" s="11" t="str">
        <f t="shared" si="8"/>
      </c>
      <c r="H126" s="12" t="str">
        <f t="shared" si="14"/>
      </c>
      <c r="I126" s="12" t="str">
        <f t="shared" si="9"/>
      </c>
      <c r="J126" s="11" t="str">
        <f t="shared" si="10"/>
      </c>
      <c r="K126" s="12" t="str">
        <f t="shared" si="15"/>
      </c>
      <c r="L126" s="13" t="str">
        <f>IF(H126="","",IFERROR(INDEX('Tipos BdE'!$B$7:$M$336,MATCH(DATE(YEAR(K126),MONTH(K126),1),'Tipos BdE'!$A$7:$A$336,1),MATCH($D$9,'Tipos BdE'!$B$6:$M$6,0)),0))</f>
      </c>
      <c r="M126" s="13" t="str">
        <f t="shared" si="11"/>
      </c>
      <c r="N126" s="13" t="str">
        <f t="shared" si="12"/>
      </c>
      <c r="O126" s="14" t="str">
        <f t="shared" si="13"/>
      </c>
      <c r="P126" s="14" t="str">
        <f>IF(H126="","",$D$5+SUM($O$5:O126))</f>
      </c>
    </row>
    <row r="127" spans="7:16" x14ac:dyDescent="0.35">
      <c r="G127" s="11" t="str">
        <f t="shared" si="8"/>
      </c>
      <c r="H127" s="12" t="str">
        <f t="shared" si="14"/>
      </c>
      <c r="I127" s="12" t="str">
        <f t="shared" si="9"/>
      </c>
      <c r="J127" s="11" t="str">
        <f t="shared" si="10"/>
      </c>
      <c r="K127" s="12" t="str">
        <f t="shared" si="15"/>
      </c>
      <c r="L127" s="13" t="str">
        <f>IF(H127="","",IFERROR(INDEX('Tipos BdE'!$B$7:$M$336,MATCH(DATE(YEAR(K127),MONTH(K127),1),'Tipos BdE'!$A$7:$A$336,1),MATCH($D$9,'Tipos BdE'!$B$6:$M$6,0)),0))</f>
      </c>
      <c r="M127" s="13" t="str">
        <f t="shared" si="11"/>
      </c>
      <c r="N127" s="13" t="str">
        <f t="shared" si="12"/>
      </c>
      <c r="O127" s="14" t="str">
        <f t="shared" si="13"/>
      </c>
      <c r="P127" s="14" t="str">
        <f>IF(H127="","",$D$5+SUM($O$5:O127))</f>
      </c>
    </row>
    <row r="128" spans="7:16" x14ac:dyDescent="0.35">
      <c r="G128" s="11" t="str">
        <f t="shared" si="8"/>
      </c>
      <c r="H128" s="12" t="str">
        <f t="shared" si="14"/>
      </c>
      <c r="I128" s="12" t="str">
        <f t="shared" si="9"/>
      </c>
      <c r="J128" s="11" t="str">
        <f t="shared" si="10"/>
      </c>
      <c r="K128" s="12" t="str">
        <f t="shared" si="15"/>
      </c>
      <c r="L128" s="13" t="str">
        <f>IF(H128="","",IFERROR(INDEX('Tipos BdE'!$B$7:$M$336,MATCH(DATE(YEAR(K128),MONTH(K128),1),'Tipos BdE'!$A$7:$A$336,1),MATCH($D$9,'Tipos BdE'!$B$6:$M$6,0)),0))</f>
      </c>
      <c r="M128" s="13" t="str">
        <f t="shared" si="11"/>
      </c>
      <c r="N128" s="13" t="str">
        <f t="shared" si="12"/>
      </c>
      <c r="O128" s="14" t="str">
        <f t="shared" si="13"/>
      </c>
      <c r="P128" s="14" t="str">
        <f>IF(H128="","",$D$5+SUM($O$5:O128))</f>
      </c>
    </row>
    <row r="129" spans="7:16" x14ac:dyDescent="0.35">
      <c r="G129" s="11" t="str">
        <f t="shared" si="8"/>
      </c>
      <c r="H129" s="12" t="str">
        <f t="shared" si="14"/>
      </c>
      <c r="I129" s="12" t="str">
        <f t="shared" si="9"/>
      </c>
      <c r="J129" s="11" t="str">
        <f t="shared" si="10"/>
      </c>
      <c r="K129" s="12" t="str">
        <f t="shared" si="15"/>
      </c>
      <c r="L129" s="13" t="str">
        <f>IF(H129="","",IFERROR(INDEX('Tipos BdE'!$B$7:$M$336,MATCH(DATE(YEAR(K129),MONTH(K129),1),'Tipos BdE'!$A$7:$A$336,1),MATCH($D$9,'Tipos BdE'!$B$6:$M$6,0)),0))</f>
      </c>
      <c r="M129" s="13" t="str">
        <f t="shared" si="11"/>
      </c>
      <c r="N129" s="13" t="str">
        <f t="shared" si="12"/>
      </c>
      <c r="O129" s="14" t="str">
        <f t="shared" si="13"/>
      </c>
      <c r="P129" s="14" t="str">
        <f>IF(H129="","",$D$5+SUM($O$5:O129))</f>
      </c>
    </row>
    <row r="130" spans="7:16" x14ac:dyDescent="0.35">
      <c r="G130" s="11" t="str">
        <f t="shared" si="8"/>
      </c>
      <c r="H130" s="12" t="str">
        <f t="shared" si="14"/>
      </c>
      <c r="I130" s="12" t="str">
        <f t="shared" si="9"/>
      </c>
      <c r="J130" s="11" t="str">
        <f t="shared" si="10"/>
      </c>
      <c r="K130" s="12" t="str">
        <f t="shared" si="15"/>
      </c>
      <c r="L130" s="13" t="str">
        <f>IF(H130="","",IFERROR(INDEX('Tipos BdE'!$B$7:$M$336,MATCH(DATE(YEAR(K130),MONTH(K130),1),'Tipos BdE'!$A$7:$A$336,1),MATCH($D$9,'Tipos BdE'!$B$6:$M$6,0)),0))</f>
      </c>
      <c r="M130" s="13" t="str">
        <f t="shared" si="11"/>
      </c>
      <c r="N130" s="13" t="str">
        <f t="shared" si="12"/>
      </c>
      <c r="O130" s="14" t="str">
        <f t="shared" si="13"/>
      </c>
      <c r="P130" s="14" t="str">
        <f>IF(H130="","",$D$5+SUM($O$5:O130))</f>
      </c>
    </row>
    <row r="131" spans="7:16" x14ac:dyDescent="0.35">
      <c r="G131" s="11" t="str">
        <f t="shared" si="8"/>
      </c>
      <c r="H131" s="12" t="str">
        <f t="shared" si="14"/>
      </c>
      <c r="I131" s="12" t="str">
        <f t="shared" si="9"/>
      </c>
      <c r="J131" s="11" t="str">
        <f t="shared" si="10"/>
      </c>
      <c r="K131" s="12" t="str">
        <f t="shared" si="15"/>
      </c>
      <c r="L131" s="13" t="str">
        <f>IF(H131="","",IFERROR(INDEX('Tipos BdE'!$B$7:$M$336,MATCH(DATE(YEAR(K131),MONTH(K131),1),'Tipos BdE'!$A$7:$A$336,1),MATCH($D$9,'Tipos BdE'!$B$6:$M$6,0)),0))</f>
      </c>
      <c r="M131" s="13" t="str">
        <f t="shared" si="11"/>
      </c>
      <c r="N131" s="13" t="str">
        <f t="shared" si="12"/>
      </c>
      <c r="O131" s="14" t="str">
        <f t="shared" si="13"/>
      </c>
      <c r="P131" s="14" t="str">
        <f>IF(H131="","",$D$5+SUM($O$5:O131))</f>
      </c>
    </row>
    <row r="132" spans="7:16" x14ac:dyDescent="0.35">
      <c r="G132" s="11" t="str">
        <f t="shared" si="8"/>
      </c>
      <c r="H132" s="12" t="str">
        <f t="shared" si="14"/>
      </c>
      <c r="I132" s="12" t="str">
        <f t="shared" si="9"/>
      </c>
      <c r="J132" s="11" t="str">
        <f t="shared" si="10"/>
      </c>
      <c r="K132" s="12" t="str">
        <f t="shared" si="15"/>
      </c>
      <c r="L132" s="13" t="str">
        <f>IF(H132="","",IFERROR(INDEX('Tipos BdE'!$B$7:$M$336,MATCH(DATE(YEAR(K132),MONTH(K132),1),'Tipos BdE'!$A$7:$A$336,1),MATCH($D$9,'Tipos BdE'!$B$6:$M$6,0)),0))</f>
      </c>
      <c r="M132" s="13" t="str">
        <f t="shared" si="11"/>
      </c>
      <c r="N132" s="13" t="str">
        <f t="shared" si="12"/>
      </c>
      <c r="O132" s="14" t="str">
        <f t="shared" si="13"/>
      </c>
      <c r="P132" s="14" t="str">
        <f>IF(H132="","",$D$5+SUM($O$5:O132))</f>
      </c>
    </row>
    <row r="133" spans="7:16" x14ac:dyDescent="0.35">
      <c r="G133" s="11" t="str">
        <f t="shared" ref="G133:G196" si="16">IF(H133="","",ROW()-4)</f>
      </c>
      <c r="H133" s="12" t="str">
        <f t="shared" si="14"/>
      </c>
      <c r="I133" s="12" t="str">
        <f t="shared" ref="I133:I196" si="17">IF(H133="","",MIN(IF($D$18="LEGAL",DATE(YEAR(H133)+1,1,1),EDATE($D$12,$D$11*(INT((((YEAR(H133)-YEAR($D$12))*12+(MONTH(H133)-MONTH($D$12))-IF(DAY(H133)&lt;DAY($D$12),1,0))/$D$11))+1))),$D$7))</f>
      </c>
      <c r="J133" s="11" t="str">
        <f t="shared" ref="J133:J196" si="18">IF(H133="","",I133-H133)</f>
      </c>
      <c r="K133" s="12" t="str">
        <f t="shared" si="15"/>
      </c>
      <c r="L133" s="13" t="str">
        <f>IF(H133="","",IFERROR(INDEX('Tipos BdE'!$B$7:$M$336,MATCH(DATE(YEAR(K133),MONTH(K133),1),'Tipos BdE'!$A$7:$A$336,1),MATCH($D$9,'Tipos BdE'!$B$6:$M$6,0)),0))</f>
      </c>
      <c r="M133" s="13" t="str">
        <f t="shared" ref="M133:M196" si="19">IF(H133="","",IF($D$18="LEGAL",0,$D$10))</f>
      </c>
      <c r="N133" s="13" t="str">
        <f t="shared" ref="N133:N196" si="20">IF(H133="","",IF(AND($D$14="Sí",(L133+M133)&lt;0),0,L133+M133))</f>
      </c>
      <c r="O133" s="14" t="str">
        <f t="shared" ref="O133:O196" si="21">IF(H133="","",$D$5*N133*J133/36500)</f>
      </c>
      <c r="P133" s="14" t="str">
        <f>IF(H133="","",$D$5+SUM($O$5:O133))</f>
      </c>
    </row>
    <row r="134" spans="7:16" x14ac:dyDescent="0.35">
      <c r="G134" s="11" t="str">
        <f t="shared" si="16"/>
      </c>
      <c r="H134" s="12" t="str">
        <f t="shared" ref="H134:H197" si="22">IF(OR(I133="",I133&gt;=$D$7),"",I133)</f>
      </c>
      <c r="I134" s="12" t="str">
        <f t="shared" si="17"/>
      </c>
      <c r="J134" s="11" t="str">
        <f t="shared" si="18"/>
      </c>
      <c r="K134" s="12" t="str">
        <f t="shared" ref="K134:K197" si="23">IF(H134="","",IF($D$18="LEGAL",H134,EDATE(H134,-$D$13)))</f>
      </c>
      <c r="L134" s="13" t="str">
        <f>IF(H134="","",IFERROR(INDEX('Tipos BdE'!$B$7:$M$336,MATCH(DATE(YEAR(K134),MONTH(K134),1),'Tipos BdE'!$A$7:$A$336,1),MATCH($D$9,'Tipos BdE'!$B$6:$M$6,0)),0))</f>
      </c>
      <c r="M134" s="13" t="str">
        <f t="shared" si="19"/>
      </c>
      <c r="N134" s="13" t="str">
        <f t="shared" si="20"/>
      </c>
      <c r="O134" s="14" t="str">
        <f t="shared" si="21"/>
      </c>
      <c r="P134" s="14" t="str">
        <f>IF(H134="","",$D$5+SUM($O$5:O134))</f>
      </c>
    </row>
    <row r="135" spans="7:16" x14ac:dyDescent="0.35">
      <c r="G135" s="11" t="str">
        <f t="shared" si="16"/>
      </c>
      <c r="H135" s="12" t="str">
        <f t="shared" si="22"/>
      </c>
      <c r="I135" s="12" t="str">
        <f t="shared" si="17"/>
      </c>
      <c r="J135" s="11" t="str">
        <f t="shared" si="18"/>
      </c>
      <c r="K135" s="12" t="str">
        <f t="shared" si="23"/>
      </c>
      <c r="L135" s="13" t="str">
        <f>IF(H135="","",IFERROR(INDEX('Tipos BdE'!$B$7:$M$336,MATCH(DATE(YEAR(K135),MONTH(K135),1),'Tipos BdE'!$A$7:$A$336,1),MATCH($D$9,'Tipos BdE'!$B$6:$M$6,0)),0))</f>
      </c>
      <c r="M135" s="13" t="str">
        <f t="shared" si="19"/>
      </c>
      <c r="N135" s="13" t="str">
        <f t="shared" si="20"/>
      </c>
      <c r="O135" s="14" t="str">
        <f t="shared" si="21"/>
      </c>
      <c r="P135" s="14" t="str">
        <f>IF(H135="","",$D$5+SUM($O$5:O135))</f>
      </c>
    </row>
    <row r="136" spans="7:16" x14ac:dyDescent="0.35">
      <c r="G136" s="11" t="str">
        <f t="shared" si="16"/>
      </c>
      <c r="H136" s="12" t="str">
        <f t="shared" si="22"/>
      </c>
      <c r="I136" s="12" t="str">
        <f t="shared" si="17"/>
      </c>
      <c r="J136" s="11" t="str">
        <f t="shared" si="18"/>
      </c>
      <c r="K136" s="12" t="str">
        <f t="shared" si="23"/>
      </c>
      <c r="L136" s="13" t="str">
        <f>IF(H136="","",IFERROR(INDEX('Tipos BdE'!$B$7:$M$336,MATCH(DATE(YEAR(K136),MONTH(K136),1),'Tipos BdE'!$A$7:$A$336,1),MATCH($D$9,'Tipos BdE'!$B$6:$M$6,0)),0))</f>
      </c>
      <c r="M136" s="13" t="str">
        <f t="shared" si="19"/>
      </c>
      <c r="N136" s="13" t="str">
        <f t="shared" si="20"/>
      </c>
      <c r="O136" s="14" t="str">
        <f t="shared" si="21"/>
      </c>
      <c r="P136" s="14" t="str">
        <f>IF(H136="","",$D$5+SUM($O$5:O136))</f>
      </c>
    </row>
    <row r="137" spans="7:16" x14ac:dyDescent="0.35">
      <c r="G137" s="11" t="str">
        <f t="shared" si="16"/>
      </c>
      <c r="H137" s="12" t="str">
        <f t="shared" si="22"/>
      </c>
      <c r="I137" s="12" t="str">
        <f t="shared" si="17"/>
      </c>
      <c r="J137" s="11" t="str">
        <f t="shared" si="18"/>
      </c>
      <c r="K137" s="12" t="str">
        <f t="shared" si="23"/>
      </c>
      <c r="L137" s="13" t="str">
        <f>IF(H137="","",IFERROR(INDEX('Tipos BdE'!$B$7:$M$336,MATCH(DATE(YEAR(K137),MONTH(K137),1),'Tipos BdE'!$A$7:$A$336,1),MATCH($D$9,'Tipos BdE'!$B$6:$M$6,0)),0))</f>
      </c>
      <c r="M137" s="13" t="str">
        <f t="shared" si="19"/>
      </c>
      <c r="N137" s="13" t="str">
        <f t="shared" si="20"/>
      </c>
      <c r="O137" s="14" t="str">
        <f t="shared" si="21"/>
      </c>
      <c r="P137" s="14" t="str">
        <f>IF(H137="","",$D$5+SUM($O$5:O137))</f>
      </c>
    </row>
    <row r="138" spans="7:16" x14ac:dyDescent="0.35">
      <c r="G138" s="11" t="str">
        <f t="shared" si="16"/>
      </c>
      <c r="H138" s="12" t="str">
        <f t="shared" si="22"/>
      </c>
      <c r="I138" s="12" t="str">
        <f t="shared" si="17"/>
      </c>
      <c r="J138" s="11" t="str">
        <f t="shared" si="18"/>
      </c>
      <c r="K138" s="12" t="str">
        <f t="shared" si="23"/>
      </c>
      <c r="L138" s="13" t="str">
        <f>IF(H138="","",IFERROR(INDEX('Tipos BdE'!$B$7:$M$336,MATCH(DATE(YEAR(K138),MONTH(K138),1),'Tipos BdE'!$A$7:$A$336,1),MATCH($D$9,'Tipos BdE'!$B$6:$M$6,0)),0))</f>
      </c>
      <c r="M138" s="13" t="str">
        <f t="shared" si="19"/>
      </c>
      <c r="N138" s="13" t="str">
        <f t="shared" si="20"/>
      </c>
      <c r="O138" s="14" t="str">
        <f t="shared" si="21"/>
      </c>
      <c r="P138" s="14" t="str">
        <f>IF(H138="","",$D$5+SUM($O$5:O138))</f>
      </c>
    </row>
    <row r="139" spans="7:16" x14ac:dyDescent="0.35">
      <c r="G139" s="11" t="str">
        <f t="shared" si="16"/>
      </c>
      <c r="H139" s="12" t="str">
        <f t="shared" si="22"/>
      </c>
      <c r="I139" s="12" t="str">
        <f t="shared" si="17"/>
      </c>
      <c r="J139" s="11" t="str">
        <f t="shared" si="18"/>
      </c>
      <c r="K139" s="12" t="str">
        <f t="shared" si="23"/>
      </c>
      <c r="L139" s="13" t="str">
        <f>IF(H139="","",IFERROR(INDEX('Tipos BdE'!$B$7:$M$336,MATCH(DATE(YEAR(K139),MONTH(K139),1),'Tipos BdE'!$A$7:$A$336,1),MATCH($D$9,'Tipos BdE'!$B$6:$M$6,0)),0))</f>
      </c>
      <c r="M139" s="13" t="str">
        <f t="shared" si="19"/>
      </c>
      <c r="N139" s="13" t="str">
        <f t="shared" si="20"/>
      </c>
      <c r="O139" s="14" t="str">
        <f t="shared" si="21"/>
      </c>
      <c r="P139" s="14" t="str">
        <f>IF(H139="","",$D$5+SUM($O$5:O139))</f>
      </c>
    </row>
    <row r="140" spans="7:16" x14ac:dyDescent="0.35">
      <c r="G140" s="11" t="str">
        <f t="shared" si="16"/>
      </c>
      <c r="H140" s="12" t="str">
        <f t="shared" si="22"/>
      </c>
      <c r="I140" s="12" t="str">
        <f t="shared" si="17"/>
      </c>
      <c r="J140" s="11" t="str">
        <f t="shared" si="18"/>
      </c>
      <c r="K140" s="12" t="str">
        <f t="shared" si="23"/>
      </c>
      <c r="L140" s="13" t="str">
        <f>IF(H140="","",IFERROR(INDEX('Tipos BdE'!$B$7:$M$336,MATCH(DATE(YEAR(K140),MONTH(K140),1),'Tipos BdE'!$A$7:$A$336,1),MATCH($D$9,'Tipos BdE'!$B$6:$M$6,0)),0))</f>
      </c>
      <c r="M140" s="13" t="str">
        <f t="shared" si="19"/>
      </c>
      <c r="N140" s="13" t="str">
        <f t="shared" si="20"/>
      </c>
      <c r="O140" s="14" t="str">
        <f t="shared" si="21"/>
      </c>
      <c r="P140" s="14" t="str">
        <f>IF(H140="","",$D$5+SUM($O$5:O140))</f>
      </c>
    </row>
    <row r="141" spans="7:16" x14ac:dyDescent="0.35">
      <c r="G141" s="11" t="str">
        <f t="shared" si="16"/>
      </c>
      <c r="H141" s="12" t="str">
        <f t="shared" si="22"/>
      </c>
      <c r="I141" s="12" t="str">
        <f t="shared" si="17"/>
      </c>
      <c r="J141" s="11" t="str">
        <f t="shared" si="18"/>
      </c>
      <c r="K141" s="12" t="str">
        <f t="shared" si="23"/>
      </c>
      <c r="L141" s="13" t="str">
        <f>IF(H141="","",IFERROR(INDEX('Tipos BdE'!$B$7:$M$336,MATCH(DATE(YEAR(K141),MONTH(K141),1),'Tipos BdE'!$A$7:$A$336,1),MATCH($D$9,'Tipos BdE'!$B$6:$M$6,0)),0))</f>
      </c>
      <c r="M141" s="13" t="str">
        <f t="shared" si="19"/>
      </c>
      <c r="N141" s="13" t="str">
        <f t="shared" si="20"/>
      </c>
      <c r="O141" s="14" t="str">
        <f t="shared" si="21"/>
      </c>
      <c r="P141" s="14" t="str">
        <f>IF(H141="","",$D$5+SUM($O$5:O141))</f>
      </c>
    </row>
    <row r="142" spans="7:16" x14ac:dyDescent="0.35">
      <c r="G142" s="11" t="str">
        <f t="shared" si="16"/>
      </c>
      <c r="H142" s="12" t="str">
        <f t="shared" si="22"/>
      </c>
      <c r="I142" s="12" t="str">
        <f t="shared" si="17"/>
      </c>
      <c r="J142" s="11" t="str">
        <f t="shared" si="18"/>
      </c>
      <c r="K142" s="12" t="str">
        <f t="shared" si="23"/>
      </c>
      <c r="L142" s="13" t="str">
        <f>IF(H142="","",IFERROR(INDEX('Tipos BdE'!$B$7:$M$336,MATCH(DATE(YEAR(K142),MONTH(K142),1),'Tipos BdE'!$A$7:$A$336,1),MATCH($D$9,'Tipos BdE'!$B$6:$M$6,0)),0))</f>
      </c>
      <c r="M142" s="13" t="str">
        <f t="shared" si="19"/>
      </c>
      <c r="N142" s="13" t="str">
        <f t="shared" si="20"/>
      </c>
      <c r="O142" s="14" t="str">
        <f t="shared" si="21"/>
      </c>
      <c r="P142" s="14" t="str">
        <f>IF(H142="","",$D$5+SUM($O$5:O142))</f>
      </c>
    </row>
    <row r="143" spans="7:16" x14ac:dyDescent="0.35">
      <c r="G143" s="11" t="str">
        <f t="shared" si="16"/>
      </c>
      <c r="H143" s="12" t="str">
        <f t="shared" si="22"/>
      </c>
      <c r="I143" s="12" t="str">
        <f t="shared" si="17"/>
      </c>
      <c r="J143" s="11" t="str">
        <f t="shared" si="18"/>
      </c>
      <c r="K143" s="12" t="str">
        <f t="shared" si="23"/>
      </c>
      <c r="L143" s="13" t="str">
        <f>IF(H143="","",IFERROR(INDEX('Tipos BdE'!$B$7:$M$336,MATCH(DATE(YEAR(K143),MONTH(K143),1),'Tipos BdE'!$A$7:$A$336,1),MATCH($D$9,'Tipos BdE'!$B$6:$M$6,0)),0))</f>
      </c>
      <c r="M143" s="13" t="str">
        <f t="shared" si="19"/>
      </c>
      <c r="N143" s="13" t="str">
        <f t="shared" si="20"/>
      </c>
      <c r="O143" s="14" t="str">
        <f t="shared" si="21"/>
      </c>
      <c r="P143" s="14" t="str">
        <f>IF(H143="","",$D$5+SUM($O$5:O143))</f>
      </c>
    </row>
    <row r="144" spans="7:16" x14ac:dyDescent="0.35">
      <c r="G144" s="11" t="str">
        <f t="shared" si="16"/>
      </c>
      <c r="H144" s="12" t="str">
        <f t="shared" si="22"/>
      </c>
      <c r="I144" s="12" t="str">
        <f t="shared" si="17"/>
      </c>
      <c r="J144" s="11" t="str">
        <f t="shared" si="18"/>
      </c>
      <c r="K144" s="12" t="str">
        <f t="shared" si="23"/>
      </c>
      <c r="L144" s="13" t="str">
        <f>IF(H144="","",IFERROR(INDEX('Tipos BdE'!$B$7:$M$336,MATCH(DATE(YEAR(K144),MONTH(K144),1),'Tipos BdE'!$A$7:$A$336,1),MATCH($D$9,'Tipos BdE'!$B$6:$M$6,0)),0))</f>
      </c>
      <c r="M144" s="13" t="str">
        <f t="shared" si="19"/>
      </c>
      <c r="N144" s="13" t="str">
        <f t="shared" si="20"/>
      </c>
      <c r="O144" s="14" t="str">
        <f t="shared" si="21"/>
      </c>
      <c r="P144" s="14" t="str">
        <f>IF(H144="","",$D$5+SUM($O$5:O144))</f>
      </c>
    </row>
    <row r="145" spans="7:16" x14ac:dyDescent="0.35">
      <c r="G145" s="11" t="str">
        <f t="shared" si="16"/>
      </c>
      <c r="H145" s="12" t="str">
        <f t="shared" si="22"/>
      </c>
      <c r="I145" s="12" t="str">
        <f t="shared" si="17"/>
      </c>
      <c r="J145" s="11" t="str">
        <f t="shared" si="18"/>
      </c>
      <c r="K145" s="12" t="str">
        <f t="shared" si="23"/>
      </c>
      <c r="L145" s="13" t="str">
        <f>IF(H145="","",IFERROR(INDEX('Tipos BdE'!$B$7:$M$336,MATCH(DATE(YEAR(K145),MONTH(K145),1),'Tipos BdE'!$A$7:$A$336,1),MATCH($D$9,'Tipos BdE'!$B$6:$M$6,0)),0))</f>
      </c>
      <c r="M145" s="13" t="str">
        <f t="shared" si="19"/>
      </c>
      <c r="N145" s="13" t="str">
        <f t="shared" si="20"/>
      </c>
      <c r="O145" s="14" t="str">
        <f t="shared" si="21"/>
      </c>
      <c r="P145" s="14" t="str">
        <f>IF(H145="","",$D$5+SUM($O$5:O145))</f>
      </c>
    </row>
    <row r="146" spans="7:16" x14ac:dyDescent="0.35">
      <c r="G146" s="11" t="str">
        <f t="shared" si="16"/>
      </c>
      <c r="H146" s="12" t="str">
        <f t="shared" si="22"/>
      </c>
      <c r="I146" s="12" t="str">
        <f t="shared" si="17"/>
      </c>
      <c r="J146" s="11" t="str">
        <f t="shared" si="18"/>
      </c>
      <c r="K146" s="12" t="str">
        <f t="shared" si="23"/>
      </c>
      <c r="L146" s="13" t="str">
        <f>IF(H146="","",IFERROR(INDEX('Tipos BdE'!$B$7:$M$336,MATCH(DATE(YEAR(K146),MONTH(K146),1),'Tipos BdE'!$A$7:$A$336,1),MATCH($D$9,'Tipos BdE'!$B$6:$M$6,0)),0))</f>
      </c>
      <c r="M146" s="13" t="str">
        <f t="shared" si="19"/>
      </c>
      <c r="N146" s="13" t="str">
        <f t="shared" si="20"/>
      </c>
      <c r="O146" s="14" t="str">
        <f t="shared" si="21"/>
      </c>
      <c r="P146" s="14" t="str">
        <f>IF(H146="","",$D$5+SUM($O$5:O146))</f>
      </c>
    </row>
    <row r="147" spans="7:16" x14ac:dyDescent="0.35">
      <c r="G147" s="11" t="str">
        <f t="shared" si="16"/>
      </c>
      <c r="H147" s="12" t="str">
        <f t="shared" si="22"/>
      </c>
      <c r="I147" s="12" t="str">
        <f t="shared" si="17"/>
      </c>
      <c r="J147" s="11" t="str">
        <f t="shared" si="18"/>
      </c>
      <c r="K147" s="12" t="str">
        <f t="shared" si="23"/>
      </c>
      <c r="L147" s="13" t="str">
        <f>IF(H147="","",IFERROR(INDEX('Tipos BdE'!$B$7:$M$336,MATCH(DATE(YEAR(K147),MONTH(K147),1),'Tipos BdE'!$A$7:$A$336,1),MATCH($D$9,'Tipos BdE'!$B$6:$M$6,0)),0))</f>
      </c>
      <c r="M147" s="13" t="str">
        <f t="shared" si="19"/>
      </c>
      <c r="N147" s="13" t="str">
        <f t="shared" si="20"/>
      </c>
      <c r="O147" s="14" t="str">
        <f t="shared" si="21"/>
      </c>
      <c r="P147" s="14" t="str">
        <f>IF(H147="","",$D$5+SUM($O$5:O147))</f>
      </c>
    </row>
    <row r="148" spans="7:16" x14ac:dyDescent="0.35">
      <c r="G148" s="11" t="str">
        <f t="shared" si="16"/>
      </c>
      <c r="H148" s="12" t="str">
        <f t="shared" si="22"/>
      </c>
      <c r="I148" s="12" t="str">
        <f t="shared" si="17"/>
      </c>
      <c r="J148" s="11" t="str">
        <f t="shared" si="18"/>
      </c>
      <c r="K148" s="12" t="str">
        <f t="shared" si="23"/>
      </c>
      <c r="L148" s="13" t="str">
        <f>IF(H148="","",IFERROR(INDEX('Tipos BdE'!$B$7:$M$336,MATCH(DATE(YEAR(K148),MONTH(K148),1),'Tipos BdE'!$A$7:$A$336,1),MATCH($D$9,'Tipos BdE'!$B$6:$M$6,0)),0))</f>
      </c>
      <c r="M148" s="13" t="str">
        <f t="shared" si="19"/>
      </c>
      <c r="N148" s="13" t="str">
        <f t="shared" si="20"/>
      </c>
      <c r="O148" s="14" t="str">
        <f t="shared" si="21"/>
      </c>
      <c r="P148" s="14" t="str">
        <f>IF(H148="","",$D$5+SUM($O$5:O148))</f>
      </c>
    </row>
    <row r="149" spans="7:16" x14ac:dyDescent="0.35">
      <c r="G149" s="11" t="str">
        <f t="shared" si="16"/>
      </c>
      <c r="H149" s="12" t="str">
        <f t="shared" si="22"/>
      </c>
      <c r="I149" s="12" t="str">
        <f t="shared" si="17"/>
      </c>
      <c r="J149" s="11" t="str">
        <f t="shared" si="18"/>
      </c>
      <c r="K149" s="12" t="str">
        <f t="shared" si="23"/>
      </c>
      <c r="L149" s="13" t="str">
        <f>IF(H149="","",IFERROR(INDEX('Tipos BdE'!$B$7:$M$336,MATCH(DATE(YEAR(K149),MONTH(K149),1),'Tipos BdE'!$A$7:$A$336,1),MATCH($D$9,'Tipos BdE'!$B$6:$M$6,0)),0))</f>
      </c>
      <c r="M149" s="13" t="str">
        <f t="shared" si="19"/>
      </c>
      <c r="N149" s="13" t="str">
        <f t="shared" si="20"/>
      </c>
      <c r="O149" s="14" t="str">
        <f t="shared" si="21"/>
      </c>
      <c r="P149" s="14" t="str">
        <f>IF(H149="","",$D$5+SUM($O$5:O149))</f>
      </c>
    </row>
    <row r="150" spans="7:16" x14ac:dyDescent="0.35">
      <c r="G150" s="11" t="str">
        <f t="shared" si="16"/>
      </c>
      <c r="H150" s="12" t="str">
        <f t="shared" si="22"/>
      </c>
      <c r="I150" s="12" t="str">
        <f t="shared" si="17"/>
      </c>
      <c r="J150" s="11" t="str">
        <f t="shared" si="18"/>
      </c>
      <c r="K150" s="12" t="str">
        <f t="shared" si="23"/>
      </c>
      <c r="L150" s="13" t="str">
        <f>IF(H150="","",IFERROR(INDEX('Tipos BdE'!$B$7:$M$336,MATCH(DATE(YEAR(K150),MONTH(K150),1),'Tipos BdE'!$A$7:$A$336,1),MATCH($D$9,'Tipos BdE'!$B$6:$M$6,0)),0))</f>
      </c>
      <c r="M150" s="13" t="str">
        <f t="shared" si="19"/>
      </c>
      <c r="N150" s="13" t="str">
        <f t="shared" si="20"/>
      </c>
      <c r="O150" s="14" t="str">
        <f t="shared" si="21"/>
      </c>
      <c r="P150" s="14" t="str">
        <f>IF(H150="","",$D$5+SUM($O$5:O150))</f>
      </c>
    </row>
    <row r="151" spans="7:16" x14ac:dyDescent="0.35">
      <c r="G151" s="11" t="str">
        <f t="shared" si="16"/>
      </c>
      <c r="H151" s="12" t="str">
        <f t="shared" si="22"/>
      </c>
      <c r="I151" s="12" t="str">
        <f t="shared" si="17"/>
      </c>
      <c r="J151" s="11" t="str">
        <f t="shared" si="18"/>
      </c>
      <c r="K151" s="12" t="str">
        <f t="shared" si="23"/>
      </c>
      <c r="L151" s="13" t="str">
        <f>IF(H151="","",IFERROR(INDEX('Tipos BdE'!$B$7:$M$336,MATCH(DATE(YEAR(K151),MONTH(K151),1),'Tipos BdE'!$A$7:$A$336,1),MATCH($D$9,'Tipos BdE'!$B$6:$M$6,0)),0))</f>
      </c>
      <c r="M151" s="13" t="str">
        <f t="shared" si="19"/>
      </c>
      <c r="N151" s="13" t="str">
        <f t="shared" si="20"/>
      </c>
      <c r="O151" s="14" t="str">
        <f t="shared" si="21"/>
      </c>
      <c r="P151" s="14" t="str">
        <f>IF(H151="","",$D$5+SUM($O$5:O151))</f>
      </c>
    </row>
    <row r="152" spans="7:16" x14ac:dyDescent="0.35">
      <c r="G152" s="11" t="str">
        <f t="shared" si="16"/>
      </c>
      <c r="H152" s="12" t="str">
        <f t="shared" si="22"/>
      </c>
      <c r="I152" s="12" t="str">
        <f t="shared" si="17"/>
      </c>
      <c r="J152" s="11" t="str">
        <f t="shared" si="18"/>
      </c>
      <c r="K152" s="12" t="str">
        <f t="shared" si="23"/>
      </c>
      <c r="L152" s="13" t="str">
        <f>IF(H152="","",IFERROR(INDEX('Tipos BdE'!$B$7:$M$336,MATCH(DATE(YEAR(K152),MONTH(K152),1),'Tipos BdE'!$A$7:$A$336,1),MATCH($D$9,'Tipos BdE'!$B$6:$M$6,0)),0))</f>
      </c>
      <c r="M152" s="13" t="str">
        <f t="shared" si="19"/>
      </c>
      <c r="N152" s="13" t="str">
        <f t="shared" si="20"/>
      </c>
      <c r="O152" s="14" t="str">
        <f t="shared" si="21"/>
      </c>
      <c r="P152" s="14" t="str">
        <f>IF(H152="","",$D$5+SUM($O$5:O152))</f>
      </c>
    </row>
    <row r="153" spans="7:16" x14ac:dyDescent="0.35">
      <c r="G153" s="11" t="str">
        <f t="shared" si="16"/>
      </c>
      <c r="H153" s="12" t="str">
        <f t="shared" si="22"/>
      </c>
      <c r="I153" s="12" t="str">
        <f t="shared" si="17"/>
      </c>
      <c r="J153" s="11" t="str">
        <f t="shared" si="18"/>
      </c>
      <c r="K153" s="12" t="str">
        <f t="shared" si="23"/>
      </c>
      <c r="L153" s="13" t="str">
        <f>IF(H153="","",IFERROR(INDEX('Tipos BdE'!$B$7:$M$336,MATCH(DATE(YEAR(K153),MONTH(K153),1),'Tipos BdE'!$A$7:$A$336,1),MATCH($D$9,'Tipos BdE'!$B$6:$M$6,0)),0))</f>
      </c>
      <c r="M153" s="13" t="str">
        <f t="shared" si="19"/>
      </c>
      <c r="N153" s="13" t="str">
        <f t="shared" si="20"/>
      </c>
      <c r="O153" s="14" t="str">
        <f t="shared" si="21"/>
      </c>
      <c r="P153" s="14" t="str">
        <f>IF(H153="","",$D$5+SUM($O$5:O153))</f>
      </c>
    </row>
    <row r="154" spans="7:16" x14ac:dyDescent="0.35">
      <c r="G154" s="11" t="str">
        <f t="shared" si="16"/>
      </c>
      <c r="H154" s="12" t="str">
        <f t="shared" si="22"/>
      </c>
      <c r="I154" s="12" t="str">
        <f t="shared" si="17"/>
      </c>
      <c r="J154" s="11" t="str">
        <f t="shared" si="18"/>
      </c>
      <c r="K154" s="12" t="str">
        <f t="shared" si="23"/>
      </c>
      <c r="L154" s="13" t="str">
        <f>IF(H154="","",IFERROR(INDEX('Tipos BdE'!$B$7:$M$336,MATCH(DATE(YEAR(K154),MONTH(K154),1),'Tipos BdE'!$A$7:$A$336,1),MATCH($D$9,'Tipos BdE'!$B$6:$M$6,0)),0))</f>
      </c>
      <c r="M154" s="13" t="str">
        <f t="shared" si="19"/>
      </c>
      <c r="N154" s="13" t="str">
        <f t="shared" si="20"/>
      </c>
      <c r="O154" s="14" t="str">
        <f t="shared" si="21"/>
      </c>
      <c r="P154" s="14" t="str">
        <f>IF(H154="","",$D$5+SUM($O$5:O154))</f>
      </c>
    </row>
    <row r="155" spans="7:16" x14ac:dyDescent="0.35">
      <c r="G155" s="11" t="str">
        <f t="shared" si="16"/>
      </c>
      <c r="H155" s="12" t="str">
        <f t="shared" si="22"/>
      </c>
      <c r="I155" s="12" t="str">
        <f t="shared" si="17"/>
      </c>
      <c r="J155" s="11" t="str">
        <f t="shared" si="18"/>
      </c>
      <c r="K155" s="12" t="str">
        <f t="shared" si="23"/>
      </c>
      <c r="L155" s="13" t="str">
        <f>IF(H155="","",IFERROR(INDEX('Tipos BdE'!$B$7:$M$336,MATCH(DATE(YEAR(K155),MONTH(K155),1),'Tipos BdE'!$A$7:$A$336,1),MATCH($D$9,'Tipos BdE'!$B$6:$M$6,0)),0))</f>
      </c>
      <c r="M155" s="13" t="str">
        <f t="shared" si="19"/>
      </c>
      <c r="N155" s="13" t="str">
        <f t="shared" si="20"/>
      </c>
      <c r="O155" s="14" t="str">
        <f t="shared" si="21"/>
      </c>
      <c r="P155" s="14" t="str">
        <f>IF(H155="","",$D$5+SUM($O$5:O155))</f>
      </c>
    </row>
    <row r="156" spans="7:16" x14ac:dyDescent="0.35">
      <c r="G156" s="11" t="str">
        <f t="shared" si="16"/>
      </c>
      <c r="H156" s="12" t="str">
        <f t="shared" si="22"/>
      </c>
      <c r="I156" s="12" t="str">
        <f t="shared" si="17"/>
      </c>
      <c r="J156" s="11" t="str">
        <f t="shared" si="18"/>
      </c>
      <c r="K156" s="12" t="str">
        <f t="shared" si="23"/>
      </c>
      <c r="L156" s="13" t="str">
        <f>IF(H156="","",IFERROR(INDEX('Tipos BdE'!$B$7:$M$336,MATCH(DATE(YEAR(K156),MONTH(K156),1),'Tipos BdE'!$A$7:$A$336,1),MATCH($D$9,'Tipos BdE'!$B$6:$M$6,0)),0))</f>
      </c>
      <c r="M156" s="13" t="str">
        <f t="shared" si="19"/>
      </c>
      <c r="N156" s="13" t="str">
        <f t="shared" si="20"/>
      </c>
      <c r="O156" s="14" t="str">
        <f t="shared" si="21"/>
      </c>
      <c r="P156" s="14" t="str">
        <f>IF(H156="","",$D$5+SUM($O$5:O156))</f>
      </c>
    </row>
    <row r="157" spans="7:16" x14ac:dyDescent="0.35">
      <c r="G157" s="11" t="str">
        <f t="shared" si="16"/>
      </c>
      <c r="H157" s="12" t="str">
        <f t="shared" si="22"/>
      </c>
      <c r="I157" s="12" t="str">
        <f t="shared" si="17"/>
      </c>
      <c r="J157" s="11" t="str">
        <f t="shared" si="18"/>
      </c>
      <c r="K157" s="12" t="str">
        <f t="shared" si="23"/>
      </c>
      <c r="L157" s="13" t="str">
        <f>IF(H157="","",IFERROR(INDEX('Tipos BdE'!$B$7:$M$336,MATCH(DATE(YEAR(K157),MONTH(K157),1),'Tipos BdE'!$A$7:$A$336,1),MATCH($D$9,'Tipos BdE'!$B$6:$M$6,0)),0))</f>
      </c>
      <c r="M157" s="13" t="str">
        <f t="shared" si="19"/>
      </c>
      <c r="N157" s="13" t="str">
        <f t="shared" si="20"/>
      </c>
      <c r="O157" s="14" t="str">
        <f t="shared" si="21"/>
      </c>
      <c r="P157" s="14" t="str">
        <f>IF(H157="","",$D$5+SUM($O$5:O157))</f>
      </c>
    </row>
    <row r="158" spans="7:16" x14ac:dyDescent="0.35">
      <c r="G158" s="11" t="str">
        <f t="shared" si="16"/>
      </c>
      <c r="H158" s="12" t="str">
        <f t="shared" si="22"/>
      </c>
      <c r="I158" s="12" t="str">
        <f t="shared" si="17"/>
      </c>
      <c r="J158" s="11" t="str">
        <f t="shared" si="18"/>
      </c>
      <c r="K158" s="12" t="str">
        <f t="shared" si="23"/>
      </c>
      <c r="L158" s="13" t="str">
        <f>IF(H158="","",IFERROR(INDEX('Tipos BdE'!$B$7:$M$336,MATCH(DATE(YEAR(K158),MONTH(K158),1),'Tipos BdE'!$A$7:$A$336,1),MATCH($D$9,'Tipos BdE'!$B$6:$M$6,0)),0))</f>
      </c>
      <c r="M158" s="13" t="str">
        <f t="shared" si="19"/>
      </c>
      <c r="N158" s="13" t="str">
        <f t="shared" si="20"/>
      </c>
      <c r="O158" s="14" t="str">
        <f t="shared" si="21"/>
      </c>
      <c r="P158" s="14" t="str">
        <f>IF(H158="","",$D$5+SUM($O$5:O158))</f>
      </c>
    </row>
    <row r="159" spans="7:16" x14ac:dyDescent="0.35">
      <c r="G159" s="11" t="str">
        <f t="shared" si="16"/>
      </c>
      <c r="H159" s="12" t="str">
        <f t="shared" si="22"/>
      </c>
      <c r="I159" s="12" t="str">
        <f t="shared" si="17"/>
      </c>
      <c r="J159" s="11" t="str">
        <f t="shared" si="18"/>
      </c>
      <c r="K159" s="12" t="str">
        <f t="shared" si="23"/>
      </c>
      <c r="L159" s="13" t="str">
        <f>IF(H159="","",IFERROR(INDEX('Tipos BdE'!$B$7:$M$336,MATCH(DATE(YEAR(K159),MONTH(K159),1),'Tipos BdE'!$A$7:$A$336,1),MATCH($D$9,'Tipos BdE'!$B$6:$M$6,0)),0))</f>
      </c>
      <c r="M159" s="13" t="str">
        <f t="shared" si="19"/>
      </c>
      <c r="N159" s="13" t="str">
        <f t="shared" si="20"/>
      </c>
      <c r="O159" s="14" t="str">
        <f t="shared" si="21"/>
      </c>
      <c r="P159" s="14" t="str">
        <f>IF(H159="","",$D$5+SUM($O$5:O159))</f>
      </c>
    </row>
    <row r="160" spans="7:16" x14ac:dyDescent="0.35">
      <c r="G160" s="11" t="str">
        <f t="shared" si="16"/>
      </c>
      <c r="H160" s="12" t="str">
        <f t="shared" si="22"/>
      </c>
      <c r="I160" s="12" t="str">
        <f t="shared" si="17"/>
      </c>
      <c r="J160" s="11" t="str">
        <f t="shared" si="18"/>
      </c>
      <c r="K160" s="12" t="str">
        <f t="shared" si="23"/>
      </c>
      <c r="L160" s="13" t="str">
        <f>IF(H160="","",IFERROR(INDEX('Tipos BdE'!$B$7:$M$336,MATCH(DATE(YEAR(K160),MONTH(K160),1),'Tipos BdE'!$A$7:$A$336,1),MATCH($D$9,'Tipos BdE'!$B$6:$M$6,0)),0))</f>
      </c>
      <c r="M160" s="13" t="str">
        <f t="shared" si="19"/>
      </c>
      <c r="N160" s="13" t="str">
        <f t="shared" si="20"/>
      </c>
      <c r="O160" s="14" t="str">
        <f t="shared" si="21"/>
      </c>
      <c r="P160" s="14" t="str">
        <f>IF(H160="","",$D$5+SUM($O$5:O160))</f>
      </c>
    </row>
    <row r="161" spans="7:16" x14ac:dyDescent="0.35">
      <c r="G161" s="11" t="str">
        <f t="shared" si="16"/>
      </c>
      <c r="H161" s="12" t="str">
        <f t="shared" si="22"/>
      </c>
      <c r="I161" s="12" t="str">
        <f t="shared" si="17"/>
      </c>
      <c r="J161" s="11" t="str">
        <f t="shared" si="18"/>
      </c>
      <c r="K161" s="12" t="str">
        <f t="shared" si="23"/>
      </c>
      <c r="L161" s="13" t="str">
        <f>IF(H161="","",IFERROR(INDEX('Tipos BdE'!$B$7:$M$336,MATCH(DATE(YEAR(K161),MONTH(K161),1),'Tipos BdE'!$A$7:$A$336,1),MATCH($D$9,'Tipos BdE'!$B$6:$M$6,0)),0))</f>
      </c>
      <c r="M161" s="13" t="str">
        <f t="shared" si="19"/>
      </c>
      <c r="N161" s="13" t="str">
        <f t="shared" si="20"/>
      </c>
      <c r="O161" s="14" t="str">
        <f t="shared" si="21"/>
      </c>
      <c r="P161" s="14" t="str">
        <f>IF(H161="","",$D$5+SUM($O$5:O161))</f>
      </c>
    </row>
    <row r="162" spans="7:16" x14ac:dyDescent="0.35">
      <c r="G162" s="11" t="str">
        <f t="shared" si="16"/>
      </c>
      <c r="H162" s="12" t="str">
        <f t="shared" si="22"/>
      </c>
      <c r="I162" s="12" t="str">
        <f t="shared" si="17"/>
      </c>
      <c r="J162" s="11" t="str">
        <f t="shared" si="18"/>
      </c>
      <c r="K162" s="12" t="str">
        <f t="shared" si="23"/>
      </c>
      <c r="L162" s="13" t="str">
        <f>IF(H162="","",IFERROR(INDEX('Tipos BdE'!$B$7:$M$336,MATCH(DATE(YEAR(K162),MONTH(K162),1),'Tipos BdE'!$A$7:$A$336,1),MATCH($D$9,'Tipos BdE'!$B$6:$M$6,0)),0))</f>
      </c>
      <c r="M162" s="13" t="str">
        <f t="shared" si="19"/>
      </c>
      <c r="N162" s="13" t="str">
        <f t="shared" si="20"/>
      </c>
      <c r="O162" s="14" t="str">
        <f t="shared" si="21"/>
      </c>
      <c r="P162" s="14" t="str">
        <f>IF(H162="","",$D$5+SUM($O$5:O162))</f>
      </c>
    </row>
    <row r="163" spans="7:16" x14ac:dyDescent="0.35">
      <c r="G163" s="11" t="str">
        <f t="shared" si="16"/>
      </c>
      <c r="H163" s="12" t="str">
        <f t="shared" si="22"/>
      </c>
      <c r="I163" s="12" t="str">
        <f t="shared" si="17"/>
      </c>
      <c r="J163" s="11" t="str">
        <f t="shared" si="18"/>
      </c>
      <c r="K163" s="12" t="str">
        <f t="shared" si="23"/>
      </c>
      <c r="L163" s="13" t="str">
        <f>IF(H163="","",IFERROR(INDEX('Tipos BdE'!$B$7:$M$336,MATCH(DATE(YEAR(K163),MONTH(K163),1),'Tipos BdE'!$A$7:$A$336,1),MATCH($D$9,'Tipos BdE'!$B$6:$M$6,0)),0))</f>
      </c>
      <c r="M163" s="13" t="str">
        <f t="shared" si="19"/>
      </c>
      <c r="N163" s="13" t="str">
        <f t="shared" si="20"/>
      </c>
      <c r="O163" s="14" t="str">
        <f t="shared" si="21"/>
      </c>
      <c r="P163" s="14" t="str">
        <f>IF(H163="","",$D$5+SUM($O$5:O163))</f>
      </c>
    </row>
    <row r="164" spans="7:16" x14ac:dyDescent="0.35">
      <c r="G164" s="11" t="str">
        <f t="shared" si="16"/>
      </c>
      <c r="H164" s="12" t="str">
        <f t="shared" si="22"/>
      </c>
      <c r="I164" s="12" t="str">
        <f t="shared" si="17"/>
      </c>
      <c r="J164" s="11" t="str">
        <f t="shared" si="18"/>
      </c>
      <c r="K164" s="12" t="str">
        <f t="shared" si="23"/>
      </c>
      <c r="L164" s="13" t="str">
        <f>IF(H164="","",IFERROR(INDEX('Tipos BdE'!$B$7:$M$336,MATCH(DATE(YEAR(K164),MONTH(K164),1),'Tipos BdE'!$A$7:$A$336,1),MATCH($D$9,'Tipos BdE'!$B$6:$M$6,0)),0))</f>
      </c>
      <c r="M164" s="13" t="str">
        <f t="shared" si="19"/>
      </c>
      <c r="N164" s="13" t="str">
        <f t="shared" si="20"/>
      </c>
      <c r="O164" s="14" t="str">
        <f t="shared" si="21"/>
      </c>
      <c r="P164" s="14" t="str">
        <f>IF(H164="","",$D$5+SUM($O$5:O164))</f>
      </c>
    </row>
    <row r="165" spans="7:16" x14ac:dyDescent="0.35">
      <c r="G165" s="11" t="str">
        <f t="shared" si="16"/>
      </c>
      <c r="H165" s="12" t="str">
        <f t="shared" si="22"/>
      </c>
      <c r="I165" s="12" t="str">
        <f t="shared" si="17"/>
      </c>
      <c r="J165" s="11" t="str">
        <f t="shared" si="18"/>
      </c>
      <c r="K165" s="12" t="str">
        <f t="shared" si="23"/>
      </c>
      <c r="L165" s="13" t="str">
        <f>IF(H165="","",IFERROR(INDEX('Tipos BdE'!$B$7:$M$336,MATCH(DATE(YEAR(K165),MONTH(K165),1),'Tipos BdE'!$A$7:$A$336,1),MATCH($D$9,'Tipos BdE'!$B$6:$M$6,0)),0))</f>
      </c>
      <c r="M165" s="13" t="str">
        <f t="shared" si="19"/>
      </c>
      <c r="N165" s="13" t="str">
        <f t="shared" si="20"/>
      </c>
      <c r="O165" s="14" t="str">
        <f t="shared" si="21"/>
      </c>
      <c r="P165" s="14" t="str">
        <f>IF(H165="","",$D$5+SUM($O$5:O165))</f>
      </c>
    </row>
    <row r="166" spans="7:16" x14ac:dyDescent="0.35">
      <c r="G166" s="11" t="str">
        <f t="shared" si="16"/>
      </c>
      <c r="H166" s="12" t="str">
        <f t="shared" si="22"/>
      </c>
      <c r="I166" s="12" t="str">
        <f t="shared" si="17"/>
      </c>
      <c r="J166" s="11" t="str">
        <f t="shared" si="18"/>
      </c>
      <c r="K166" s="12" t="str">
        <f t="shared" si="23"/>
      </c>
      <c r="L166" s="13" t="str">
        <f>IF(H166="","",IFERROR(INDEX('Tipos BdE'!$B$7:$M$336,MATCH(DATE(YEAR(K166),MONTH(K166),1),'Tipos BdE'!$A$7:$A$336,1),MATCH($D$9,'Tipos BdE'!$B$6:$M$6,0)),0))</f>
      </c>
      <c r="M166" s="13" t="str">
        <f t="shared" si="19"/>
      </c>
      <c r="N166" s="13" t="str">
        <f t="shared" si="20"/>
      </c>
      <c r="O166" s="14" t="str">
        <f t="shared" si="21"/>
      </c>
      <c r="P166" s="14" t="str">
        <f>IF(H166="","",$D$5+SUM($O$5:O166))</f>
      </c>
    </row>
    <row r="167" spans="7:16" x14ac:dyDescent="0.35">
      <c r="G167" s="11" t="str">
        <f t="shared" si="16"/>
      </c>
      <c r="H167" s="12" t="str">
        <f t="shared" si="22"/>
      </c>
      <c r="I167" s="12" t="str">
        <f t="shared" si="17"/>
      </c>
      <c r="J167" s="11" t="str">
        <f t="shared" si="18"/>
      </c>
      <c r="K167" s="12" t="str">
        <f t="shared" si="23"/>
      </c>
      <c r="L167" s="13" t="str">
        <f>IF(H167="","",IFERROR(INDEX('Tipos BdE'!$B$7:$M$336,MATCH(DATE(YEAR(K167),MONTH(K167),1),'Tipos BdE'!$A$7:$A$336,1),MATCH($D$9,'Tipos BdE'!$B$6:$M$6,0)),0))</f>
      </c>
      <c r="M167" s="13" t="str">
        <f t="shared" si="19"/>
      </c>
      <c r="N167" s="13" t="str">
        <f t="shared" si="20"/>
      </c>
      <c r="O167" s="14" t="str">
        <f t="shared" si="21"/>
      </c>
      <c r="P167" s="14" t="str">
        <f>IF(H167="","",$D$5+SUM($O$5:O167))</f>
      </c>
    </row>
    <row r="168" spans="7:16" x14ac:dyDescent="0.35">
      <c r="G168" s="11" t="str">
        <f t="shared" si="16"/>
      </c>
      <c r="H168" s="12" t="str">
        <f t="shared" si="22"/>
      </c>
      <c r="I168" s="12" t="str">
        <f t="shared" si="17"/>
      </c>
      <c r="J168" s="11" t="str">
        <f t="shared" si="18"/>
      </c>
      <c r="K168" s="12" t="str">
        <f t="shared" si="23"/>
      </c>
      <c r="L168" s="13" t="str">
        <f>IF(H168="","",IFERROR(INDEX('Tipos BdE'!$B$7:$M$336,MATCH(DATE(YEAR(K168),MONTH(K168),1),'Tipos BdE'!$A$7:$A$336,1),MATCH($D$9,'Tipos BdE'!$B$6:$M$6,0)),0))</f>
      </c>
      <c r="M168" s="13" t="str">
        <f t="shared" si="19"/>
      </c>
      <c r="N168" s="13" t="str">
        <f t="shared" si="20"/>
      </c>
      <c r="O168" s="14" t="str">
        <f t="shared" si="21"/>
      </c>
      <c r="P168" s="14" t="str">
        <f>IF(H168="","",$D$5+SUM($O$5:O168))</f>
      </c>
    </row>
    <row r="169" spans="7:16" x14ac:dyDescent="0.35">
      <c r="G169" s="11" t="str">
        <f t="shared" si="16"/>
      </c>
      <c r="H169" s="12" t="str">
        <f t="shared" si="22"/>
      </c>
      <c r="I169" s="12" t="str">
        <f t="shared" si="17"/>
      </c>
      <c r="J169" s="11" t="str">
        <f t="shared" si="18"/>
      </c>
      <c r="K169" s="12" t="str">
        <f t="shared" si="23"/>
      </c>
      <c r="L169" s="13" t="str">
        <f>IF(H169="","",IFERROR(INDEX('Tipos BdE'!$B$7:$M$336,MATCH(DATE(YEAR(K169),MONTH(K169),1),'Tipos BdE'!$A$7:$A$336,1),MATCH($D$9,'Tipos BdE'!$B$6:$M$6,0)),0))</f>
      </c>
      <c r="M169" s="13" t="str">
        <f t="shared" si="19"/>
      </c>
      <c r="N169" s="13" t="str">
        <f t="shared" si="20"/>
      </c>
      <c r="O169" s="14" t="str">
        <f t="shared" si="21"/>
      </c>
      <c r="P169" s="14" t="str">
        <f>IF(H169="","",$D$5+SUM($O$5:O169))</f>
      </c>
    </row>
    <row r="170" spans="7:16" x14ac:dyDescent="0.35">
      <c r="G170" s="11" t="str">
        <f t="shared" si="16"/>
      </c>
      <c r="H170" s="12" t="str">
        <f t="shared" si="22"/>
      </c>
      <c r="I170" s="12" t="str">
        <f t="shared" si="17"/>
      </c>
      <c r="J170" s="11" t="str">
        <f t="shared" si="18"/>
      </c>
      <c r="K170" s="12" t="str">
        <f t="shared" si="23"/>
      </c>
      <c r="L170" s="13" t="str">
        <f>IF(H170="","",IFERROR(INDEX('Tipos BdE'!$B$7:$M$336,MATCH(DATE(YEAR(K170),MONTH(K170),1),'Tipos BdE'!$A$7:$A$336,1),MATCH($D$9,'Tipos BdE'!$B$6:$M$6,0)),0))</f>
      </c>
      <c r="M170" s="13" t="str">
        <f t="shared" si="19"/>
      </c>
      <c r="N170" s="13" t="str">
        <f t="shared" si="20"/>
      </c>
      <c r="O170" s="14" t="str">
        <f t="shared" si="21"/>
      </c>
      <c r="P170" s="14" t="str">
        <f>IF(H170="","",$D$5+SUM($O$5:O170))</f>
      </c>
    </row>
    <row r="171" spans="7:16" x14ac:dyDescent="0.35">
      <c r="G171" s="11" t="str">
        <f t="shared" si="16"/>
      </c>
      <c r="H171" s="12" t="str">
        <f t="shared" si="22"/>
      </c>
      <c r="I171" s="12" t="str">
        <f t="shared" si="17"/>
      </c>
      <c r="J171" s="11" t="str">
        <f t="shared" si="18"/>
      </c>
      <c r="K171" s="12" t="str">
        <f t="shared" si="23"/>
      </c>
      <c r="L171" s="13" t="str">
        <f>IF(H171="","",IFERROR(INDEX('Tipos BdE'!$B$7:$M$336,MATCH(DATE(YEAR(K171),MONTH(K171),1),'Tipos BdE'!$A$7:$A$336,1),MATCH($D$9,'Tipos BdE'!$B$6:$M$6,0)),0))</f>
      </c>
      <c r="M171" s="13" t="str">
        <f t="shared" si="19"/>
      </c>
      <c r="N171" s="13" t="str">
        <f t="shared" si="20"/>
      </c>
      <c r="O171" s="14" t="str">
        <f t="shared" si="21"/>
      </c>
      <c r="P171" s="14" t="str">
        <f>IF(H171="","",$D$5+SUM($O$5:O171))</f>
      </c>
    </row>
    <row r="172" spans="7:16" x14ac:dyDescent="0.35">
      <c r="G172" s="11" t="str">
        <f t="shared" si="16"/>
      </c>
      <c r="H172" s="12" t="str">
        <f t="shared" si="22"/>
      </c>
      <c r="I172" s="12" t="str">
        <f t="shared" si="17"/>
      </c>
      <c r="J172" s="11" t="str">
        <f t="shared" si="18"/>
      </c>
      <c r="K172" s="12" t="str">
        <f t="shared" si="23"/>
      </c>
      <c r="L172" s="13" t="str">
        <f>IF(H172="","",IFERROR(INDEX('Tipos BdE'!$B$7:$M$336,MATCH(DATE(YEAR(K172),MONTH(K172),1),'Tipos BdE'!$A$7:$A$336,1),MATCH($D$9,'Tipos BdE'!$B$6:$M$6,0)),0))</f>
      </c>
      <c r="M172" s="13" t="str">
        <f t="shared" si="19"/>
      </c>
      <c r="N172" s="13" t="str">
        <f t="shared" si="20"/>
      </c>
      <c r="O172" s="14" t="str">
        <f t="shared" si="21"/>
      </c>
      <c r="P172" s="14" t="str">
        <f>IF(H172="","",$D$5+SUM($O$5:O172))</f>
      </c>
    </row>
    <row r="173" spans="7:16" x14ac:dyDescent="0.35">
      <c r="G173" s="11" t="str">
        <f t="shared" si="16"/>
      </c>
      <c r="H173" s="12" t="str">
        <f t="shared" si="22"/>
      </c>
      <c r="I173" s="12" t="str">
        <f t="shared" si="17"/>
      </c>
      <c r="J173" s="11" t="str">
        <f t="shared" si="18"/>
      </c>
      <c r="K173" s="12" t="str">
        <f t="shared" si="23"/>
      </c>
      <c r="L173" s="13" t="str">
        <f>IF(H173="","",IFERROR(INDEX('Tipos BdE'!$B$7:$M$336,MATCH(DATE(YEAR(K173),MONTH(K173),1),'Tipos BdE'!$A$7:$A$336,1),MATCH($D$9,'Tipos BdE'!$B$6:$M$6,0)),0))</f>
      </c>
      <c r="M173" s="13" t="str">
        <f t="shared" si="19"/>
      </c>
      <c r="N173" s="13" t="str">
        <f t="shared" si="20"/>
      </c>
      <c r="O173" s="14" t="str">
        <f t="shared" si="21"/>
      </c>
      <c r="P173" s="14" t="str">
        <f>IF(H173="","",$D$5+SUM($O$5:O173))</f>
      </c>
    </row>
    <row r="174" spans="7:16" x14ac:dyDescent="0.35">
      <c r="G174" s="11" t="str">
        <f t="shared" si="16"/>
      </c>
      <c r="H174" s="12" t="str">
        <f t="shared" si="22"/>
      </c>
      <c r="I174" s="12" t="str">
        <f t="shared" si="17"/>
      </c>
      <c r="J174" s="11" t="str">
        <f t="shared" si="18"/>
      </c>
      <c r="K174" s="12" t="str">
        <f t="shared" si="23"/>
      </c>
      <c r="L174" s="13" t="str">
        <f>IF(H174="","",IFERROR(INDEX('Tipos BdE'!$B$7:$M$336,MATCH(DATE(YEAR(K174),MONTH(K174),1),'Tipos BdE'!$A$7:$A$336,1),MATCH($D$9,'Tipos BdE'!$B$6:$M$6,0)),0))</f>
      </c>
      <c r="M174" s="13" t="str">
        <f t="shared" si="19"/>
      </c>
      <c r="N174" s="13" t="str">
        <f t="shared" si="20"/>
      </c>
      <c r="O174" s="14" t="str">
        <f t="shared" si="21"/>
      </c>
      <c r="P174" s="14" t="str">
        <f>IF(H174="","",$D$5+SUM($O$5:O174))</f>
      </c>
    </row>
    <row r="175" spans="7:16" x14ac:dyDescent="0.35">
      <c r="G175" s="11" t="str">
        <f t="shared" si="16"/>
      </c>
      <c r="H175" s="12" t="str">
        <f t="shared" si="22"/>
      </c>
      <c r="I175" s="12" t="str">
        <f t="shared" si="17"/>
      </c>
      <c r="J175" s="11" t="str">
        <f t="shared" si="18"/>
      </c>
      <c r="K175" s="12" t="str">
        <f t="shared" si="23"/>
      </c>
      <c r="L175" s="13" t="str">
        <f>IF(H175="","",IFERROR(INDEX('Tipos BdE'!$B$7:$M$336,MATCH(DATE(YEAR(K175),MONTH(K175),1),'Tipos BdE'!$A$7:$A$336,1),MATCH($D$9,'Tipos BdE'!$B$6:$M$6,0)),0))</f>
      </c>
      <c r="M175" s="13" t="str">
        <f t="shared" si="19"/>
      </c>
      <c r="N175" s="13" t="str">
        <f t="shared" si="20"/>
      </c>
      <c r="O175" s="14" t="str">
        <f t="shared" si="21"/>
      </c>
      <c r="P175" s="14" t="str">
        <f>IF(H175="","",$D$5+SUM($O$5:O175))</f>
      </c>
    </row>
    <row r="176" spans="7:16" x14ac:dyDescent="0.35">
      <c r="G176" s="11" t="str">
        <f t="shared" si="16"/>
      </c>
      <c r="H176" s="12" t="str">
        <f t="shared" si="22"/>
      </c>
      <c r="I176" s="12" t="str">
        <f t="shared" si="17"/>
      </c>
      <c r="J176" s="11" t="str">
        <f t="shared" si="18"/>
      </c>
      <c r="K176" s="12" t="str">
        <f t="shared" si="23"/>
      </c>
      <c r="L176" s="13" t="str">
        <f>IF(H176="","",IFERROR(INDEX('Tipos BdE'!$B$7:$M$336,MATCH(DATE(YEAR(K176),MONTH(K176),1),'Tipos BdE'!$A$7:$A$336,1),MATCH($D$9,'Tipos BdE'!$B$6:$M$6,0)),0))</f>
      </c>
      <c r="M176" s="13" t="str">
        <f t="shared" si="19"/>
      </c>
      <c r="N176" s="13" t="str">
        <f t="shared" si="20"/>
      </c>
      <c r="O176" s="14" t="str">
        <f t="shared" si="21"/>
      </c>
      <c r="P176" s="14" t="str">
        <f>IF(H176="","",$D$5+SUM($O$5:O176))</f>
      </c>
    </row>
    <row r="177" spans="7:16" x14ac:dyDescent="0.35">
      <c r="G177" s="11" t="str">
        <f t="shared" si="16"/>
      </c>
      <c r="H177" s="12" t="str">
        <f t="shared" si="22"/>
      </c>
      <c r="I177" s="12" t="str">
        <f t="shared" si="17"/>
      </c>
      <c r="J177" s="11" t="str">
        <f t="shared" si="18"/>
      </c>
      <c r="K177" s="12" t="str">
        <f t="shared" si="23"/>
      </c>
      <c r="L177" s="13" t="str">
        <f>IF(H177="","",IFERROR(INDEX('Tipos BdE'!$B$7:$M$336,MATCH(DATE(YEAR(K177),MONTH(K177),1),'Tipos BdE'!$A$7:$A$336,1),MATCH($D$9,'Tipos BdE'!$B$6:$M$6,0)),0))</f>
      </c>
      <c r="M177" s="13" t="str">
        <f t="shared" si="19"/>
      </c>
      <c r="N177" s="13" t="str">
        <f t="shared" si="20"/>
      </c>
      <c r="O177" s="14" t="str">
        <f t="shared" si="21"/>
      </c>
      <c r="P177" s="14" t="str">
        <f>IF(H177="","",$D$5+SUM($O$5:O177))</f>
      </c>
    </row>
    <row r="178" spans="7:16" x14ac:dyDescent="0.35">
      <c r="G178" s="11" t="str">
        <f t="shared" si="16"/>
      </c>
      <c r="H178" s="12" t="str">
        <f t="shared" si="22"/>
      </c>
      <c r="I178" s="12" t="str">
        <f t="shared" si="17"/>
      </c>
      <c r="J178" s="11" t="str">
        <f t="shared" si="18"/>
      </c>
      <c r="K178" s="12" t="str">
        <f t="shared" si="23"/>
      </c>
      <c r="L178" s="13" t="str">
        <f>IF(H178="","",IFERROR(INDEX('Tipos BdE'!$B$7:$M$336,MATCH(DATE(YEAR(K178),MONTH(K178),1),'Tipos BdE'!$A$7:$A$336,1),MATCH($D$9,'Tipos BdE'!$B$6:$M$6,0)),0))</f>
      </c>
      <c r="M178" s="13" t="str">
        <f t="shared" si="19"/>
      </c>
      <c r="N178" s="13" t="str">
        <f t="shared" si="20"/>
      </c>
      <c r="O178" s="14" t="str">
        <f t="shared" si="21"/>
      </c>
      <c r="P178" s="14" t="str">
        <f>IF(H178="","",$D$5+SUM($O$5:O178))</f>
      </c>
    </row>
    <row r="179" spans="7:16" x14ac:dyDescent="0.35">
      <c r="G179" s="11" t="str">
        <f t="shared" si="16"/>
      </c>
      <c r="H179" s="12" t="str">
        <f t="shared" si="22"/>
      </c>
      <c r="I179" s="12" t="str">
        <f t="shared" si="17"/>
      </c>
      <c r="J179" s="11" t="str">
        <f t="shared" si="18"/>
      </c>
      <c r="K179" s="12" t="str">
        <f t="shared" si="23"/>
      </c>
      <c r="L179" s="13" t="str">
        <f>IF(H179="","",IFERROR(INDEX('Tipos BdE'!$B$7:$M$336,MATCH(DATE(YEAR(K179),MONTH(K179),1),'Tipos BdE'!$A$7:$A$336,1),MATCH($D$9,'Tipos BdE'!$B$6:$M$6,0)),0))</f>
      </c>
      <c r="M179" s="13" t="str">
        <f t="shared" si="19"/>
      </c>
      <c r="N179" s="13" t="str">
        <f t="shared" si="20"/>
      </c>
      <c r="O179" s="14" t="str">
        <f t="shared" si="21"/>
      </c>
      <c r="P179" s="14" t="str">
        <f>IF(H179="","",$D$5+SUM($O$5:O179))</f>
      </c>
    </row>
    <row r="180" spans="7:16" x14ac:dyDescent="0.35">
      <c r="G180" s="11" t="str">
        <f t="shared" si="16"/>
      </c>
      <c r="H180" s="12" t="str">
        <f t="shared" si="22"/>
      </c>
      <c r="I180" s="12" t="str">
        <f t="shared" si="17"/>
      </c>
      <c r="J180" s="11" t="str">
        <f t="shared" si="18"/>
      </c>
      <c r="K180" s="12" t="str">
        <f t="shared" si="23"/>
      </c>
      <c r="L180" s="13" t="str">
        <f>IF(H180="","",IFERROR(INDEX('Tipos BdE'!$B$7:$M$336,MATCH(DATE(YEAR(K180),MONTH(K180),1),'Tipos BdE'!$A$7:$A$336,1),MATCH($D$9,'Tipos BdE'!$B$6:$M$6,0)),0))</f>
      </c>
      <c r="M180" s="13" t="str">
        <f t="shared" si="19"/>
      </c>
      <c r="N180" s="13" t="str">
        <f t="shared" si="20"/>
      </c>
      <c r="O180" s="14" t="str">
        <f t="shared" si="21"/>
      </c>
      <c r="P180" s="14" t="str">
        <f>IF(H180="","",$D$5+SUM($O$5:O180))</f>
      </c>
    </row>
    <row r="181" spans="7:16" x14ac:dyDescent="0.35">
      <c r="G181" s="11" t="str">
        <f t="shared" si="16"/>
      </c>
      <c r="H181" s="12" t="str">
        <f t="shared" si="22"/>
      </c>
      <c r="I181" s="12" t="str">
        <f t="shared" si="17"/>
      </c>
      <c r="J181" s="11" t="str">
        <f t="shared" si="18"/>
      </c>
      <c r="K181" s="12" t="str">
        <f t="shared" si="23"/>
      </c>
      <c r="L181" s="13" t="str">
        <f>IF(H181="","",IFERROR(INDEX('Tipos BdE'!$B$7:$M$336,MATCH(DATE(YEAR(K181),MONTH(K181),1),'Tipos BdE'!$A$7:$A$336,1),MATCH($D$9,'Tipos BdE'!$B$6:$M$6,0)),0))</f>
      </c>
      <c r="M181" s="13" t="str">
        <f t="shared" si="19"/>
      </c>
      <c r="N181" s="13" t="str">
        <f t="shared" si="20"/>
      </c>
      <c r="O181" s="14" t="str">
        <f t="shared" si="21"/>
      </c>
      <c r="P181" s="14" t="str">
        <f>IF(H181="","",$D$5+SUM($O$5:O181))</f>
      </c>
    </row>
    <row r="182" spans="7:16" x14ac:dyDescent="0.35">
      <c r="G182" s="11" t="str">
        <f t="shared" si="16"/>
      </c>
      <c r="H182" s="12" t="str">
        <f t="shared" si="22"/>
      </c>
      <c r="I182" s="12" t="str">
        <f t="shared" si="17"/>
      </c>
      <c r="J182" s="11" t="str">
        <f t="shared" si="18"/>
      </c>
      <c r="K182" s="12" t="str">
        <f t="shared" si="23"/>
      </c>
      <c r="L182" s="13" t="str">
        <f>IF(H182="","",IFERROR(INDEX('Tipos BdE'!$B$7:$M$336,MATCH(DATE(YEAR(K182),MONTH(K182),1),'Tipos BdE'!$A$7:$A$336,1),MATCH($D$9,'Tipos BdE'!$B$6:$M$6,0)),0))</f>
      </c>
      <c r="M182" s="13" t="str">
        <f t="shared" si="19"/>
      </c>
      <c r="N182" s="13" t="str">
        <f t="shared" si="20"/>
      </c>
      <c r="O182" s="14" t="str">
        <f t="shared" si="21"/>
      </c>
      <c r="P182" s="14" t="str">
        <f>IF(H182="","",$D$5+SUM($O$5:O182))</f>
      </c>
    </row>
    <row r="183" spans="7:16" x14ac:dyDescent="0.35">
      <c r="G183" s="11" t="str">
        <f t="shared" si="16"/>
      </c>
      <c r="H183" s="12" t="str">
        <f t="shared" si="22"/>
      </c>
      <c r="I183" s="12" t="str">
        <f t="shared" si="17"/>
      </c>
      <c r="J183" s="11" t="str">
        <f t="shared" si="18"/>
      </c>
      <c r="K183" s="12" t="str">
        <f t="shared" si="23"/>
      </c>
      <c r="L183" s="13" t="str">
        <f>IF(H183="","",IFERROR(INDEX('Tipos BdE'!$B$7:$M$336,MATCH(DATE(YEAR(K183),MONTH(K183),1),'Tipos BdE'!$A$7:$A$336,1),MATCH($D$9,'Tipos BdE'!$B$6:$M$6,0)),0))</f>
      </c>
      <c r="M183" s="13" t="str">
        <f t="shared" si="19"/>
      </c>
      <c r="N183" s="13" t="str">
        <f t="shared" si="20"/>
      </c>
      <c r="O183" s="14" t="str">
        <f t="shared" si="21"/>
      </c>
      <c r="P183" s="14" t="str">
        <f>IF(H183="","",$D$5+SUM($O$5:O183))</f>
      </c>
    </row>
    <row r="184" spans="7:16" x14ac:dyDescent="0.35">
      <c r="G184" s="11" t="str">
        <f t="shared" si="16"/>
      </c>
      <c r="H184" s="12" t="str">
        <f t="shared" si="22"/>
      </c>
      <c r="I184" s="12" t="str">
        <f t="shared" si="17"/>
      </c>
      <c r="J184" s="11" t="str">
        <f t="shared" si="18"/>
      </c>
      <c r="K184" s="12" t="str">
        <f t="shared" si="23"/>
      </c>
      <c r="L184" s="13" t="str">
        <f>IF(H184="","",IFERROR(INDEX('Tipos BdE'!$B$7:$M$336,MATCH(DATE(YEAR(K184),MONTH(K184),1),'Tipos BdE'!$A$7:$A$336,1),MATCH($D$9,'Tipos BdE'!$B$6:$M$6,0)),0))</f>
      </c>
      <c r="M184" s="13" t="str">
        <f t="shared" si="19"/>
      </c>
      <c r="N184" s="13" t="str">
        <f t="shared" si="20"/>
      </c>
      <c r="O184" s="14" t="str">
        <f t="shared" si="21"/>
      </c>
      <c r="P184" s="14" t="str">
        <f>IF(H184="","",$D$5+SUM($O$5:O184))</f>
      </c>
    </row>
    <row r="185" spans="7:16" x14ac:dyDescent="0.35">
      <c r="G185" s="11" t="str">
        <f t="shared" si="16"/>
      </c>
      <c r="H185" s="12" t="str">
        <f t="shared" si="22"/>
      </c>
      <c r="I185" s="12" t="str">
        <f t="shared" si="17"/>
      </c>
      <c r="J185" s="11" t="str">
        <f t="shared" si="18"/>
      </c>
      <c r="K185" s="12" t="str">
        <f t="shared" si="23"/>
      </c>
      <c r="L185" s="13" t="str">
        <f>IF(H185="","",IFERROR(INDEX('Tipos BdE'!$B$7:$M$336,MATCH(DATE(YEAR(K185),MONTH(K185),1),'Tipos BdE'!$A$7:$A$336,1),MATCH($D$9,'Tipos BdE'!$B$6:$M$6,0)),0))</f>
      </c>
      <c r="M185" s="13" t="str">
        <f t="shared" si="19"/>
      </c>
      <c r="N185" s="13" t="str">
        <f t="shared" si="20"/>
      </c>
      <c r="O185" s="14" t="str">
        <f t="shared" si="21"/>
      </c>
      <c r="P185" s="14" t="str">
        <f>IF(H185="","",$D$5+SUM($O$5:O185))</f>
      </c>
    </row>
    <row r="186" spans="7:16" x14ac:dyDescent="0.35">
      <c r="G186" s="11" t="str">
        <f t="shared" si="16"/>
      </c>
      <c r="H186" s="12" t="str">
        <f t="shared" si="22"/>
      </c>
      <c r="I186" s="12" t="str">
        <f t="shared" si="17"/>
      </c>
      <c r="J186" s="11" t="str">
        <f t="shared" si="18"/>
      </c>
      <c r="K186" s="12" t="str">
        <f t="shared" si="23"/>
      </c>
      <c r="L186" s="13" t="str">
        <f>IF(H186="","",IFERROR(INDEX('Tipos BdE'!$B$7:$M$336,MATCH(DATE(YEAR(K186),MONTH(K186),1),'Tipos BdE'!$A$7:$A$336,1),MATCH($D$9,'Tipos BdE'!$B$6:$M$6,0)),0))</f>
      </c>
      <c r="M186" s="13" t="str">
        <f t="shared" si="19"/>
      </c>
      <c r="N186" s="13" t="str">
        <f t="shared" si="20"/>
      </c>
      <c r="O186" s="14" t="str">
        <f t="shared" si="21"/>
      </c>
      <c r="P186" s="14" t="str">
        <f>IF(H186="","",$D$5+SUM($O$5:O186))</f>
      </c>
    </row>
    <row r="187" spans="7:16" x14ac:dyDescent="0.35">
      <c r="G187" s="11" t="str">
        <f t="shared" si="16"/>
      </c>
      <c r="H187" s="12" t="str">
        <f t="shared" si="22"/>
      </c>
      <c r="I187" s="12" t="str">
        <f t="shared" si="17"/>
      </c>
      <c r="J187" s="11" t="str">
        <f t="shared" si="18"/>
      </c>
      <c r="K187" s="12" t="str">
        <f t="shared" si="23"/>
      </c>
      <c r="L187" s="13" t="str">
        <f>IF(H187="","",IFERROR(INDEX('Tipos BdE'!$B$7:$M$336,MATCH(DATE(YEAR(K187),MONTH(K187),1),'Tipos BdE'!$A$7:$A$336,1),MATCH($D$9,'Tipos BdE'!$B$6:$M$6,0)),0))</f>
      </c>
      <c r="M187" s="13" t="str">
        <f t="shared" si="19"/>
      </c>
      <c r="N187" s="13" t="str">
        <f t="shared" si="20"/>
      </c>
      <c r="O187" s="14" t="str">
        <f t="shared" si="21"/>
      </c>
      <c r="P187" s="14" t="str">
        <f>IF(H187="","",$D$5+SUM($O$5:O187))</f>
      </c>
    </row>
    <row r="188" spans="7:16" x14ac:dyDescent="0.35">
      <c r="G188" s="11" t="str">
        <f t="shared" si="16"/>
      </c>
      <c r="H188" s="12" t="str">
        <f t="shared" si="22"/>
      </c>
      <c r="I188" s="12" t="str">
        <f t="shared" si="17"/>
      </c>
      <c r="J188" s="11" t="str">
        <f t="shared" si="18"/>
      </c>
      <c r="K188" s="12" t="str">
        <f t="shared" si="23"/>
      </c>
      <c r="L188" s="13" t="str">
        <f>IF(H188="","",IFERROR(INDEX('Tipos BdE'!$B$7:$M$336,MATCH(DATE(YEAR(K188),MONTH(K188),1),'Tipos BdE'!$A$7:$A$336,1),MATCH($D$9,'Tipos BdE'!$B$6:$M$6,0)),0))</f>
      </c>
      <c r="M188" s="13" t="str">
        <f t="shared" si="19"/>
      </c>
      <c r="N188" s="13" t="str">
        <f t="shared" si="20"/>
      </c>
      <c r="O188" s="14" t="str">
        <f t="shared" si="21"/>
      </c>
      <c r="P188" s="14" t="str">
        <f>IF(H188="","",$D$5+SUM($O$5:O188))</f>
      </c>
    </row>
    <row r="189" spans="7:16" x14ac:dyDescent="0.35">
      <c r="G189" s="11" t="str">
        <f t="shared" si="16"/>
      </c>
      <c r="H189" s="12" t="str">
        <f t="shared" si="22"/>
      </c>
      <c r="I189" s="12" t="str">
        <f t="shared" si="17"/>
      </c>
      <c r="J189" s="11" t="str">
        <f t="shared" si="18"/>
      </c>
      <c r="K189" s="12" t="str">
        <f t="shared" si="23"/>
      </c>
      <c r="L189" s="13" t="str">
        <f>IF(H189="","",IFERROR(INDEX('Tipos BdE'!$B$7:$M$336,MATCH(DATE(YEAR(K189),MONTH(K189),1),'Tipos BdE'!$A$7:$A$336,1),MATCH($D$9,'Tipos BdE'!$B$6:$M$6,0)),0))</f>
      </c>
      <c r="M189" s="13" t="str">
        <f t="shared" si="19"/>
      </c>
      <c r="N189" s="13" t="str">
        <f t="shared" si="20"/>
      </c>
      <c r="O189" s="14" t="str">
        <f t="shared" si="21"/>
      </c>
      <c r="P189" s="14" t="str">
        <f>IF(H189="","",$D$5+SUM($O$5:O189))</f>
      </c>
    </row>
    <row r="190" spans="7:16" x14ac:dyDescent="0.35">
      <c r="G190" s="11" t="str">
        <f t="shared" si="16"/>
      </c>
      <c r="H190" s="12" t="str">
        <f t="shared" si="22"/>
      </c>
      <c r="I190" s="12" t="str">
        <f t="shared" si="17"/>
      </c>
      <c r="J190" s="11" t="str">
        <f t="shared" si="18"/>
      </c>
      <c r="K190" s="12" t="str">
        <f t="shared" si="23"/>
      </c>
      <c r="L190" s="13" t="str">
        <f>IF(H190="","",IFERROR(INDEX('Tipos BdE'!$B$7:$M$336,MATCH(DATE(YEAR(K190),MONTH(K190),1),'Tipos BdE'!$A$7:$A$336,1),MATCH($D$9,'Tipos BdE'!$B$6:$M$6,0)),0))</f>
      </c>
      <c r="M190" s="13" t="str">
        <f t="shared" si="19"/>
      </c>
      <c r="N190" s="13" t="str">
        <f t="shared" si="20"/>
      </c>
      <c r="O190" s="14" t="str">
        <f t="shared" si="21"/>
      </c>
      <c r="P190" s="14" t="str">
        <f>IF(H190="","",$D$5+SUM($O$5:O190))</f>
      </c>
    </row>
    <row r="191" spans="7:16" x14ac:dyDescent="0.35">
      <c r="G191" s="11" t="str">
        <f t="shared" si="16"/>
      </c>
      <c r="H191" s="12" t="str">
        <f t="shared" si="22"/>
      </c>
      <c r="I191" s="12" t="str">
        <f t="shared" si="17"/>
      </c>
      <c r="J191" s="11" t="str">
        <f t="shared" si="18"/>
      </c>
      <c r="K191" s="12" t="str">
        <f t="shared" si="23"/>
      </c>
      <c r="L191" s="13" t="str">
        <f>IF(H191="","",IFERROR(INDEX('Tipos BdE'!$B$7:$M$336,MATCH(DATE(YEAR(K191),MONTH(K191),1),'Tipos BdE'!$A$7:$A$336,1),MATCH($D$9,'Tipos BdE'!$B$6:$M$6,0)),0))</f>
      </c>
      <c r="M191" s="13" t="str">
        <f t="shared" si="19"/>
      </c>
      <c r="N191" s="13" t="str">
        <f t="shared" si="20"/>
      </c>
      <c r="O191" s="14" t="str">
        <f t="shared" si="21"/>
      </c>
      <c r="P191" s="14" t="str">
        <f>IF(H191="","",$D$5+SUM($O$5:O191))</f>
      </c>
    </row>
    <row r="192" spans="7:16" x14ac:dyDescent="0.35">
      <c r="G192" s="11" t="str">
        <f t="shared" si="16"/>
      </c>
      <c r="H192" s="12" t="str">
        <f t="shared" si="22"/>
      </c>
      <c r="I192" s="12" t="str">
        <f t="shared" si="17"/>
      </c>
      <c r="J192" s="11" t="str">
        <f t="shared" si="18"/>
      </c>
      <c r="K192" s="12" t="str">
        <f t="shared" si="23"/>
      </c>
      <c r="L192" s="13" t="str">
        <f>IF(H192="","",IFERROR(INDEX('Tipos BdE'!$B$7:$M$336,MATCH(DATE(YEAR(K192),MONTH(K192),1),'Tipos BdE'!$A$7:$A$336,1),MATCH($D$9,'Tipos BdE'!$B$6:$M$6,0)),0))</f>
      </c>
      <c r="M192" s="13" t="str">
        <f t="shared" si="19"/>
      </c>
      <c r="N192" s="13" t="str">
        <f t="shared" si="20"/>
      </c>
      <c r="O192" s="14" t="str">
        <f t="shared" si="21"/>
      </c>
      <c r="P192" s="14" t="str">
        <f>IF(H192="","",$D$5+SUM($O$5:O192))</f>
      </c>
    </row>
    <row r="193" spans="7:16" x14ac:dyDescent="0.35">
      <c r="G193" s="11" t="str">
        <f t="shared" si="16"/>
      </c>
      <c r="H193" s="12" t="str">
        <f t="shared" si="22"/>
      </c>
      <c r="I193" s="12" t="str">
        <f t="shared" si="17"/>
      </c>
      <c r="J193" s="11" t="str">
        <f t="shared" si="18"/>
      </c>
      <c r="K193" s="12" t="str">
        <f t="shared" si="23"/>
      </c>
      <c r="L193" s="13" t="str">
        <f>IF(H193="","",IFERROR(INDEX('Tipos BdE'!$B$7:$M$336,MATCH(DATE(YEAR(K193),MONTH(K193),1),'Tipos BdE'!$A$7:$A$336,1),MATCH($D$9,'Tipos BdE'!$B$6:$M$6,0)),0))</f>
      </c>
      <c r="M193" s="13" t="str">
        <f t="shared" si="19"/>
      </c>
      <c r="N193" s="13" t="str">
        <f t="shared" si="20"/>
      </c>
      <c r="O193" s="14" t="str">
        <f t="shared" si="21"/>
      </c>
      <c r="P193" s="14" t="str">
        <f>IF(H193="","",$D$5+SUM($O$5:O193))</f>
      </c>
    </row>
    <row r="194" spans="7:16" x14ac:dyDescent="0.35">
      <c r="G194" s="11" t="str">
        <f t="shared" si="16"/>
      </c>
      <c r="H194" s="12" t="str">
        <f t="shared" si="22"/>
      </c>
      <c r="I194" s="12" t="str">
        <f t="shared" si="17"/>
      </c>
      <c r="J194" s="11" t="str">
        <f t="shared" si="18"/>
      </c>
      <c r="K194" s="12" t="str">
        <f t="shared" si="23"/>
      </c>
      <c r="L194" s="13" t="str">
        <f>IF(H194="","",IFERROR(INDEX('Tipos BdE'!$B$7:$M$336,MATCH(DATE(YEAR(K194),MONTH(K194),1),'Tipos BdE'!$A$7:$A$336,1),MATCH($D$9,'Tipos BdE'!$B$6:$M$6,0)),0))</f>
      </c>
      <c r="M194" s="13" t="str">
        <f t="shared" si="19"/>
      </c>
      <c r="N194" s="13" t="str">
        <f t="shared" si="20"/>
      </c>
      <c r="O194" s="14" t="str">
        <f t="shared" si="21"/>
      </c>
      <c r="P194" s="14" t="str">
        <f>IF(H194="","",$D$5+SUM($O$5:O194))</f>
      </c>
    </row>
    <row r="195" spans="7:16" x14ac:dyDescent="0.35">
      <c r="G195" s="11" t="str">
        <f t="shared" si="16"/>
      </c>
      <c r="H195" s="12" t="str">
        <f t="shared" si="22"/>
      </c>
      <c r="I195" s="12" t="str">
        <f t="shared" si="17"/>
      </c>
      <c r="J195" s="11" t="str">
        <f t="shared" si="18"/>
      </c>
      <c r="K195" s="12" t="str">
        <f t="shared" si="23"/>
      </c>
      <c r="L195" s="13" t="str">
        <f>IF(H195="","",IFERROR(INDEX('Tipos BdE'!$B$7:$M$336,MATCH(DATE(YEAR(K195),MONTH(K195),1),'Tipos BdE'!$A$7:$A$336,1),MATCH($D$9,'Tipos BdE'!$B$6:$M$6,0)),0))</f>
      </c>
      <c r="M195" s="13" t="str">
        <f t="shared" si="19"/>
      </c>
      <c r="N195" s="13" t="str">
        <f t="shared" si="20"/>
      </c>
      <c r="O195" s="14" t="str">
        <f t="shared" si="21"/>
      </c>
      <c r="P195" s="14" t="str">
        <f>IF(H195="","",$D$5+SUM($O$5:O195))</f>
      </c>
    </row>
    <row r="196" spans="7:16" x14ac:dyDescent="0.35">
      <c r="G196" s="11" t="str">
        <f t="shared" si="16"/>
      </c>
      <c r="H196" s="12" t="str">
        <f t="shared" si="22"/>
      </c>
      <c r="I196" s="12" t="str">
        <f t="shared" si="17"/>
      </c>
      <c r="J196" s="11" t="str">
        <f t="shared" si="18"/>
      </c>
      <c r="K196" s="12" t="str">
        <f t="shared" si="23"/>
      </c>
      <c r="L196" s="13" t="str">
        <f>IF(H196="","",IFERROR(INDEX('Tipos BdE'!$B$7:$M$336,MATCH(DATE(YEAR(K196),MONTH(K196),1),'Tipos BdE'!$A$7:$A$336,1),MATCH($D$9,'Tipos BdE'!$B$6:$M$6,0)),0))</f>
      </c>
      <c r="M196" s="13" t="str">
        <f t="shared" si="19"/>
      </c>
      <c r="N196" s="13" t="str">
        <f t="shared" si="20"/>
      </c>
      <c r="O196" s="14" t="str">
        <f t="shared" si="21"/>
      </c>
      <c r="P196" s="14" t="str">
        <f>IF(H196="","",$D$5+SUM($O$5:O196))</f>
      </c>
    </row>
    <row r="197" spans="7:16" x14ac:dyDescent="0.35">
      <c r="G197" s="11" t="str">
        <f t="shared" ref="G197:G260" si="24">IF(H197="","",ROW()-4)</f>
      </c>
      <c r="H197" s="12" t="str">
        <f t="shared" si="22"/>
      </c>
      <c r="I197" s="12" t="str">
        <f t="shared" ref="I197:I260" si="25">IF(H197="","",MIN(IF($D$18="LEGAL",DATE(YEAR(H197)+1,1,1),EDATE($D$12,$D$11*(INT((((YEAR(H197)-YEAR($D$12))*12+(MONTH(H197)-MONTH($D$12))-IF(DAY(H197)&lt;DAY($D$12),1,0))/$D$11))+1))),$D$7))</f>
      </c>
      <c r="J197" s="11" t="str">
        <f t="shared" ref="J197:J260" si="26">IF(H197="","",I197-H197)</f>
      </c>
      <c r="K197" s="12" t="str">
        <f t="shared" si="23"/>
      </c>
      <c r="L197" s="13" t="str">
        <f>IF(H197="","",IFERROR(INDEX('Tipos BdE'!$B$7:$M$336,MATCH(DATE(YEAR(K197),MONTH(K197),1),'Tipos BdE'!$A$7:$A$336,1),MATCH($D$9,'Tipos BdE'!$B$6:$M$6,0)),0))</f>
      </c>
      <c r="M197" s="13" t="str">
        <f t="shared" ref="M197:M260" si="27">IF(H197="","",IF($D$18="LEGAL",0,$D$10))</f>
      </c>
      <c r="N197" s="13" t="str">
        <f t="shared" ref="N197:N260" si="28">IF(H197="","",IF(AND($D$14="Sí",(L197+M197)&lt;0),0,L197+M197))</f>
      </c>
      <c r="O197" s="14" t="str">
        <f t="shared" ref="O197:O260" si="29">IF(H197="","",$D$5*N197*J197/36500)</f>
      </c>
      <c r="P197" s="14" t="str">
        <f>IF(H197="","",$D$5+SUM($O$5:O197))</f>
      </c>
    </row>
    <row r="198" spans="7:16" x14ac:dyDescent="0.35">
      <c r="G198" s="11" t="str">
        <f t="shared" si="24"/>
      </c>
      <c r="H198" s="12" t="str">
        <f t="shared" ref="H198:H261" si="30">IF(OR(I197="",I197&gt;=$D$7),"",I197)</f>
      </c>
      <c r="I198" s="12" t="str">
        <f t="shared" si="25"/>
      </c>
      <c r="J198" s="11" t="str">
        <f t="shared" si="26"/>
      </c>
      <c r="K198" s="12" t="str">
        <f t="shared" ref="K198:K261" si="31">IF(H198="","",IF($D$18="LEGAL",H198,EDATE(H198,-$D$13)))</f>
      </c>
      <c r="L198" s="13" t="str">
        <f>IF(H198="","",IFERROR(INDEX('Tipos BdE'!$B$7:$M$336,MATCH(DATE(YEAR(K198),MONTH(K198),1),'Tipos BdE'!$A$7:$A$336,1),MATCH($D$9,'Tipos BdE'!$B$6:$M$6,0)),0))</f>
      </c>
      <c r="M198" s="13" t="str">
        <f t="shared" si="27"/>
      </c>
      <c r="N198" s="13" t="str">
        <f t="shared" si="28"/>
      </c>
      <c r="O198" s="14" t="str">
        <f t="shared" si="29"/>
      </c>
      <c r="P198" s="14" t="str">
        <f>IF(H198="","",$D$5+SUM($O$5:O198))</f>
      </c>
    </row>
    <row r="199" spans="7:16" x14ac:dyDescent="0.35">
      <c r="G199" s="11" t="str">
        <f t="shared" si="24"/>
      </c>
      <c r="H199" s="12" t="str">
        <f t="shared" si="30"/>
      </c>
      <c r="I199" s="12" t="str">
        <f t="shared" si="25"/>
      </c>
      <c r="J199" s="11" t="str">
        <f t="shared" si="26"/>
      </c>
      <c r="K199" s="12" t="str">
        <f t="shared" si="31"/>
      </c>
      <c r="L199" s="13" t="str">
        <f>IF(H199="","",IFERROR(INDEX('Tipos BdE'!$B$7:$M$336,MATCH(DATE(YEAR(K199),MONTH(K199),1),'Tipos BdE'!$A$7:$A$336,1),MATCH($D$9,'Tipos BdE'!$B$6:$M$6,0)),0))</f>
      </c>
      <c r="M199" s="13" t="str">
        <f t="shared" si="27"/>
      </c>
      <c r="N199" s="13" t="str">
        <f t="shared" si="28"/>
      </c>
      <c r="O199" s="14" t="str">
        <f t="shared" si="29"/>
      </c>
      <c r="P199" s="14" t="str">
        <f>IF(H199="","",$D$5+SUM($O$5:O199))</f>
      </c>
    </row>
    <row r="200" spans="7:16" x14ac:dyDescent="0.35">
      <c r="G200" s="11" t="str">
        <f t="shared" si="24"/>
      </c>
      <c r="H200" s="12" t="str">
        <f t="shared" si="30"/>
      </c>
      <c r="I200" s="12" t="str">
        <f t="shared" si="25"/>
      </c>
      <c r="J200" s="11" t="str">
        <f t="shared" si="26"/>
      </c>
      <c r="K200" s="12" t="str">
        <f t="shared" si="31"/>
      </c>
      <c r="L200" s="13" t="str">
        <f>IF(H200="","",IFERROR(INDEX('Tipos BdE'!$B$7:$M$336,MATCH(DATE(YEAR(K200),MONTH(K200),1),'Tipos BdE'!$A$7:$A$336,1),MATCH($D$9,'Tipos BdE'!$B$6:$M$6,0)),0))</f>
      </c>
      <c r="M200" s="13" t="str">
        <f t="shared" si="27"/>
      </c>
      <c r="N200" s="13" t="str">
        <f t="shared" si="28"/>
      </c>
      <c r="O200" s="14" t="str">
        <f t="shared" si="29"/>
      </c>
      <c r="P200" s="14" t="str">
        <f>IF(H200="","",$D$5+SUM($O$5:O200))</f>
      </c>
    </row>
    <row r="201" spans="7:16" x14ac:dyDescent="0.35">
      <c r="G201" s="11" t="str">
        <f t="shared" si="24"/>
      </c>
      <c r="H201" s="12" t="str">
        <f t="shared" si="30"/>
      </c>
      <c r="I201" s="12" t="str">
        <f t="shared" si="25"/>
      </c>
      <c r="J201" s="11" t="str">
        <f t="shared" si="26"/>
      </c>
      <c r="K201" s="12" t="str">
        <f t="shared" si="31"/>
      </c>
      <c r="L201" s="13" t="str">
        <f>IF(H201="","",IFERROR(INDEX('Tipos BdE'!$B$7:$M$336,MATCH(DATE(YEAR(K201),MONTH(K201),1),'Tipos BdE'!$A$7:$A$336,1),MATCH($D$9,'Tipos BdE'!$B$6:$M$6,0)),0))</f>
      </c>
      <c r="M201" s="13" t="str">
        <f t="shared" si="27"/>
      </c>
      <c r="N201" s="13" t="str">
        <f t="shared" si="28"/>
      </c>
      <c r="O201" s="14" t="str">
        <f t="shared" si="29"/>
      </c>
      <c r="P201" s="14" t="str">
        <f>IF(H201="","",$D$5+SUM($O$5:O201))</f>
      </c>
    </row>
    <row r="202" spans="7:16" x14ac:dyDescent="0.35">
      <c r="G202" s="11" t="str">
        <f t="shared" si="24"/>
      </c>
      <c r="H202" s="12" t="str">
        <f t="shared" si="30"/>
      </c>
      <c r="I202" s="12" t="str">
        <f t="shared" si="25"/>
      </c>
      <c r="J202" s="11" t="str">
        <f t="shared" si="26"/>
      </c>
      <c r="K202" s="12" t="str">
        <f t="shared" si="31"/>
      </c>
      <c r="L202" s="13" t="str">
        <f>IF(H202="","",IFERROR(INDEX('Tipos BdE'!$B$7:$M$336,MATCH(DATE(YEAR(K202),MONTH(K202),1),'Tipos BdE'!$A$7:$A$336,1),MATCH($D$9,'Tipos BdE'!$B$6:$M$6,0)),0))</f>
      </c>
      <c r="M202" s="13" t="str">
        <f t="shared" si="27"/>
      </c>
      <c r="N202" s="13" t="str">
        <f t="shared" si="28"/>
      </c>
      <c r="O202" s="14" t="str">
        <f t="shared" si="29"/>
      </c>
      <c r="P202" s="14" t="str">
        <f>IF(H202="","",$D$5+SUM($O$5:O202))</f>
      </c>
    </row>
    <row r="203" spans="7:16" x14ac:dyDescent="0.35">
      <c r="G203" s="11" t="str">
        <f t="shared" si="24"/>
      </c>
      <c r="H203" s="12" t="str">
        <f t="shared" si="30"/>
      </c>
      <c r="I203" s="12" t="str">
        <f t="shared" si="25"/>
      </c>
      <c r="J203" s="11" t="str">
        <f t="shared" si="26"/>
      </c>
      <c r="K203" s="12" t="str">
        <f t="shared" si="31"/>
      </c>
      <c r="L203" s="13" t="str">
        <f>IF(H203="","",IFERROR(INDEX('Tipos BdE'!$B$7:$M$336,MATCH(DATE(YEAR(K203),MONTH(K203),1),'Tipos BdE'!$A$7:$A$336,1),MATCH($D$9,'Tipos BdE'!$B$6:$M$6,0)),0))</f>
      </c>
      <c r="M203" s="13" t="str">
        <f t="shared" si="27"/>
      </c>
      <c r="N203" s="13" t="str">
        <f t="shared" si="28"/>
      </c>
      <c r="O203" s="14" t="str">
        <f t="shared" si="29"/>
      </c>
      <c r="P203" s="14" t="str">
        <f>IF(H203="","",$D$5+SUM($O$5:O203))</f>
      </c>
    </row>
    <row r="204" spans="7:16" x14ac:dyDescent="0.35">
      <c r="G204" s="11" t="str">
        <f t="shared" si="24"/>
      </c>
      <c r="H204" s="12" t="str">
        <f t="shared" si="30"/>
      </c>
      <c r="I204" s="12" t="str">
        <f t="shared" si="25"/>
      </c>
      <c r="J204" s="11" t="str">
        <f t="shared" si="26"/>
      </c>
      <c r="K204" s="12" t="str">
        <f t="shared" si="31"/>
      </c>
      <c r="L204" s="13" t="str">
        <f>IF(H204="","",IFERROR(INDEX('Tipos BdE'!$B$7:$M$336,MATCH(DATE(YEAR(K204),MONTH(K204),1),'Tipos BdE'!$A$7:$A$336,1),MATCH($D$9,'Tipos BdE'!$B$6:$M$6,0)),0))</f>
      </c>
      <c r="M204" s="13" t="str">
        <f t="shared" si="27"/>
      </c>
      <c r="N204" s="13" t="str">
        <f t="shared" si="28"/>
      </c>
      <c r="O204" s="14" t="str">
        <f t="shared" si="29"/>
      </c>
      <c r="P204" s="14" t="str">
        <f>IF(H204="","",$D$5+SUM($O$5:O204))</f>
      </c>
    </row>
    <row r="205" spans="7:16" x14ac:dyDescent="0.35">
      <c r="G205" s="11" t="str">
        <f t="shared" si="24"/>
      </c>
      <c r="H205" s="12" t="str">
        <f t="shared" si="30"/>
      </c>
      <c r="I205" s="12" t="str">
        <f t="shared" si="25"/>
      </c>
      <c r="J205" s="11" t="str">
        <f t="shared" si="26"/>
      </c>
      <c r="K205" s="12" t="str">
        <f t="shared" si="31"/>
      </c>
      <c r="L205" s="13" t="str">
        <f>IF(H205="","",IFERROR(INDEX('Tipos BdE'!$B$7:$M$336,MATCH(DATE(YEAR(K205),MONTH(K205),1),'Tipos BdE'!$A$7:$A$336,1),MATCH($D$9,'Tipos BdE'!$B$6:$M$6,0)),0))</f>
      </c>
      <c r="M205" s="13" t="str">
        <f t="shared" si="27"/>
      </c>
      <c r="N205" s="13" t="str">
        <f t="shared" si="28"/>
      </c>
      <c r="O205" s="14" t="str">
        <f t="shared" si="29"/>
      </c>
      <c r="P205" s="14" t="str">
        <f>IF(H205="","",$D$5+SUM($O$5:O205))</f>
      </c>
    </row>
    <row r="206" spans="7:16" x14ac:dyDescent="0.35">
      <c r="G206" s="11" t="str">
        <f t="shared" si="24"/>
      </c>
      <c r="H206" s="12" t="str">
        <f t="shared" si="30"/>
      </c>
      <c r="I206" s="12" t="str">
        <f t="shared" si="25"/>
      </c>
      <c r="J206" s="11" t="str">
        <f t="shared" si="26"/>
      </c>
      <c r="K206" s="12" t="str">
        <f t="shared" si="31"/>
      </c>
      <c r="L206" s="13" t="str">
        <f>IF(H206="","",IFERROR(INDEX('Tipos BdE'!$B$7:$M$336,MATCH(DATE(YEAR(K206),MONTH(K206),1),'Tipos BdE'!$A$7:$A$336,1),MATCH($D$9,'Tipos BdE'!$B$6:$M$6,0)),0))</f>
      </c>
      <c r="M206" s="13" t="str">
        <f t="shared" si="27"/>
      </c>
      <c r="N206" s="13" t="str">
        <f t="shared" si="28"/>
      </c>
      <c r="O206" s="14" t="str">
        <f t="shared" si="29"/>
      </c>
      <c r="P206" s="14" t="str">
        <f>IF(H206="","",$D$5+SUM($O$5:O206))</f>
      </c>
    </row>
    <row r="207" spans="7:16" x14ac:dyDescent="0.35">
      <c r="G207" s="11" t="str">
        <f t="shared" si="24"/>
      </c>
      <c r="H207" s="12" t="str">
        <f t="shared" si="30"/>
      </c>
      <c r="I207" s="12" t="str">
        <f t="shared" si="25"/>
      </c>
      <c r="J207" s="11" t="str">
        <f t="shared" si="26"/>
      </c>
      <c r="K207" s="12" t="str">
        <f t="shared" si="31"/>
      </c>
      <c r="L207" s="13" t="str">
        <f>IF(H207="","",IFERROR(INDEX('Tipos BdE'!$B$7:$M$336,MATCH(DATE(YEAR(K207),MONTH(K207),1),'Tipos BdE'!$A$7:$A$336,1),MATCH($D$9,'Tipos BdE'!$B$6:$M$6,0)),0))</f>
      </c>
      <c r="M207" s="13" t="str">
        <f t="shared" si="27"/>
      </c>
      <c r="N207" s="13" t="str">
        <f t="shared" si="28"/>
      </c>
      <c r="O207" s="14" t="str">
        <f t="shared" si="29"/>
      </c>
      <c r="P207" s="14" t="str">
        <f>IF(H207="","",$D$5+SUM($O$5:O207))</f>
      </c>
    </row>
    <row r="208" spans="7:16" x14ac:dyDescent="0.35">
      <c r="G208" s="11" t="str">
        <f t="shared" si="24"/>
      </c>
      <c r="H208" s="12" t="str">
        <f t="shared" si="30"/>
      </c>
      <c r="I208" s="12" t="str">
        <f t="shared" si="25"/>
      </c>
      <c r="J208" s="11" t="str">
        <f t="shared" si="26"/>
      </c>
      <c r="K208" s="12" t="str">
        <f t="shared" si="31"/>
      </c>
      <c r="L208" s="13" t="str">
        <f>IF(H208="","",IFERROR(INDEX('Tipos BdE'!$B$7:$M$336,MATCH(DATE(YEAR(K208),MONTH(K208),1),'Tipos BdE'!$A$7:$A$336,1),MATCH($D$9,'Tipos BdE'!$B$6:$M$6,0)),0))</f>
      </c>
      <c r="M208" s="13" t="str">
        <f t="shared" si="27"/>
      </c>
      <c r="N208" s="13" t="str">
        <f t="shared" si="28"/>
      </c>
      <c r="O208" s="14" t="str">
        <f t="shared" si="29"/>
      </c>
      <c r="P208" s="14" t="str">
        <f>IF(H208="","",$D$5+SUM($O$5:O208))</f>
      </c>
    </row>
    <row r="209" spans="7:16" x14ac:dyDescent="0.35">
      <c r="G209" s="11" t="str">
        <f t="shared" si="24"/>
      </c>
      <c r="H209" s="12" t="str">
        <f t="shared" si="30"/>
      </c>
      <c r="I209" s="12" t="str">
        <f t="shared" si="25"/>
      </c>
      <c r="J209" s="11" t="str">
        <f t="shared" si="26"/>
      </c>
      <c r="K209" s="12" t="str">
        <f t="shared" si="31"/>
      </c>
      <c r="L209" s="13" t="str">
        <f>IF(H209="","",IFERROR(INDEX('Tipos BdE'!$B$7:$M$336,MATCH(DATE(YEAR(K209),MONTH(K209),1),'Tipos BdE'!$A$7:$A$336,1),MATCH($D$9,'Tipos BdE'!$B$6:$M$6,0)),0))</f>
      </c>
      <c r="M209" s="13" t="str">
        <f t="shared" si="27"/>
      </c>
      <c r="N209" s="13" t="str">
        <f t="shared" si="28"/>
      </c>
      <c r="O209" s="14" t="str">
        <f t="shared" si="29"/>
      </c>
      <c r="P209" s="14" t="str">
        <f>IF(H209="","",$D$5+SUM($O$5:O209))</f>
      </c>
    </row>
    <row r="210" spans="7:16" x14ac:dyDescent="0.35">
      <c r="G210" s="11" t="str">
        <f t="shared" si="24"/>
      </c>
      <c r="H210" s="12" t="str">
        <f t="shared" si="30"/>
      </c>
      <c r="I210" s="12" t="str">
        <f t="shared" si="25"/>
      </c>
      <c r="J210" s="11" t="str">
        <f t="shared" si="26"/>
      </c>
      <c r="K210" s="12" t="str">
        <f t="shared" si="31"/>
      </c>
      <c r="L210" s="13" t="str">
        <f>IF(H210="","",IFERROR(INDEX('Tipos BdE'!$B$7:$M$336,MATCH(DATE(YEAR(K210),MONTH(K210),1),'Tipos BdE'!$A$7:$A$336,1),MATCH($D$9,'Tipos BdE'!$B$6:$M$6,0)),0))</f>
      </c>
      <c r="M210" s="13" t="str">
        <f t="shared" si="27"/>
      </c>
      <c r="N210" s="13" t="str">
        <f t="shared" si="28"/>
      </c>
      <c r="O210" s="14" t="str">
        <f t="shared" si="29"/>
      </c>
      <c r="P210" s="14" t="str">
        <f>IF(H210="","",$D$5+SUM($O$5:O210))</f>
      </c>
    </row>
    <row r="211" spans="7:16" x14ac:dyDescent="0.35">
      <c r="G211" s="11" t="str">
        <f t="shared" si="24"/>
      </c>
      <c r="H211" s="12" t="str">
        <f t="shared" si="30"/>
      </c>
      <c r="I211" s="12" t="str">
        <f t="shared" si="25"/>
      </c>
      <c r="J211" s="11" t="str">
        <f t="shared" si="26"/>
      </c>
      <c r="K211" s="12" t="str">
        <f t="shared" si="31"/>
      </c>
      <c r="L211" s="13" t="str">
        <f>IF(H211="","",IFERROR(INDEX('Tipos BdE'!$B$7:$M$336,MATCH(DATE(YEAR(K211),MONTH(K211),1),'Tipos BdE'!$A$7:$A$336,1),MATCH($D$9,'Tipos BdE'!$B$6:$M$6,0)),0))</f>
      </c>
      <c r="M211" s="13" t="str">
        <f t="shared" si="27"/>
      </c>
      <c r="N211" s="13" t="str">
        <f t="shared" si="28"/>
      </c>
      <c r="O211" s="14" t="str">
        <f t="shared" si="29"/>
      </c>
      <c r="P211" s="14" t="str">
        <f>IF(H211="","",$D$5+SUM($O$5:O211))</f>
      </c>
    </row>
    <row r="212" spans="7:16" x14ac:dyDescent="0.35">
      <c r="G212" s="11" t="str">
        <f t="shared" si="24"/>
      </c>
      <c r="H212" s="12" t="str">
        <f t="shared" si="30"/>
      </c>
      <c r="I212" s="12" t="str">
        <f t="shared" si="25"/>
      </c>
      <c r="J212" s="11" t="str">
        <f t="shared" si="26"/>
      </c>
      <c r="K212" s="12" t="str">
        <f t="shared" si="31"/>
      </c>
      <c r="L212" s="13" t="str">
        <f>IF(H212="","",IFERROR(INDEX('Tipos BdE'!$B$7:$M$336,MATCH(DATE(YEAR(K212),MONTH(K212),1),'Tipos BdE'!$A$7:$A$336,1),MATCH($D$9,'Tipos BdE'!$B$6:$M$6,0)),0))</f>
      </c>
      <c r="M212" s="13" t="str">
        <f t="shared" si="27"/>
      </c>
      <c r="N212" s="13" t="str">
        <f t="shared" si="28"/>
      </c>
      <c r="O212" s="14" t="str">
        <f t="shared" si="29"/>
      </c>
      <c r="P212" s="14" t="str">
        <f>IF(H212="","",$D$5+SUM($O$5:O212))</f>
      </c>
    </row>
    <row r="213" spans="7:16" x14ac:dyDescent="0.35">
      <c r="G213" s="11" t="str">
        <f t="shared" si="24"/>
      </c>
      <c r="H213" s="12" t="str">
        <f t="shared" si="30"/>
      </c>
      <c r="I213" s="12" t="str">
        <f t="shared" si="25"/>
      </c>
      <c r="J213" s="11" t="str">
        <f t="shared" si="26"/>
      </c>
      <c r="K213" s="12" t="str">
        <f t="shared" si="31"/>
      </c>
      <c r="L213" s="13" t="str">
        <f>IF(H213="","",IFERROR(INDEX('Tipos BdE'!$B$7:$M$336,MATCH(DATE(YEAR(K213),MONTH(K213),1),'Tipos BdE'!$A$7:$A$336,1),MATCH($D$9,'Tipos BdE'!$B$6:$M$6,0)),0))</f>
      </c>
      <c r="M213" s="13" t="str">
        <f t="shared" si="27"/>
      </c>
      <c r="N213" s="13" t="str">
        <f t="shared" si="28"/>
      </c>
      <c r="O213" s="14" t="str">
        <f t="shared" si="29"/>
      </c>
      <c r="P213" s="14" t="str">
        <f>IF(H213="","",$D$5+SUM($O$5:O213))</f>
      </c>
    </row>
    <row r="214" spans="7:16" x14ac:dyDescent="0.35">
      <c r="G214" s="11" t="str">
        <f t="shared" si="24"/>
      </c>
      <c r="H214" s="12" t="str">
        <f t="shared" si="30"/>
      </c>
      <c r="I214" s="12" t="str">
        <f t="shared" si="25"/>
      </c>
      <c r="J214" s="11" t="str">
        <f t="shared" si="26"/>
      </c>
      <c r="K214" s="12" t="str">
        <f t="shared" si="31"/>
      </c>
      <c r="L214" s="13" t="str">
        <f>IF(H214="","",IFERROR(INDEX('Tipos BdE'!$B$7:$M$336,MATCH(DATE(YEAR(K214),MONTH(K214),1),'Tipos BdE'!$A$7:$A$336,1),MATCH($D$9,'Tipos BdE'!$B$6:$M$6,0)),0))</f>
      </c>
      <c r="M214" s="13" t="str">
        <f t="shared" si="27"/>
      </c>
      <c r="N214" s="13" t="str">
        <f t="shared" si="28"/>
      </c>
      <c r="O214" s="14" t="str">
        <f t="shared" si="29"/>
      </c>
      <c r="P214" s="14" t="str">
        <f>IF(H214="","",$D$5+SUM($O$5:O214))</f>
      </c>
    </row>
    <row r="215" spans="7:16" x14ac:dyDescent="0.35">
      <c r="G215" s="11" t="str">
        <f t="shared" si="24"/>
      </c>
      <c r="H215" s="12" t="str">
        <f t="shared" si="30"/>
      </c>
      <c r="I215" s="12" t="str">
        <f t="shared" si="25"/>
      </c>
      <c r="J215" s="11" t="str">
        <f t="shared" si="26"/>
      </c>
      <c r="K215" s="12" t="str">
        <f t="shared" si="31"/>
      </c>
      <c r="L215" s="13" t="str">
        <f>IF(H215="","",IFERROR(INDEX('Tipos BdE'!$B$7:$M$336,MATCH(DATE(YEAR(K215),MONTH(K215),1),'Tipos BdE'!$A$7:$A$336,1),MATCH($D$9,'Tipos BdE'!$B$6:$M$6,0)),0))</f>
      </c>
      <c r="M215" s="13" t="str">
        <f t="shared" si="27"/>
      </c>
      <c r="N215" s="13" t="str">
        <f t="shared" si="28"/>
      </c>
      <c r="O215" s="14" t="str">
        <f t="shared" si="29"/>
      </c>
      <c r="P215" s="14" t="str">
        <f>IF(H215="","",$D$5+SUM($O$5:O215))</f>
      </c>
    </row>
    <row r="216" spans="7:16" x14ac:dyDescent="0.35">
      <c r="G216" s="11" t="str">
        <f t="shared" si="24"/>
      </c>
      <c r="H216" s="12" t="str">
        <f t="shared" si="30"/>
      </c>
      <c r="I216" s="12" t="str">
        <f t="shared" si="25"/>
      </c>
      <c r="J216" s="11" t="str">
        <f t="shared" si="26"/>
      </c>
      <c r="K216" s="12" t="str">
        <f t="shared" si="31"/>
      </c>
      <c r="L216" s="13" t="str">
        <f>IF(H216="","",IFERROR(INDEX('Tipos BdE'!$B$7:$M$336,MATCH(DATE(YEAR(K216),MONTH(K216),1),'Tipos BdE'!$A$7:$A$336,1),MATCH($D$9,'Tipos BdE'!$B$6:$M$6,0)),0))</f>
      </c>
      <c r="M216" s="13" t="str">
        <f t="shared" si="27"/>
      </c>
      <c r="N216" s="13" t="str">
        <f t="shared" si="28"/>
      </c>
      <c r="O216" s="14" t="str">
        <f t="shared" si="29"/>
      </c>
      <c r="P216" s="14" t="str">
        <f>IF(H216="","",$D$5+SUM($O$5:O216))</f>
      </c>
    </row>
    <row r="217" spans="7:16" x14ac:dyDescent="0.35">
      <c r="G217" s="11" t="str">
        <f t="shared" si="24"/>
      </c>
      <c r="H217" s="12" t="str">
        <f t="shared" si="30"/>
      </c>
      <c r="I217" s="12" t="str">
        <f t="shared" si="25"/>
      </c>
      <c r="J217" s="11" t="str">
        <f t="shared" si="26"/>
      </c>
      <c r="K217" s="12" t="str">
        <f t="shared" si="31"/>
      </c>
      <c r="L217" s="13" t="str">
        <f>IF(H217="","",IFERROR(INDEX('Tipos BdE'!$B$7:$M$336,MATCH(DATE(YEAR(K217),MONTH(K217),1),'Tipos BdE'!$A$7:$A$336,1),MATCH($D$9,'Tipos BdE'!$B$6:$M$6,0)),0))</f>
      </c>
      <c r="M217" s="13" t="str">
        <f t="shared" si="27"/>
      </c>
      <c r="N217" s="13" t="str">
        <f t="shared" si="28"/>
      </c>
      <c r="O217" s="14" t="str">
        <f t="shared" si="29"/>
      </c>
      <c r="P217" s="14" t="str">
        <f>IF(H217="","",$D$5+SUM($O$5:O217))</f>
      </c>
    </row>
    <row r="218" spans="7:16" x14ac:dyDescent="0.35">
      <c r="G218" s="11" t="str">
        <f t="shared" si="24"/>
      </c>
      <c r="H218" s="12" t="str">
        <f t="shared" si="30"/>
      </c>
      <c r="I218" s="12" t="str">
        <f t="shared" si="25"/>
      </c>
      <c r="J218" s="11" t="str">
        <f t="shared" si="26"/>
      </c>
      <c r="K218" s="12" t="str">
        <f t="shared" si="31"/>
      </c>
      <c r="L218" s="13" t="str">
        <f>IF(H218="","",IFERROR(INDEX('Tipos BdE'!$B$7:$M$336,MATCH(DATE(YEAR(K218),MONTH(K218),1),'Tipos BdE'!$A$7:$A$336,1),MATCH($D$9,'Tipos BdE'!$B$6:$M$6,0)),0))</f>
      </c>
      <c r="M218" s="13" t="str">
        <f t="shared" si="27"/>
      </c>
      <c r="N218" s="13" t="str">
        <f t="shared" si="28"/>
      </c>
      <c r="O218" s="14" t="str">
        <f t="shared" si="29"/>
      </c>
      <c r="P218" s="14" t="str">
        <f>IF(H218="","",$D$5+SUM($O$5:O218))</f>
      </c>
    </row>
    <row r="219" spans="7:16" x14ac:dyDescent="0.35">
      <c r="G219" s="11" t="str">
        <f t="shared" si="24"/>
      </c>
      <c r="H219" s="12" t="str">
        <f t="shared" si="30"/>
      </c>
      <c r="I219" s="12" t="str">
        <f t="shared" si="25"/>
      </c>
      <c r="J219" s="11" t="str">
        <f t="shared" si="26"/>
      </c>
      <c r="K219" s="12" t="str">
        <f t="shared" si="31"/>
      </c>
      <c r="L219" s="13" t="str">
        <f>IF(H219="","",IFERROR(INDEX('Tipos BdE'!$B$7:$M$336,MATCH(DATE(YEAR(K219),MONTH(K219),1),'Tipos BdE'!$A$7:$A$336,1),MATCH($D$9,'Tipos BdE'!$B$6:$M$6,0)),0))</f>
      </c>
      <c r="M219" s="13" t="str">
        <f t="shared" si="27"/>
      </c>
      <c r="N219" s="13" t="str">
        <f t="shared" si="28"/>
      </c>
      <c r="O219" s="14" t="str">
        <f t="shared" si="29"/>
      </c>
      <c r="P219" s="14" t="str">
        <f>IF(H219="","",$D$5+SUM($O$5:O219))</f>
      </c>
    </row>
    <row r="220" spans="7:16" x14ac:dyDescent="0.35">
      <c r="G220" s="11" t="str">
        <f t="shared" si="24"/>
      </c>
      <c r="H220" s="12" t="str">
        <f t="shared" si="30"/>
      </c>
      <c r="I220" s="12" t="str">
        <f t="shared" si="25"/>
      </c>
      <c r="J220" s="11" t="str">
        <f t="shared" si="26"/>
      </c>
      <c r="K220" s="12" t="str">
        <f t="shared" si="31"/>
      </c>
      <c r="L220" s="13" t="str">
        <f>IF(H220="","",IFERROR(INDEX('Tipos BdE'!$B$7:$M$336,MATCH(DATE(YEAR(K220),MONTH(K220),1),'Tipos BdE'!$A$7:$A$336,1),MATCH($D$9,'Tipos BdE'!$B$6:$M$6,0)),0))</f>
      </c>
      <c r="M220" s="13" t="str">
        <f t="shared" si="27"/>
      </c>
      <c r="N220" s="13" t="str">
        <f t="shared" si="28"/>
      </c>
      <c r="O220" s="14" t="str">
        <f t="shared" si="29"/>
      </c>
      <c r="P220" s="14" t="str">
        <f>IF(H220="","",$D$5+SUM($O$5:O220))</f>
      </c>
    </row>
    <row r="221" spans="7:16" x14ac:dyDescent="0.35">
      <c r="G221" s="11" t="str">
        <f t="shared" si="24"/>
      </c>
      <c r="H221" s="12" t="str">
        <f t="shared" si="30"/>
      </c>
      <c r="I221" s="12" t="str">
        <f t="shared" si="25"/>
      </c>
      <c r="J221" s="11" t="str">
        <f t="shared" si="26"/>
      </c>
      <c r="K221" s="12" t="str">
        <f t="shared" si="31"/>
      </c>
      <c r="L221" s="13" t="str">
        <f>IF(H221="","",IFERROR(INDEX('Tipos BdE'!$B$7:$M$336,MATCH(DATE(YEAR(K221),MONTH(K221),1),'Tipos BdE'!$A$7:$A$336,1),MATCH($D$9,'Tipos BdE'!$B$6:$M$6,0)),0))</f>
      </c>
      <c r="M221" s="13" t="str">
        <f t="shared" si="27"/>
      </c>
      <c r="N221" s="13" t="str">
        <f t="shared" si="28"/>
      </c>
      <c r="O221" s="14" t="str">
        <f t="shared" si="29"/>
      </c>
      <c r="P221" s="14" t="str">
        <f>IF(H221="","",$D$5+SUM($O$5:O221))</f>
      </c>
    </row>
    <row r="222" spans="7:16" x14ac:dyDescent="0.35">
      <c r="G222" s="11" t="str">
        <f t="shared" si="24"/>
      </c>
      <c r="H222" s="12" t="str">
        <f t="shared" si="30"/>
      </c>
      <c r="I222" s="12" t="str">
        <f t="shared" si="25"/>
      </c>
      <c r="J222" s="11" t="str">
        <f t="shared" si="26"/>
      </c>
      <c r="K222" s="12" t="str">
        <f t="shared" si="31"/>
      </c>
      <c r="L222" s="13" t="str">
        <f>IF(H222="","",IFERROR(INDEX('Tipos BdE'!$B$7:$M$336,MATCH(DATE(YEAR(K222),MONTH(K222),1),'Tipos BdE'!$A$7:$A$336,1),MATCH($D$9,'Tipos BdE'!$B$6:$M$6,0)),0))</f>
      </c>
      <c r="M222" s="13" t="str">
        <f t="shared" si="27"/>
      </c>
      <c r="N222" s="13" t="str">
        <f t="shared" si="28"/>
      </c>
      <c r="O222" s="14" t="str">
        <f t="shared" si="29"/>
      </c>
      <c r="P222" s="14" t="str">
        <f>IF(H222="","",$D$5+SUM($O$5:O222))</f>
      </c>
    </row>
    <row r="223" spans="7:16" x14ac:dyDescent="0.35">
      <c r="G223" s="11" t="str">
        <f t="shared" si="24"/>
      </c>
      <c r="H223" s="12" t="str">
        <f t="shared" si="30"/>
      </c>
      <c r="I223" s="12" t="str">
        <f t="shared" si="25"/>
      </c>
      <c r="J223" s="11" t="str">
        <f t="shared" si="26"/>
      </c>
      <c r="K223" s="12" t="str">
        <f t="shared" si="31"/>
      </c>
      <c r="L223" s="13" t="str">
        <f>IF(H223="","",IFERROR(INDEX('Tipos BdE'!$B$7:$M$336,MATCH(DATE(YEAR(K223),MONTH(K223),1),'Tipos BdE'!$A$7:$A$336,1),MATCH($D$9,'Tipos BdE'!$B$6:$M$6,0)),0))</f>
      </c>
      <c r="M223" s="13" t="str">
        <f t="shared" si="27"/>
      </c>
      <c r="N223" s="13" t="str">
        <f t="shared" si="28"/>
      </c>
      <c r="O223" s="14" t="str">
        <f t="shared" si="29"/>
      </c>
      <c r="P223" s="14" t="str">
        <f>IF(H223="","",$D$5+SUM($O$5:O223))</f>
      </c>
    </row>
    <row r="224" spans="7:16" x14ac:dyDescent="0.35">
      <c r="G224" s="11" t="str">
        <f t="shared" si="24"/>
      </c>
      <c r="H224" s="12" t="str">
        <f t="shared" si="30"/>
      </c>
      <c r="I224" s="12" t="str">
        <f t="shared" si="25"/>
      </c>
      <c r="J224" s="11" t="str">
        <f t="shared" si="26"/>
      </c>
      <c r="K224" s="12" t="str">
        <f t="shared" si="31"/>
      </c>
      <c r="L224" s="13" t="str">
        <f>IF(H224="","",IFERROR(INDEX('Tipos BdE'!$B$7:$M$336,MATCH(DATE(YEAR(K224),MONTH(K224),1),'Tipos BdE'!$A$7:$A$336,1),MATCH($D$9,'Tipos BdE'!$B$6:$M$6,0)),0))</f>
      </c>
      <c r="M224" s="13" t="str">
        <f t="shared" si="27"/>
      </c>
      <c r="N224" s="13" t="str">
        <f t="shared" si="28"/>
      </c>
      <c r="O224" s="14" t="str">
        <f t="shared" si="29"/>
      </c>
      <c r="P224" s="14" t="str">
        <f>IF(H224="","",$D$5+SUM($O$5:O224))</f>
      </c>
    </row>
    <row r="225" spans="7:16" x14ac:dyDescent="0.35">
      <c r="G225" s="11" t="str">
        <f t="shared" si="24"/>
      </c>
      <c r="H225" s="12" t="str">
        <f t="shared" si="30"/>
      </c>
      <c r="I225" s="12" t="str">
        <f t="shared" si="25"/>
      </c>
      <c r="J225" s="11" t="str">
        <f t="shared" si="26"/>
      </c>
      <c r="K225" s="12" t="str">
        <f t="shared" si="31"/>
      </c>
      <c r="L225" s="13" t="str">
        <f>IF(H225="","",IFERROR(INDEX('Tipos BdE'!$B$7:$M$336,MATCH(DATE(YEAR(K225),MONTH(K225),1),'Tipos BdE'!$A$7:$A$336,1),MATCH($D$9,'Tipos BdE'!$B$6:$M$6,0)),0))</f>
      </c>
      <c r="M225" s="13" t="str">
        <f t="shared" si="27"/>
      </c>
      <c r="N225" s="13" t="str">
        <f t="shared" si="28"/>
      </c>
      <c r="O225" s="14" t="str">
        <f t="shared" si="29"/>
      </c>
      <c r="P225" s="14" t="str">
        <f>IF(H225="","",$D$5+SUM($O$5:O225))</f>
      </c>
    </row>
    <row r="226" spans="7:16" x14ac:dyDescent="0.35">
      <c r="G226" s="11" t="str">
        <f t="shared" si="24"/>
      </c>
      <c r="H226" s="12" t="str">
        <f t="shared" si="30"/>
      </c>
      <c r="I226" s="12" t="str">
        <f t="shared" si="25"/>
      </c>
      <c r="J226" s="11" t="str">
        <f t="shared" si="26"/>
      </c>
      <c r="K226" s="12" t="str">
        <f t="shared" si="31"/>
      </c>
      <c r="L226" s="13" t="str">
        <f>IF(H226="","",IFERROR(INDEX('Tipos BdE'!$B$7:$M$336,MATCH(DATE(YEAR(K226),MONTH(K226),1),'Tipos BdE'!$A$7:$A$336,1),MATCH($D$9,'Tipos BdE'!$B$6:$M$6,0)),0))</f>
      </c>
      <c r="M226" s="13" t="str">
        <f t="shared" si="27"/>
      </c>
      <c r="N226" s="13" t="str">
        <f t="shared" si="28"/>
      </c>
      <c r="O226" s="14" t="str">
        <f t="shared" si="29"/>
      </c>
      <c r="P226" s="14" t="str">
        <f>IF(H226="","",$D$5+SUM($O$5:O226))</f>
      </c>
    </row>
    <row r="227" spans="7:16" x14ac:dyDescent="0.35">
      <c r="G227" s="11" t="str">
        <f t="shared" si="24"/>
      </c>
      <c r="H227" s="12" t="str">
        <f t="shared" si="30"/>
      </c>
      <c r="I227" s="12" t="str">
        <f t="shared" si="25"/>
      </c>
      <c r="J227" s="11" t="str">
        <f t="shared" si="26"/>
      </c>
      <c r="K227" s="12" t="str">
        <f t="shared" si="31"/>
      </c>
      <c r="L227" s="13" t="str">
        <f>IF(H227="","",IFERROR(INDEX('Tipos BdE'!$B$7:$M$336,MATCH(DATE(YEAR(K227),MONTH(K227),1),'Tipos BdE'!$A$7:$A$336,1),MATCH($D$9,'Tipos BdE'!$B$6:$M$6,0)),0))</f>
      </c>
      <c r="M227" s="13" t="str">
        <f t="shared" si="27"/>
      </c>
      <c r="N227" s="13" t="str">
        <f t="shared" si="28"/>
      </c>
      <c r="O227" s="14" t="str">
        <f t="shared" si="29"/>
      </c>
      <c r="P227" s="14" t="str">
        <f>IF(H227="","",$D$5+SUM($O$5:O227))</f>
      </c>
    </row>
    <row r="228" spans="7:16" x14ac:dyDescent="0.35">
      <c r="G228" s="11" t="str">
        <f t="shared" si="24"/>
      </c>
      <c r="H228" s="12" t="str">
        <f t="shared" si="30"/>
      </c>
      <c r="I228" s="12" t="str">
        <f t="shared" si="25"/>
      </c>
      <c r="J228" s="11" t="str">
        <f t="shared" si="26"/>
      </c>
      <c r="K228" s="12" t="str">
        <f t="shared" si="31"/>
      </c>
      <c r="L228" s="13" t="str">
        <f>IF(H228="","",IFERROR(INDEX('Tipos BdE'!$B$7:$M$336,MATCH(DATE(YEAR(K228),MONTH(K228),1),'Tipos BdE'!$A$7:$A$336,1),MATCH($D$9,'Tipos BdE'!$B$6:$M$6,0)),0))</f>
      </c>
      <c r="M228" s="13" t="str">
        <f t="shared" si="27"/>
      </c>
      <c r="N228" s="13" t="str">
        <f t="shared" si="28"/>
      </c>
      <c r="O228" s="14" t="str">
        <f t="shared" si="29"/>
      </c>
      <c r="P228" s="14" t="str">
        <f>IF(H228="","",$D$5+SUM($O$5:O228))</f>
      </c>
    </row>
    <row r="229" spans="7:16" x14ac:dyDescent="0.35">
      <c r="G229" s="11" t="str">
        <f t="shared" si="24"/>
      </c>
      <c r="H229" s="12" t="str">
        <f t="shared" si="30"/>
      </c>
      <c r="I229" s="12" t="str">
        <f t="shared" si="25"/>
      </c>
      <c r="J229" s="11" t="str">
        <f t="shared" si="26"/>
      </c>
      <c r="K229" s="12" t="str">
        <f t="shared" si="31"/>
      </c>
      <c r="L229" s="13" t="str">
        <f>IF(H229="","",IFERROR(INDEX('Tipos BdE'!$B$7:$M$336,MATCH(DATE(YEAR(K229),MONTH(K229),1),'Tipos BdE'!$A$7:$A$336,1),MATCH($D$9,'Tipos BdE'!$B$6:$M$6,0)),0))</f>
      </c>
      <c r="M229" s="13" t="str">
        <f t="shared" si="27"/>
      </c>
      <c r="N229" s="13" t="str">
        <f t="shared" si="28"/>
      </c>
      <c r="O229" s="14" t="str">
        <f t="shared" si="29"/>
      </c>
      <c r="P229" s="14" t="str">
        <f>IF(H229="","",$D$5+SUM($O$5:O229))</f>
      </c>
    </row>
    <row r="230" spans="7:16" x14ac:dyDescent="0.35">
      <c r="G230" s="11" t="str">
        <f t="shared" si="24"/>
      </c>
      <c r="H230" s="12" t="str">
        <f t="shared" si="30"/>
      </c>
      <c r="I230" s="12" t="str">
        <f t="shared" si="25"/>
      </c>
      <c r="J230" s="11" t="str">
        <f t="shared" si="26"/>
      </c>
      <c r="K230" s="12" t="str">
        <f t="shared" si="31"/>
      </c>
      <c r="L230" s="13" t="str">
        <f>IF(H230="","",IFERROR(INDEX('Tipos BdE'!$B$7:$M$336,MATCH(DATE(YEAR(K230),MONTH(K230),1),'Tipos BdE'!$A$7:$A$336,1),MATCH($D$9,'Tipos BdE'!$B$6:$M$6,0)),0))</f>
      </c>
      <c r="M230" s="13" t="str">
        <f t="shared" si="27"/>
      </c>
      <c r="N230" s="13" t="str">
        <f t="shared" si="28"/>
      </c>
      <c r="O230" s="14" t="str">
        <f t="shared" si="29"/>
      </c>
      <c r="P230" s="14" t="str">
        <f>IF(H230="","",$D$5+SUM($O$5:O230))</f>
      </c>
    </row>
    <row r="231" spans="7:16" x14ac:dyDescent="0.35">
      <c r="G231" s="11" t="str">
        <f t="shared" si="24"/>
      </c>
      <c r="H231" s="12" t="str">
        <f t="shared" si="30"/>
      </c>
      <c r="I231" s="12" t="str">
        <f t="shared" si="25"/>
      </c>
      <c r="J231" s="11" t="str">
        <f t="shared" si="26"/>
      </c>
      <c r="K231" s="12" t="str">
        <f t="shared" si="31"/>
      </c>
      <c r="L231" s="13" t="str">
        <f>IF(H231="","",IFERROR(INDEX('Tipos BdE'!$B$7:$M$336,MATCH(DATE(YEAR(K231),MONTH(K231),1),'Tipos BdE'!$A$7:$A$336,1),MATCH($D$9,'Tipos BdE'!$B$6:$M$6,0)),0))</f>
      </c>
      <c r="M231" s="13" t="str">
        <f t="shared" si="27"/>
      </c>
      <c r="N231" s="13" t="str">
        <f t="shared" si="28"/>
      </c>
      <c r="O231" s="14" t="str">
        <f t="shared" si="29"/>
      </c>
      <c r="P231" s="14" t="str">
        <f>IF(H231="","",$D$5+SUM($O$5:O231))</f>
      </c>
    </row>
    <row r="232" spans="7:16" x14ac:dyDescent="0.35">
      <c r="G232" s="11" t="str">
        <f t="shared" si="24"/>
      </c>
      <c r="H232" s="12" t="str">
        <f t="shared" si="30"/>
      </c>
      <c r="I232" s="12" t="str">
        <f t="shared" si="25"/>
      </c>
      <c r="J232" s="11" t="str">
        <f t="shared" si="26"/>
      </c>
      <c r="K232" s="12" t="str">
        <f t="shared" si="31"/>
      </c>
      <c r="L232" s="13" t="str">
        <f>IF(H232="","",IFERROR(INDEX('Tipos BdE'!$B$7:$M$336,MATCH(DATE(YEAR(K232),MONTH(K232),1),'Tipos BdE'!$A$7:$A$336,1),MATCH($D$9,'Tipos BdE'!$B$6:$M$6,0)),0))</f>
      </c>
      <c r="M232" s="13" t="str">
        <f t="shared" si="27"/>
      </c>
      <c r="N232" s="13" t="str">
        <f t="shared" si="28"/>
      </c>
      <c r="O232" s="14" t="str">
        <f t="shared" si="29"/>
      </c>
      <c r="P232" s="14" t="str">
        <f>IF(H232="","",$D$5+SUM($O$5:O232))</f>
      </c>
    </row>
    <row r="233" spans="7:16" x14ac:dyDescent="0.35">
      <c r="G233" s="11" t="str">
        <f t="shared" si="24"/>
      </c>
      <c r="H233" s="12" t="str">
        <f t="shared" si="30"/>
      </c>
      <c r="I233" s="12" t="str">
        <f t="shared" si="25"/>
      </c>
      <c r="J233" s="11" t="str">
        <f t="shared" si="26"/>
      </c>
      <c r="K233" s="12" t="str">
        <f t="shared" si="31"/>
      </c>
      <c r="L233" s="13" t="str">
        <f>IF(H233="","",IFERROR(INDEX('Tipos BdE'!$B$7:$M$336,MATCH(DATE(YEAR(K233),MONTH(K233),1),'Tipos BdE'!$A$7:$A$336,1),MATCH($D$9,'Tipos BdE'!$B$6:$M$6,0)),0))</f>
      </c>
      <c r="M233" s="13" t="str">
        <f t="shared" si="27"/>
      </c>
      <c r="N233" s="13" t="str">
        <f t="shared" si="28"/>
      </c>
      <c r="O233" s="14" t="str">
        <f t="shared" si="29"/>
      </c>
      <c r="P233" s="14" t="str">
        <f>IF(H233="","",$D$5+SUM($O$5:O233))</f>
      </c>
    </row>
    <row r="234" spans="7:16" x14ac:dyDescent="0.35">
      <c r="G234" s="11" t="str">
        <f t="shared" si="24"/>
      </c>
      <c r="H234" s="12" t="str">
        <f t="shared" si="30"/>
      </c>
      <c r="I234" s="12" t="str">
        <f t="shared" si="25"/>
      </c>
      <c r="J234" s="11" t="str">
        <f t="shared" si="26"/>
      </c>
      <c r="K234" s="12" t="str">
        <f t="shared" si="31"/>
      </c>
      <c r="L234" s="13" t="str">
        <f>IF(H234="","",IFERROR(INDEX('Tipos BdE'!$B$7:$M$336,MATCH(DATE(YEAR(K234),MONTH(K234),1),'Tipos BdE'!$A$7:$A$336,1),MATCH($D$9,'Tipos BdE'!$B$6:$M$6,0)),0))</f>
      </c>
      <c r="M234" s="13" t="str">
        <f t="shared" si="27"/>
      </c>
      <c r="N234" s="13" t="str">
        <f t="shared" si="28"/>
      </c>
      <c r="O234" s="14" t="str">
        <f t="shared" si="29"/>
      </c>
      <c r="P234" s="14" t="str">
        <f>IF(H234="","",$D$5+SUM($O$5:O234))</f>
      </c>
    </row>
    <row r="235" spans="7:16" x14ac:dyDescent="0.35">
      <c r="G235" s="11" t="str">
        <f t="shared" si="24"/>
      </c>
      <c r="H235" s="12" t="str">
        <f t="shared" si="30"/>
      </c>
      <c r="I235" s="12" t="str">
        <f t="shared" si="25"/>
      </c>
      <c r="J235" s="11" t="str">
        <f t="shared" si="26"/>
      </c>
      <c r="K235" s="12" t="str">
        <f t="shared" si="31"/>
      </c>
      <c r="L235" s="13" t="str">
        <f>IF(H235="","",IFERROR(INDEX('Tipos BdE'!$B$7:$M$336,MATCH(DATE(YEAR(K235),MONTH(K235),1),'Tipos BdE'!$A$7:$A$336,1),MATCH($D$9,'Tipos BdE'!$B$6:$M$6,0)),0))</f>
      </c>
      <c r="M235" s="13" t="str">
        <f t="shared" si="27"/>
      </c>
      <c r="N235" s="13" t="str">
        <f t="shared" si="28"/>
      </c>
      <c r="O235" s="14" t="str">
        <f t="shared" si="29"/>
      </c>
      <c r="P235" s="14" t="str">
        <f>IF(H235="","",$D$5+SUM($O$5:O235))</f>
      </c>
    </row>
    <row r="236" spans="7:16" x14ac:dyDescent="0.35">
      <c r="G236" s="11" t="str">
        <f t="shared" si="24"/>
      </c>
      <c r="H236" s="12" t="str">
        <f t="shared" si="30"/>
      </c>
      <c r="I236" s="12" t="str">
        <f t="shared" si="25"/>
      </c>
      <c r="J236" s="11" t="str">
        <f t="shared" si="26"/>
      </c>
      <c r="K236" s="12" t="str">
        <f t="shared" si="31"/>
      </c>
      <c r="L236" s="13" t="str">
        <f>IF(H236="","",IFERROR(INDEX('Tipos BdE'!$B$7:$M$336,MATCH(DATE(YEAR(K236),MONTH(K236),1),'Tipos BdE'!$A$7:$A$336,1),MATCH($D$9,'Tipos BdE'!$B$6:$M$6,0)),0))</f>
      </c>
      <c r="M236" s="13" t="str">
        <f t="shared" si="27"/>
      </c>
      <c r="N236" s="13" t="str">
        <f t="shared" si="28"/>
      </c>
      <c r="O236" s="14" t="str">
        <f t="shared" si="29"/>
      </c>
      <c r="P236" s="14" t="str">
        <f>IF(H236="","",$D$5+SUM($O$5:O236))</f>
      </c>
    </row>
    <row r="237" spans="7:16" x14ac:dyDescent="0.35">
      <c r="G237" s="11" t="str">
        <f t="shared" si="24"/>
      </c>
      <c r="H237" s="12" t="str">
        <f t="shared" si="30"/>
      </c>
      <c r="I237" s="12" t="str">
        <f t="shared" si="25"/>
      </c>
      <c r="J237" s="11" t="str">
        <f t="shared" si="26"/>
      </c>
      <c r="K237" s="12" t="str">
        <f t="shared" si="31"/>
      </c>
      <c r="L237" s="13" t="str">
        <f>IF(H237="","",IFERROR(INDEX('Tipos BdE'!$B$7:$M$336,MATCH(DATE(YEAR(K237),MONTH(K237),1),'Tipos BdE'!$A$7:$A$336,1),MATCH($D$9,'Tipos BdE'!$B$6:$M$6,0)),0))</f>
      </c>
      <c r="M237" s="13" t="str">
        <f t="shared" si="27"/>
      </c>
      <c r="N237" s="13" t="str">
        <f t="shared" si="28"/>
      </c>
      <c r="O237" s="14" t="str">
        <f t="shared" si="29"/>
      </c>
      <c r="P237" s="14" t="str">
        <f>IF(H237="","",$D$5+SUM($O$5:O237))</f>
      </c>
    </row>
    <row r="238" spans="7:16" x14ac:dyDescent="0.35">
      <c r="G238" s="11" t="str">
        <f t="shared" si="24"/>
      </c>
      <c r="H238" s="12" t="str">
        <f t="shared" si="30"/>
      </c>
      <c r="I238" s="12" t="str">
        <f t="shared" si="25"/>
      </c>
      <c r="J238" s="11" t="str">
        <f t="shared" si="26"/>
      </c>
      <c r="K238" s="12" t="str">
        <f t="shared" si="31"/>
      </c>
      <c r="L238" s="13" t="str">
        <f>IF(H238="","",IFERROR(INDEX('Tipos BdE'!$B$7:$M$336,MATCH(DATE(YEAR(K238),MONTH(K238),1),'Tipos BdE'!$A$7:$A$336,1),MATCH($D$9,'Tipos BdE'!$B$6:$M$6,0)),0))</f>
      </c>
      <c r="M238" s="13" t="str">
        <f t="shared" si="27"/>
      </c>
      <c r="N238" s="13" t="str">
        <f t="shared" si="28"/>
      </c>
      <c r="O238" s="14" t="str">
        <f t="shared" si="29"/>
      </c>
      <c r="P238" s="14" t="str">
        <f>IF(H238="","",$D$5+SUM($O$5:O238))</f>
      </c>
    </row>
    <row r="239" spans="7:16" x14ac:dyDescent="0.35">
      <c r="G239" s="11" t="str">
        <f t="shared" si="24"/>
      </c>
      <c r="H239" s="12" t="str">
        <f t="shared" si="30"/>
      </c>
      <c r="I239" s="12" t="str">
        <f t="shared" si="25"/>
      </c>
      <c r="J239" s="11" t="str">
        <f t="shared" si="26"/>
      </c>
      <c r="K239" s="12" t="str">
        <f t="shared" si="31"/>
      </c>
      <c r="L239" s="13" t="str">
        <f>IF(H239="","",IFERROR(INDEX('Tipos BdE'!$B$7:$M$336,MATCH(DATE(YEAR(K239),MONTH(K239),1),'Tipos BdE'!$A$7:$A$336,1),MATCH($D$9,'Tipos BdE'!$B$6:$M$6,0)),0))</f>
      </c>
      <c r="M239" s="13" t="str">
        <f t="shared" si="27"/>
      </c>
      <c r="N239" s="13" t="str">
        <f t="shared" si="28"/>
      </c>
      <c r="O239" s="14" t="str">
        <f t="shared" si="29"/>
      </c>
      <c r="P239" s="14" t="str">
        <f>IF(H239="","",$D$5+SUM($O$5:O239))</f>
      </c>
    </row>
    <row r="240" spans="7:16" x14ac:dyDescent="0.35">
      <c r="G240" s="11" t="str">
        <f t="shared" si="24"/>
      </c>
      <c r="H240" s="12" t="str">
        <f t="shared" si="30"/>
      </c>
      <c r="I240" s="12" t="str">
        <f t="shared" si="25"/>
      </c>
      <c r="J240" s="11" t="str">
        <f t="shared" si="26"/>
      </c>
      <c r="K240" s="12" t="str">
        <f t="shared" si="31"/>
      </c>
      <c r="L240" s="13" t="str">
        <f>IF(H240="","",IFERROR(INDEX('Tipos BdE'!$B$7:$M$336,MATCH(DATE(YEAR(K240),MONTH(K240),1),'Tipos BdE'!$A$7:$A$336,1),MATCH($D$9,'Tipos BdE'!$B$6:$M$6,0)),0))</f>
      </c>
      <c r="M240" s="13" t="str">
        <f t="shared" si="27"/>
      </c>
      <c r="N240" s="13" t="str">
        <f t="shared" si="28"/>
      </c>
      <c r="O240" s="14" t="str">
        <f t="shared" si="29"/>
      </c>
      <c r="P240" s="14" t="str">
        <f>IF(H240="","",$D$5+SUM($O$5:O240))</f>
      </c>
    </row>
    <row r="241" spans="7:16" x14ac:dyDescent="0.35">
      <c r="G241" s="11" t="str">
        <f t="shared" si="24"/>
      </c>
      <c r="H241" s="12" t="str">
        <f t="shared" si="30"/>
      </c>
      <c r="I241" s="12" t="str">
        <f t="shared" si="25"/>
      </c>
      <c r="J241" s="11" t="str">
        <f t="shared" si="26"/>
      </c>
      <c r="K241" s="12" t="str">
        <f t="shared" si="31"/>
      </c>
      <c r="L241" s="13" t="str">
        <f>IF(H241="","",IFERROR(INDEX('Tipos BdE'!$B$7:$M$336,MATCH(DATE(YEAR(K241),MONTH(K241),1),'Tipos BdE'!$A$7:$A$336,1),MATCH($D$9,'Tipos BdE'!$B$6:$M$6,0)),0))</f>
      </c>
      <c r="M241" s="13" t="str">
        <f t="shared" si="27"/>
      </c>
      <c r="N241" s="13" t="str">
        <f t="shared" si="28"/>
      </c>
      <c r="O241" s="14" t="str">
        <f t="shared" si="29"/>
      </c>
      <c r="P241" s="14" t="str">
        <f>IF(H241="","",$D$5+SUM($O$5:O241))</f>
      </c>
    </row>
    <row r="242" spans="7:16" x14ac:dyDescent="0.35">
      <c r="G242" s="11" t="str">
        <f t="shared" si="24"/>
      </c>
      <c r="H242" s="12" t="str">
        <f t="shared" si="30"/>
      </c>
      <c r="I242" s="12" t="str">
        <f t="shared" si="25"/>
      </c>
      <c r="J242" s="11" t="str">
        <f t="shared" si="26"/>
      </c>
      <c r="K242" s="12" t="str">
        <f t="shared" si="31"/>
      </c>
      <c r="L242" s="13" t="str">
        <f>IF(H242="","",IFERROR(INDEX('Tipos BdE'!$B$7:$M$336,MATCH(DATE(YEAR(K242),MONTH(K242),1),'Tipos BdE'!$A$7:$A$336,1),MATCH($D$9,'Tipos BdE'!$B$6:$M$6,0)),0))</f>
      </c>
      <c r="M242" s="13" t="str">
        <f t="shared" si="27"/>
      </c>
      <c r="N242" s="13" t="str">
        <f t="shared" si="28"/>
      </c>
      <c r="O242" s="14" t="str">
        <f t="shared" si="29"/>
      </c>
      <c r="P242" s="14" t="str">
        <f>IF(H242="","",$D$5+SUM($O$5:O242))</f>
      </c>
    </row>
    <row r="243" spans="7:16" x14ac:dyDescent="0.35">
      <c r="G243" s="11" t="str">
        <f t="shared" si="24"/>
      </c>
      <c r="H243" s="12" t="str">
        <f t="shared" si="30"/>
      </c>
      <c r="I243" s="12" t="str">
        <f t="shared" si="25"/>
      </c>
      <c r="J243" s="11" t="str">
        <f t="shared" si="26"/>
      </c>
      <c r="K243" s="12" t="str">
        <f t="shared" si="31"/>
      </c>
      <c r="L243" s="13" t="str">
        <f>IF(H243="","",IFERROR(INDEX('Tipos BdE'!$B$7:$M$336,MATCH(DATE(YEAR(K243),MONTH(K243),1),'Tipos BdE'!$A$7:$A$336,1),MATCH($D$9,'Tipos BdE'!$B$6:$M$6,0)),0))</f>
      </c>
      <c r="M243" s="13" t="str">
        <f t="shared" si="27"/>
      </c>
      <c r="N243" s="13" t="str">
        <f t="shared" si="28"/>
      </c>
      <c r="O243" s="14" t="str">
        <f t="shared" si="29"/>
      </c>
      <c r="P243" s="14" t="str">
        <f>IF(H243="","",$D$5+SUM($O$5:O243))</f>
      </c>
    </row>
    <row r="244" spans="7:16" x14ac:dyDescent="0.35">
      <c r="G244" s="11" t="str">
        <f t="shared" si="24"/>
      </c>
      <c r="H244" s="12" t="str">
        <f t="shared" si="30"/>
      </c>
      <c r="I244" s="12" t="str">
        <f t="shared" si="25"/>
      </c>
      <c r="J244" s="11" t="str">
        <f t="shared" si="26"/>
      </c>
      <c r="K244" s="12" t="str">
        <f t="shared" si="31"/>
      </c>
      <c r="L244" s="13" t="str">
        <f>IF(H244="","",IFERROR(INDEX('Tipos BdE'!$B$7:$M$336,MATCH(DATE(YEAR(K244),MONTH(K244),1),'Tipos BdE'!$A$7:$A$336,1),MATCH($D$9,'Tipos BdE'!$B$6:$M$6,0)),0))</f>
      </c>
      <c r="M244" s="13" t="str">
        <f t="shared" si="27"/>
      </c>
      <c r="N244" s="13" t="str">
        <f t="shared" si="28"/>
      </c>
      <c r="O244" s="14" t="str">
        <f t="shared" si="29"/>
      </c>
      <c r="P244" s="14" t="str">
        <f>IF(H244="","",$D$5+SUM($O$5:O244))</f>
      </c>
    </row>
    <row r="245" spans="7:16" x14ac:dyDescent="0.35">
      <c r="G245" s="11" t="str">
        <f t="shared" si="24"/>
      </c>
      <c r="H245" s="12" t="str">
        <f t="shared" si="30"/>
      </c>
      <c r="I245" s="12" t="str">
        <f t="shared" si="25"/>
      </c>
      <c r="J245" s="11" t="str">
        <f t="shared" si="26"/>
      </c>
      <c r="K245" s="12" t="str">
        <f t="shared" si="31"/>
      </c>
      <c r="L245" s="13" t="str">
        <f>IF(H245="","",IFERROR(INDEX('Tipos BdE'!$B$7:$M$336,MATCH(DATE(YEAR(K245),MONTH(K245),1),'Tipos BdE'!$A$7:$A$336,1),MATCH($D$9,'Tipos BdE'!$B$6:$M$6,0)),0))</f>
      </c>
      <c r="M245" s="13" t="str">
        <f t="shared" si="27"/>
      </c>
      <c r="N245" s="13" t="str">
        <f t="shared" si="28"/>
      </c>
      <c r="O245" s="14" t="str">
        <f t="shared" si="29"/>
      </c>
      <c r="P245" s="14" t="str">
        <f>IF(H245="","",$D$5+SUM($O$5:O245))</f>
      </c>
    </row>
    <row r="246" spans="7:16" x14ac:dyDescent="0.35">
      <c r="G246" s="11" t="str">
        <f t="shared" si="24"/>
      </c>
      <c r="H246" s="12" t="str">
        <f t="shared" si="30"/>
      </c>
      <c r="I246" s="12" t="str">
        <f t="shared" si="25"/>
      </c>
      <c r="J246" s="11" t="str">
        <f t="shared" si="26"/>
      </c>
      <c r="K246" s="12" t="str">
        <f t="shared" si="31"/>
      </c>
      <c r="L246" s="13" t="str">
        <f>IF(H246="","",IFERROR(INDEX('Tipos BdE'!$B$7:$M$336,MATCH(DATE(YEAR(K246),MONTH(K246),1),'Tipos BdE'!$A$7:$A$336,1),MATCH($D$9,'Tipos BdE'!$B$6:$M$6,0)),0))</f>
      </c>
      <c r="M246" s="13" t="str">
        <f t="shared" si="27"/>
      </c>
      <c r="N246" s="13" t="str">
        <f t="shared" si="28"/>
      </c>
      <c r="O246" s="14" t="str">
        <f t="shared" si="29"/>
      </c>
      <c r="P246" s="14" t="str">
        <f>IF(H246="","",$D$5+SUM($O$5:O246))</f>
      </c>
    </row>
    <row r="247" spans="7:16" x14ac:dyDescent="0.35">
      <c r="G247" s="11" t="str">
        <f t="shared" si="24"/>
      </c>
      <c r="H247" s="12" t="str">
        <f t="shared" si="30"/>
      </c>
      <c r="I247" s="12" t="str">
        <f t="shared" si="25"/>
      </c>
      <c r="J247" s="11" t="str">
        <f t="shared" si="26"/>
      </c>
      <c r="K247" s="12" t="str">
        <f t="shared" si="31"/>
      </c>
      <c r="L247" s="13" t="str">
        <f>IF(H247="","",IFERROR(INDEX('Tipos BdE'!$B$7:$M$336,MATCH(DATE(YEAR(K247),MONTH(K247),1),'Tipos BdE'!$A$7:$A$336,1),MATCH($D$9,'Tipos BdE'!$B$6:$M$6,0)),0))</f>
      </c>
      <c r="M247" s="13" t="str">
        <f t="shared" si="27"/>
      </c>
      <c r="N247" s="13" t="str">
        <f t="shared" si="28"/>
      </c>
      <c r="O247" s="14" t="str">
        <f t="shared" si="29"/>
      </c>
      <c r="P247" s="14" t="str">
        <f>IF(H247="","",$D$5+SUM($O$5:O247))</f>
      </c>
    </row>
    <row r="248" spans="7:16" x14ac:dyDescent="0.35">
      <c r="G248" s="11" t="str">
        <f t="shared" si="24"/>
      </c>
      <c r="H248" s="12" t="str">
        <f t="shared" si="30"/>
      </c>
      <c r="I248" s="12" t="str">
        <f t="shared" si="25"/>
      </c>
      <c r="J248" s="11" t="str">
        <f t="shared" si="26"/>
      </c>
      <c r="K248" s="12" t="str">
        <f t="shared" si="31"/>
      </c>
      <c r="L248" s="13" t="str">
        <f>IF(H248="","",IFERROR(INDEX('Tipos BdE'!$B$7:$M$336,MATCH(DATE(YEAR(K248),MONTH(K248),1),'Tipos BdE'!$A$7:$A$336,1),MATCH($D$9,'Tipos BdE'!$B$6:$M$6,0)),0))</f>
      </c>
      <c r="M248" s="13" t="str">
        <f t="shared" si="27"/>
      </c>
      <c r="N248" s="13" t="str">
        <f t="shared" si="28"/>
      </c>
      <c r="O248" s="14" t="str">
        <f t="shared" si="29"/>
      </c>
      <c r="P248" s="14" t="str">
        <f>IF(H248="","",$D$5+SUM($O$5:O248))</f>
      </c>
    </row>
    <row r="249" spans="7:16" x14ac:dyDescent="0.35">
      <c r="G249" s="11" t="str">
        <f t="shared" si="24"/>
      </c>
      <c r="H249" s="12" t="str">
        <f t="shared" si="30"/>
      </c>
      <c r="I249" s="12" t="str">
        <f t="shared" si="25"/>
      </c>
      <c r="J249" s="11" t="str">
        <f t="shared" si="26"/>
      </c>
      <c r="K249" s="12" t="str">
        <f t="shared" si="31"/>
      </c>
      <c r="L249" s="13" t="str">
        <f>IF(H249="","",IFERROR(INDEX('Tipos BdE'!$B$7:$M$336,MATCH(DATE(YEAR(K249),MONTH(K249),1),'Tipos BdE'!$A$7:$A$336,1),MATCH($D$9,'Tipos BdE'!$B$6:$M$6,0)),0))</f>
      </c>
      <c r="M249" s="13" t="str">
        <f t="shared" si="27"/>
      </c>
      <c r="N249" s="13" t="str">
        <f t="shared" si="28"/>
      </c>
      <c r="O249" s="14" t="str">
        <f t="shared" si="29"/>
      </c>
      <c r="P249" s="14" t="str">
        <f>IF(H249="","",$D$5+SUM($O$5:O249))</f>
      </c>
    </row>
    <row r="250" spans="7:16" x14ac:dyDescent="0.35">
      <c r="G250" s="11" t="str">
        <f t="shared" si="24"/>
      </c>
      <c r="H250" s="12" t="str">
        <f t="shared" si="30"/>
      </c>
      <c r="I250" s="12" t="str">
        <f t="shared" si="25"/>
      </c>
      <c r="J250" s="11" t="str">
        <f t="shared" si="26"/>
      </c>
      <c r="K250" s="12" t="str">
        <f t="shared" si="31"/>
      </c>
      <c r="L250" s="13" t="str">
        <f>IF(H250="","",IFERROR(INDEX('Tipos BdE'!$B$7:$M$336,MATCH(DATE(YEAR(K250),MONTH(K250),1),'Tipos BdE'!$A$7:$A$336,1),MATCH($D$9,'Tipos BdE'!$B$6:$M$6,0)),0))</f>
      </c>
      <c r="M250" s="13" t="str">
        <f t="shared" si="27"/>
      </c>
      <c r="N250" s="13" t="str">
        <f t="shared" si="28"/>
      </c>
      <c r="O250" s="14" t="str">
        <f t="shared" si="29"/>
      </c>
      <c r="P250" s="14" t="str">
        <f>IF(H250="","",$D$5+SUM($O$5:O250))</f>
      </c>
    </row>
    <row r="251" spans="7:16" x14ac:dyDescent="0.35">
      <c r="G251" s="11" t="str">
        <f t="shared" si="24"/>
      </c>
      <c r="H251" s="12" t="str">
        <f t="shared" si="30"/>
      </c>
      <c r="I251" s="12" t="str">
        <f t="shared" si="25"/>
      </c>
      <c r="J251" s="11" t="str">
        <f t="shared" si="26"/>
      </c>
      <c r="K251" s="12" t="str">
        <f t="shared" si="31"/>
      </c>
      <c r="L251" s="13" t="str">
        <f>IF(H251="","",IFERROR(INDEX('Tipos BdE'!$B$7:$M$336,MATCH(DATE(YEAR(K251),MONTH(K251),1),'Tipos BdE'!$A$7:$A$336,1),MATCH($D$9,'Tipos BdE'!$B$6:$M$6,0)),0))</f>
      </c>
      <c r="M251" s="13" t="str">
        <f t="shared" si="27"/>
      </c>
      <c r="N251" s="13" t="str">
        <f t="shared" si="28"/>
      </c>
      <c r="O251" s="14" t="str">
        <f t="shared" si="29"/>
      </c>
      <c r="P251" s="14" t="str">
        <f>IF(H251="","",$D$5+SUM($O$5:O251))</f>
      </c>
    </row>
    <row r="252" spans="7:16" x14ac:dyDescent="0.35">
      <c r="G252" s="11" t="str">
        <f t="shared" si="24"/>
      </c>
      <c r="H252" s="12" t="str">
        <f t="shared" si="30"/>
      </c>
      <c r="I252" s="12" t="str">
        <f t="shared" si="25"/>
      </c>
      <c r="J252" s="11" t="str">
        <f t="shared" si="26"/>
      </c>
      <c r="K252" s="12" t="str">
        <f t="shared" si="31"/>
      </c>
      <c r="L252" s="13" t="str">
        <f>IF(H252="","",IFERROR(INDEX('Tipos BdE'!$B$7:$M$336,MATCH(DATE(YEAR(K252),MONTH(K252),1),'Tipos BdE'!$A$7:$A$336,1),MATCH($D$9,'Tipos BdE'!$B$6:$M$6,0)),0))</f>
      </c>
      <c r="M252" s="13" t="str">
        <f t="shared" si="27"/>
      </c>
      <c r="N252" s="13" t="str">
        <f t="shared" si="28"/>
      </c>
      <c r="O252" s="14" t="str">
        <f t="shared" si="29"/>
      </c>
      <c r="P252" s="14" t="str">
        <f>IF(H252="","",$D$5+SUM($O$5:O252))</f>
      </c>
    </row>
    <row r="253" spans="7:16" x14ac:dyDescent="0.35">
      <c r="G253" s="11" t="str">
        <f t="shared" si="24"/>
      </c>
      <c r="H253" s="12" t="str">
        <f t="shared" si="30"/>
      </c>
      <c r="I253" s="12" t="str">
        <f t="shared" si="25"/>
      </c>
      <c r="J253" s="11" t="str">
        <f t="shared" si="26"/>
      </c>
      <c r="K253" s="12" t="str">
        <f t="shared" si="31"/>
      </c>
      <c r="L253" s="13" t="str">
        <f>IF(H253="","",IFERROR(INDEX('Tipos BdE'!$B$7:$M$336,MATCH(DATE(YEAR(K253),MONTH(K253),1),'Tipos BdE'!$A$7:$A$336,1),MATCH($D$9,'Tipos BdE'!$B$6:$M$6,0)),0))</f>
      </c>
      <c r="M253" s="13" t="str">
        <f t="shared" si="27"/>
      </c>
      <c r="N253" s="13" t="str">
        <f t="shared" si="28"/>
      </c>
      <c r="O253" s="14" t="str">
        <f t="shared" si="29"/>
      </c>
      <c r="P253" s="14" t="str">
        <f>IF(H253="","",$D$5+SUM($O$5:O253))</f>
      </c>
    </row>
    <row r="254" spans="7:16" x14ac:dyDescent="0.35">
      <c r="G254" s="11" t="str">
        <f t="shared" si="24"/>
      </c>
      <c r="H254" s="12" t="str">
        <f t="shared" si="30"/>
      </c>
      <c r="I254" s="12" t="str">
        <f t="shared" si="25"/>
      </c>
      <c r="J254" s="11" t="str">
        <f t="shared" si="26"/>
      </c>
      <c r="K254" s="12" t="str">
        <f t="shared" si="31"/>
      </c>
      <c r="L254" s="13" t="str">
        <f>IF(H254="","",IFERROR(INDEX('Tipos BdE'!$B$7:$M$336,MATCH(DATE(YEAR(K254),MONTH(K254),1),'Tipos BdE'!$A$7:$A$336,1),MATCH($D$9,'Tipos BdE'!$B$6:$M$6,0)),0))</f>
      </c>
      <c r="M254" s="13" t="str">
        <f t="shared" si="27"/>
      </c>
      <c r="N254" s="13" t="str">
        <f t="shared" si="28"/>
      </c>
      <c r="O254" s="14" t="str">
        <f t="shared" si="29"/>
      </c>
      <c r="P254" s="14" t="str">
        <f>IF(H254="","",$D$5+SUM($O$5:O254))</f>
      </c>
    </row>
    <row r="255" spans="7:16" x14ac:dyDescent="0.35">
      <c r="G255" s="11" t="str">
        <f t="shared" si="24"/>
      </c>
      <c r="H255" s="12" t="str">
        <f t="shared" si="30"/>
      </c>
      <c r="I255" s="12" t="str">
        <f t="shared" si="25"/>
      </c>
      <c r="J255" s="11" t="str">
        <f t="shared" si="26"/>
      </c>
      <c r="K255" s="12" t="str">
        <f t="shared" si="31"/>
      </c>
      <c r="L255" s="13" t="str">
        <f>IF(H255="","",IFERROR(INDEX('Tipos BdE'!$B$7:$M$336,MATCH(DATE(YEAR(K255),MONTH(K255),1),'Tipos BdE'!$A$7:$A$336,1),MATCH($D$9,'Tipos BdE'!$B$6:$M$6,0)),0))</f>
      </c>
      <c r="M255" s="13" t="str">
        <f t="shared" si="27"/>
      </c>
      <c r="N255" s="13" t="str">
        <f t="shared" si="28"/>
      </c>
      <c r="O255" s="14" t="str">
        <f t="shared" si="29"/>
      </c>
      <c r="P255" s="14" t="str">
        <f>IF(H255="","",$D$5+SUM($O$5:O255))</f>
      </c>
    </row>
    <row r="256" spans="7:16" x14ac:dyDescent="0.35">
      <c r="G256" s="11" t="str">
        <f t="shared" si="24"/>
      </c>
      <c r="H256" s="12" t="str">
        <f t="shared" si="30"/>
      </c>
      <c r="I256" s="12" t="str">
        <f t="shared" si="25"/>
      </c>
      <c r="J256" s="11" t="str">
        <f t="shared" si="26"/>
      </c>
      <c r="K256" s="12" t="str">
        <f t="shared" si="31"/>
      </c>
      <c r="L256" s="13" t="str">
        <f>IF(H256="","",IFERROR(INDEX('Tipos BdE'!$B$7:$M$336,MATCH(DATE(YEAR(K256),MONTH(K256),1),'Tipos BdE'!$A$7:$A$336,1),MATCH($D$9,'Tipos BdE'!$B$6:$M$6,0)),0))</f>
      </c>
      <c r="M256" s="13" t="str">
        <f t="shared" si="27"/>
      </c>
      <c r="N256" s="13" t="str">
        <f t="shared" si="28"/>
      </c>
      <c r="O256" s="14" t="str">
        <f t="shared" si="29"/>
      </c>
      <c r="P256" s="14" t="str">
        <f>IF(H256="","",$D$5+SUM($O$5:O256))</f>
      </c>
    </row>
    <row r="257" spans="7:16" x14ac:dyDescent="0.35">
      <c r="G257" s="11" t="str">
        <f t="shared" si="24"/>
      </c>
      <c r="H257" s="12" t="str">
        <f t="shared" si="30"/>
      </c>
      <c r="I257" s="12" t="str">
        <f t="shared" si="25"/>
      </c>
      <c r="J257" s="11" t="str">
        <f t="shared" si="26"/>
      </c>
      <c r="K257" s="12" t="str">
        <f t="shared" si="31"/>
      </c>
      <c r="L257" s="13" t="str">
        <f>IF(H257="","",IFERROR(INDEX('Tipos BdE'!$B$7:$M$336,MATCH(DATE(YEAR(K257),MONTH(K257),1),'Tipos BdE'!$A$7:$A$336,1),MATCH($D$9,'Tipos BdE'!$B$6:$M$6,0)),0))</f>
      </c>
      <c r="M257" s="13" t="str">
        <f t="shared" si="27"/>
      </c>
      <c r="N257" s="13" t="str">
        <f t="shared" si="28"/>
      </c>
      <c r="O257" s="14" t="str">
        <f t="shared" si="29"/>
      </c>
      <c r="P257" s="14" t="str">
        <f>IF(H257="","",$D$5+SUM($O$5:O257))</f>
      </c>
    </row>
    <row r="258" spans="7:16" x14ac:dyDescent="0.35">
      <c r="G258" s="11" t="str">
        <f t="shared" si="24"/>
      </c>
      <c r="H258" s="12" t="str">
        <f t="shared" si="30"/>
      </c>
      <c r="I258" s="12" t="str">
        <f t="shared" si="25"/>
      </c>
      <c r="J258" s="11" t="str">
        <f t="shared" si="26"/>
      </c>
      <c r="K258" s="12" t="str">
        <f t="shared" si="31"/>
      </c>
      <c r="L258" s="13" t="str">
        <f>IF(H258="","",IFERROR(INDEX('Tipos BdE'!$B$7:$M$336,MATCH(DATE(YEAR(K258),MONTH(K258),1),'Tipos BdE'!$A$7:$A$336,1),MATCH($D$9,'Tipos BdE'!$B$6:$M$6,0)),0))</f>
      </c>
      <c r="M258" s="13" t="str">
        <f t="shared" si="27"/>
      </c>
      <c r="N258" s="13" t="str">
        <f t="shared" si="28"/>
      </c>
      <c r="O258" s="14" t="str">
        <f t="shared" si="29"/>
      </c>
      <c r="P258" s="14" t="str">
        <f>IF(H258="","",$D$5+SUM($O$5:O258))</f>
      </c>
    </row>
    <row r="259" spans="7:16" x14ac:dyDescent="0.35">
      <c r="G259" s="11" t="str">
        <f t="shared" si="24"/>
      </c>
      <c r="H259" s="12" t="str">
        <f t="shared" si="30"/>
      </c>
      <c r="I259" s="12" t="str">
        <f t="shared" si="25"/>
      </c>
      <c r="J259" s="11" t="str">
        <f t="shared" si="26"/>
      </c>
      <c r="K259" s="12" t="str">
        <f t="shared" si="31"/>
      </c>
      <c r="L259" s="13" t="str">
        <f>IF(H259="","",IFERROR(INDEX('Tipos BdE'!$B$7:$M$336,MATCH(DATE(YEAR(K259),MONTH(K259),1),'Tipos BdE'!$A$7:$A$336,1),MATCH($D$9,'Tipos BdE'!$B$6:$M$6,0)),0))</f>
      </c>
      <c r="M259" s="13" t="str">
        <f t="shared" si="27"/>
      </c>
      <c r="N259" s="13" t="str">
        <f t="shared" si="28"/>
      </c>
      <c r="O259" s="14" t="str">
        <f t="shared" si="29"/>
      </c>
      <c r="P259" s="14" t="str">
        <f>IF(H259="","",$D$5+SUM($O$5:O259))</f>
      </c>
    </row>
    <row r="260" spans="7:16" x14ac:dyDescent="0.35">
      <c r="G260" s="11" t="str">
        <f t="shared" si="24"/>
      </c>
      <c r="H260" s="12" t="str">
        <f t="shared" si="30"/>
      </c>
      <c r="I260" s="12" t="str">
        <f t="shared" si="25"/>
      </c>
      <c r="J260" s="11" t="str">
        <f t="shared" si="26"/>
      </c>
      <c r="K260" s="12" t="str">
        <f t="shared" si="31"/>
      </c>
      <c r="L260" s="13" t="str">
        <f>IF(H260="","",IFERROR(INDEX('Tipos BdE'!$B$7:$M$336,MATCH(DATE(YEAR(K260),MONTH(K260),1),'Tipos BdE'!$A$7:$A$336,1),MATCH($D$9,'Tipos BdE'!$B$6:$M$6,0)),0))</f>
      </c>
      <c r="M260" s="13" t="str">
        <f t="shared" si="27"/>
      </c>
      <c r="N260" s="13" t="str">
        <f t="shared" si="28"/>
      </c>
      <c r="O260" s="14" t="str">
        <f t="shared" si="29"/>
      </c>
      <c r="P260" s="14" t="str">
        <f>IF(H260="","",$D$5+SUM($O$5:O260))</f>
      </c>
    </row>
    <row r="261" spans="7:16" x14ac:dyDescent="0.35">
      <c r="G261" s="11" t="str">
        <f t="shared" ref="G261:G324" si="32">IF(H261="","",ROW()-4)</f>
      </c>
      <c r="H261" s="12" t="str">
        <f t="shared" si="30"/>
      </c>
      <c r="I261" s="12" t="str">
        <f t="shared" ref="I261:I324" si="33">IF(H261="","",MIN(IF($D$18="LEGAL",DATE(YEAR(H261)+1,1,1),EDATE($D$12,$D$11*(INT((((YEAR(H261)-YEAR($D$12))*12+(MONTH(H261)-MONTH($D$12))-IF(DAY(H261)&lt;DAY($D$12),1,0))/$D$11))+1))),$D$7))</f>
      </c>
      <c r="J261" s="11" t="str">
        <f t="shared" ref="J261:J324" si="34">IF(H261="","",I261-H261)</f>
      </c>
      <c r="K261" s="12" t="str">
        <f t="shared" si="31"/>
      </c>
      <c r="L261" s="13" t="str">
        <f>IF(H261="","",IFERROR(INDEX('Tipos BdE'!$B$7:$M$336,MATCH(DATE(YEAR(K261),MONTH(K261),1),'Tipos BdE'!$A$7:$A$336,1),MATCH($D$9,'Tipos BdE'!$B$6:$M$6,0)),0))</f>
      </c>
      <c r="M261" s="13" t="str">
        <f t="shared" ref="M261:M304" si="35">IF(H261="","",IF($D$18="LEGAL",0,$D$10))</f>
      </c>
      <c r="N261" s="13" t="str">
        <f t="shared" ref="N261:N324" si="36">IF(H261="","",IF(AND($D$14="Sí",(L261+M261)&lt;0),0,L261+M261))</f>
      </c>
      <c r="O261" s="14" t="str">
        <f t="shared" ref="O261:O324" si="37">IF(H261="","",$D$5*N261*J261/36500)</f>
      </c>
      <c r="P261" s="14" t="str">
        <f>IF(H261="","",$D$5+SUM($O$5:O261))</f>
      </c>
    </row>
    <row r="262" spans="7:16" x14ac:dyDescent="0.35">
      <c r="G262" s="11" t="str">
        <f t="shared" si="32"/>
      </c>
      <c r="H262" s="12" t="str">
        <f t="shared" ref="H262:H304" si="38">IF(OR(I261="",I261&gt;=$D$7),"",I261)</f>
      </c>
      <c r="I262" s="12" t="str">
        <f t="shared" si="33"/>
      </c>
      <c r="J262" s="11" t="str">
        <f t="shared" si="34"/>
      </c>
      <c r="K262" s="12" t="str">
        <f t="shared" ref="K262:K304" si="39">IF(H262="","",IF($D$18="LEGAL",H262,EDATE(H262,-$D$13)))</f>
      </c>
      <c r="L262" s="13" t="str">
        <f>IF(H262="","",IFERROR(INDEX('Tipos BdE'!$B$7:$M$336,MATCH(DATE(YEAR(K262),MONTH(K262),1),'Tipos BdE'!$A$7:$A$336,1),MATCH($D$9,'Tipos BdE'!$B$6:$M$6,0)),0))</f>
      </c>
      <c r="M262" s="13" t="str">
        <f t="shared" si="35"/>
      </c>
      <c r="N262" s="13" t="str">
        <f t="shared" si="36"/>
      </c>
      <c r="O262" s="14" t="str">
        <f t="shared" si="37"/>
      </c>
      <c r="P262" s="14" t="str">
        <f>IF(H262="","",$D$5+SUM($O$5:O262))</f>
      </c>
    </row>
    <row r="263" spans="7:16" x14ac:dyDescent="0.35">
      <c r="G263" s="11" t="str">
        <f t="shared" si="32"/>
      </c>
      <c r="H263" s="12" t="str">
        <f t="shared" si="38"/>
      </c>
      <c r="I263" s="12" t="str">
        <f t="shared" si="33"/>
      </c>
      <c r="J263" s="11" t="str">
        <f t="shared" si="34"/>
      </c>
      <c r="K263" s="12" t="str">
        <f t="shared" si="39"/>
      </c>
      <c r="L263" s="13" t="str">
        <f>IF(H263="","",IFERROR(INDEX('Tipos BdE'!$B$7:$M$336,MATCH(DATE(YEAR(K263),MONTH(K263),1),'Tipos BdE'!$A$7:$A$336,1),MATCH($D$9,'Tipos BdE'!$B$6:$M$6,0)),0))</f>
      </c>
      <c r="M263" s="13" t="str">
        <f t="shared" si="35"/>
      </c>
      <c r="N263" s="13" t="str">
        <f t="shared" si="36"/>
      </c>
      <c r="O263" s="14" t="str">
        <f t="shared" si="37"/>
      </c>
      <c r="P263" s="14" t="str">
        <f>IF(H263="","",$D$5+SUM($O$5:O263))</f>
      </c>
    </row>
    <row r="264" spans="7:16" x14ac:dyDescent="0.35">
      <c r="G264" s="11" t="str">
        <f t="shared" si="32"/>
      </c>
      <c r="H264" s="12" t="str">
        <f t="shared" si="38"/>
      </c>
      <c r="I264" s="12" t="str">
        <f t="shared" si="33"/>
      </c>
      <c r="J264" s="11" t="str">
        <f t="shared" si="34"/>
      </c>
      <c r="K264" s="12" t="str">
        <f t="shared" si="39"/>
      </c>
      <c r="L264" s="13" t="str">
        <f>IF(H264="","",IFERROR(INDEX('Tipos BdE'!$B$7:$M$336,MATCH(DATE(YEAR(K264),MONTH(K264),1),'Tipos BdE'!$A$7:$A$336,1),MATCH($D$9,'Tipos BdE'!$B$6:$M$6,0)),0))</f>
      </c>
      <c r="M264" s="13" t="str">
        <f t="shared" si="35"/>
      </c>
      <c r="N264" s="13" t="str">
        <f t="shared" si="36"/>
      </c>
      <c r="O264" s="14" t="str">
        <f t="shared" si="37"/>
      </c>
      <c r="P264" s="14" t="str">
        <f>IF(H264="","",$D$5+SUM($O$5:O264))</f>
      </c>
    </row>
    <row r="265" spans="7:16" x14ac:dyDescent="0.35">
      <c r="G265" s="11" t="str">
        <f t="shared" si="32"/>
      </c>
      <c r="H265" s="12" t="str">
        <f t="shared" si="38"/>
      </c>
      <c r="I265" s="12" t="str">
        <f t="shared" si="33"/>
      </c>
      <c r="J265" s="11" t="str">
        <f t="shared" si="34"/>
      </c>
      <c r="K265" s="12" t="str">
        <f t="shared" si="39"/>
      </c>
      <c r="L265" s="13" t="str">
        <f>IF(H265="","",IFERROR(INDEX('Tipos BdE'!$B$7:$M$336,MATCH(DATE(YEAR(K265),MONTH(K265),1),'Tipos BdE'!$A$7:$A$336,1),MATCH($D$9,'Tipos BdE'!$B$6:$M$6,0)),0))</f>
      </c>
      <c r="M265" s="13" t="str">
        <f t="shared" si="35"/>
      </c>
      <c r="N265" s="13" t="str">
        <f t="shared" si="36"/>
      </c>
      <c r="O265" s="14" t="str">
        <f t="shared" si="37"/>
      </c>
      <c r="P265" s="14" t="str">
        <f>IF(H265="","",$D$5+SUM($O$5:O265))</f>
      </c>
    </row>
    <row r="266" spans="7:16" x14ac:dyDescent="0.35">
      <c r="G266" s="11" t="str">
        <f t="shared" si="32"/>
      </c>
      <c r="H266" s="12" t="str">
        <f t="shared" si="38"/>
      </c>
      <c r="I266" s="12" t="str">
        <f t="shared" si="33"/>
      </c>
      <c r="J266" s="11" t="str">
        <f t="shared" si="34"/>
      </c>
      <c r="K266" s="12" t="str">
        <f t="shared" si="39"/>
      </c>
      <c r="L266" s="13" t="str">
        <f>IF(H266="","",IFERROR(INDEX('Tipos BdE'!$B$7:$M$336,MATCH(DATE(YEAR(K266),MONTH(K266),1),'Tipos BdE'!$A$7:$A$336,1),MATCH($D$9,'Tipos BdE'!$B$6:$M$6,0)),0))</f>
      </c>
      <c r="M266" s="13" t="str">
        <f t="shared" si="35"/>
      </c>
      <c r="N266" s="13" t="str">
        <f t="shared" si="36"/>
      </c>
      <c r="O266" s="14" t="str">
        <f t="shared" si="37"/>
      </c>
      <c r="P266" s="14" t="str">
        <f>IF(H266="","",$D$5+SUM($O$5:O266))</f>
      </c>
    </row>
    <row r="267" spans="7:16" x14ac:dyDescent="0.35">
      <c r="G267" s="11" t="str">
        <f t="shared" si="32"/>
      </c>
      <c r="H267" s="12" t="str">
        <f t="shared" si="38"/>
      </c>
      <c r="I267" s="12" t="str">
        <f t="shared" si="33"/>
      </c>
      <c r="J267" s="11" t="str">
        <f t="shared" si="34"/>
      </c>
      <c r="K267" s="12" t="str">
        <f t="shared" si="39"/>
      </c>
      <c r="L267" s="13" t="str">
        <f>IF(H267="","",IFERROR(INDEX('Tipos BdE'!$B$7:$M$336,MATCH(DATE(YEAR(K267),MONTH(K267),1),'Tipos BdE'!$A$7:$A$336,1),MATCH($D$9,'Tipos BdE'!$B$6:$M$6,0)),0))</f>
      </c>
      <c r="M267" s="13" t="str">
        <f t="shared" si="35"/>
      </c>
      <c r="N267" s="13" t="str">
        <f t="shared" si="36"/>
      </c>
      <c r="O267" s="14" t="str">
        <f t="shared" si="37"/>
      </c>
      <c r="P267" s="14" t="str">
        <f>IF(H267="","",$D$5+SUM($O$5:O267))</f>
      </c>
    </row>
    <row r="268" spans="7:16" x14ac:dyDescent="0.35">
      <c r="G268" s="11" t="str">
        <f t="shared" si="32"/>
      </c>
      <c r="H268" s="12" t="str">
        <f t="shared" si="38"/>
      </c>
      <c r="I268" s="12" t="str">
        <f t="shared" si="33"/>
      </c>
      <c r="J268" s="11" t="str">
        <f t="shared" si="34"/>
      </c>
      <c r="K268" s="12" t="str">
        <f t="shared" si="39"/>
      </c>
      <c r="L268" s="13" t="str">
        <f>IF(H268="","",IFERROR(INDEX('Tipos BdE'!$B$7:$M$336,MATCH(DATE(YEAR(K268),MONTH(K268),1),'Tipos BdE'!$A$7:$A$336,1),MATCH($D$9,'Tipos BdE'!$B$6:$M$6,0)),0))</f>
      </c>
      <c r="M268" s="13" t="str">
        <f t="shared" si="35"/>
      </c>
      <c r="N268" s="13" t="str">
        <f t="shared" si="36"/>
      </c>
      <c r="O268" s="14" t="str">
        <f t="shared" si="37"/>
      </c>
      <c r="P268" s="14" t="str">
        <f>IF(H268="","",$D$5+SUM($O$5:O268))</f>
      </c>
    </row>
    <row r="269" spans="7:16" x14ac:dyDescent="0.35">
      <c r="G269" s="11" t="str">
        <f t="shared" si="32"/>
      </c>
      <c r="H269" s="12" t="str">
        <f t="shared" si="38"/>
      </c>
      <c r="I269" s="12" t="str">
        <f t="shared" si="33"/>
      </c>
      <c r="J269" s="11" t="str">
        <f t="shared" si="34"/>
      </c>
      <c r="K269" s="12" t="str">
        <f t="shared" si="39"/>
      </c>
      <c r="L269" s="13" t="str">
        <f>IF(H269="","",IFERROR(INDEX('Tipos BdE'!$B$7:$M$336,MATCH(DATE(YEAR(K269),MONTH(K269),1),'Tipos BdE'!$A$7:$A$336,1),MATCH($D$9,'Tipos BdE'!$B$6:$M$6,0)),0))</f>
      </c>
      <c r="M269" s="13" t="str">
        <f t="shared" si="35"/>
      </c>
      <c r="N269" s="13" t="str">
        <f t="shared" si="36"/>
      </c>
      <c r="O269" s="14" t="str">
        <f t="shared" si="37"/>
      </c>
      <c r="P269" s="14" t="str">
        <f>IF(H269="","",$D$5+SUM($O$5:O269))</f>
      </c>
    </row>
    <row r="270" spans="7:16" x14ac:dyDescent="0.35">
      <c r="G270" s="11" t="str">
        <f t="shared" si="32"/>
      </c>
      <c r="H270" s="12" t="str">
        <f t="shared" si="38"/>
      </c>
      <c r="I270" s="12" t="str">
        <f t="shared" si="33"/>
      </c>
      <c r="J270" s="11" t="str">
        <f t="shared" si="34"/>
      </c>
      <c r="K270" s="12" t="str">
        <f t="shared" si="39"/>
      </c>
      <c r="L270" s="13" t="str">
        <f>IF(H270="","",IFERROR(INDEX('Tipos BdE'!$B$7:$M$336,MATCH(DATE(YEAR(K270),MONTH(K270),1),'Tipos BdE'!$A$7:$A$336,1),MATCH($D$9,'Tipos BdE'!$B$6:$M$6,0)),0))</f>
      </c>
      <c r="M270" s="13" t="str">
        <f t="shared" si="35"/>
      </c>
      <c r="N270" s="13" t="str">
        <f t="shared" si="36"/>
      </c>
      <c r="O270" s="14" t="str">
        <f t="shared" si="37"/>
      </c>
      <c r="P270" s="14" t="str">
        <f>IF(H270="","",$D$5+SUM($O$5:O270))</f>
      </c>
    </row>
    <row r="271" spans="7:16" x14ac:dyDescent="0.35">
      <c r="G271" s="11" t="str">
        <f t="shared" si="32"/>
      </c>
      <c r="H271" s="12" t="str">
        <f t="shared" si="38"/>
      </c>
      <c r="I271" s="12" t="str">
        <f t="shared" si="33"/>
      </c>
      <c r="J271" s="11" t="str">
        <f t="shared" si="34"/>
      </c>
      <c r="K271" s="12" t="str">
        <f t="shared" si="39"/>
      </c>
      <c r="L271" s="13" t="str">
        <f>IF(H271="","",IFERROR(INDEX('Tipos BdE'!$B$7:$M$336,MATCH(DATE(YEAR(K271),MONTH(K271),1),'Tipos BdE'!$A$7:$A$336,1),MATCH($D$9,'Tipos BdE'!$B$6:$M$6,0)),0))</f>
      </c>
      <c r="M271" s="13" t="str">
        <f t="shared" si="35"/>
      </c>
      <c r="N271" s="13" t="str">
        <f t="shared" si="36"/>
      </c>
      <c r="O271" s="14" t="str">
        <f t="shared" si="37"/>
      </c>
      <c r="P271" s="14" t="str">
        <f>IF(H271="","",$D$5+SUM($O$5:O271))</f>
      </c>
    </row>
    <row r="272" spans="7:16" x14ac:dyDescent="0.35">
      <c r="G272" s="11" t="str">
        <f t="shared" si="32"/>
      </c>
      <c r="H272" s="12" t="str">
        <f t="shared" si="38"/>
      </c>
      <c r="I272" s="12" t="str">
        <f t="shared" si="33"/>
      </c>
      <c r="J272" s="11" t="str">
        <f t="shared" si="34"/>
      </c>
      <c r="K272" s="12" t="str">
        <f t="shared" si="39"/>
      </c>
      <c r="L272" s="13" t="str">
        <f>IF(H272="","",IFERROR(INDEX('Tipos BdE'!$B$7:$M$336,MATCH(DATE(YEAR(K272),MONTH(K272),1),'Tipos BdE'!$A$7:$A$336,1),MATCH($D$9,'Tipos BdE'!$B$6:$M$6,0)),0))</f>
      </c>
      <c r="M272" s="13" t="str">
        <f t="shared" si="35"/>
      </c>
      <c r="N272" s="13" t="str">
        <f t="shared" si="36"/>
      </c>
      <c r="O272" s="14" t="str">
        <f t="shared" si="37"/>
      </c>
      <c r="P272" s="14" t="str">
        <f>IF(H272="","",$D$5+SUM($O$5:O272))</f>
      </c>
    </row>
    <row r="273" spans="7:16" x14ac:dyDescent="0.35">
      <c r="G273" s="11" t="str">
        <f t="shared" si="32"/>
      </c>
      <c r="H273" s="12" t="str">
        <f t="shared" si="38"/>
      </c>
      <c r="I273" s="12" t="str">
        <f t="shared" si="33"/>
      </c>
      <c r="J273" s="11" t="str">
        <f t="shared" si="34"/>
      </c>
      <c r="K273" s="12" t="str">
        <f t="shared" si="39"/>
      </c>
      <c r="L273" s="13" t="str">
        <f>IF(H273="","",IFERROR(INDEX('Tipos BdE'!$B$7:$M$336,MATCH(DATE(YEAR(K273),MONTH(K273),1),'Tipos BdE'!$A$7:$A$336,1),MATCH($D$9,'Tipos BdE'!$B$6:$M$6,0)),0))</f>
      </c>
      <c r="M273" s="13" t="str">
        <f t="shared" si="35"/>
      </c>
      <c r="N273" s="13" t="str">
        <f t="shared" si="36"/>
      </c>
      <c r="O273" s="14" t="str">
        <f t="shared" si="37"/>
      </c>
      <c r="P273" s="14" t="str">
        <f>IF(H273="","",$D$5+SUM($O$5:O273))</f>
      </c>
    </row>
    <row r="274" spans="7:16" x14ac:dyDescent="0.35">
      <c r="G274" s="11" t="str">
        <f t="shared" si="32"/>
      </c>
      <c r="H274" s="12" t="str">
        <f t="shared" si="38"/>
      </c>
      <c r="I274" s="12" t="str">
        <f t="shared" si="33"/>
      </c>
      <c r="J274" s="11" t="str">
        <f t="shared" si="34"/>
      </c>
      <c r="K274" s="12" t="str">
        <f t="shared" si="39"/>
      </c>
      <c r="L274" s="13" t="str">
        <f>IF(H274="","",IFERROR(INDEX('Tipos BdE'!$B$7:$M$336,MATCH(DATE(YEAR(K274),MONTH(K274),1),'Tipos BdE'!$A$7:$A$336,1),MATCH($D$9,'Tipos BdE'!$B$6:$M$6,0)),0))</f>
      </c>
      <c r="M274" s="13" t="str">
        <f t="shared" si="35"/>
      </c>
      <c r="N274" s="13" t="str">
        <f t="shared" si="36"/>
      </c>
      <c r="O274" s="14" t="str">
        <f t="shared" si="37"/>
      </c>
      <c r="P274" s="14" t="str">
        <f>IF(H274="","",$D$5+SUM($O$5:O274))</f>
      </c>
    </row>
    <row r="275" spans="7:16" x14ac:dyDescent="0.35">
      <c r="G275" s="11" t="str">
        <f t="shared" si="32"/>
      </c>
      <c r="H275" s="12" t="str">
        <f t="shared" si="38"/>
      </c>
      <c r="I275" s="12" t="str">
        <f t="shared" si="33"/>
      </c>
      <c r="J275" s="11" t="str">
        <f t="shared" si="34"/>
      </c>
      <c r="K275" s="12" t="str">
        <f t="shared" si="39"/>
      </c>
      <c r="L275" s="13" t="str">
        <f>IF(H275="","",IFERROR(INDEX('Tipos BdE'!$B$7:$M$336,MATCH(DATE(YEAR(K275),MONTH(K275),1),'Tipos BdE'!$A$7:$A$336,1),MATCH($D$9,'Tipos BdE'!$B$6:$M$6,0)),0))</f>
      </c>
      <c r="M275" s="13" t="str">
        <f t="shared" si="35"/>
      </c>
      <c r="N275" s="13" t="str">
        <f t="shared" si="36"/>
      </c>
      <c r="O275" s="14" t="str">
        <f t="shared" si="37"/>
      </c>
      <c r="P275" s="14" t="str">
        <f>IF(H275="","",$D$5+SUM($O$5:O275))</f>
      </c>
    </row>
    <row r="276" spans="7:16" x14ac:dyDescent="0.35">
      <c r="G276" s="11" t="str">
        <f t="shared" si="32"/>
      </c>
      <c r="H276" s="12" t="str">
        <f t="shared" si="38"/>
      </c>
      <c r="I276" s="12" t="str">
        <f t="shared" si="33"/>
      </c>
      <c r="J276" s="11" t="str">
        <f t="shared" si="34"/>
      </c>
      <c r="K276" s="12" t="str">
        <f t="shared" si="39"/>
      </c>
      <c r="L276" s="13" t="str">
        <f>IF(H276="","",IFERROR(INDEX('Tipos BdE'!$B$7:$M$336,MATCH(DATE(YEAR(K276),MONTH(K276),1),'Tipos BdE'!$A$7:$A$336,1),MATCH($D$9,'Tipos BdE'!$B$6:$M$6,0)),0))</f>
      </c>
      <c r="M276" s="13" t="str">
        <f t="shared" si="35"/>
      </c>
      <c r="N276" s="13" t="str">
        <f t="shared" si="36"/>
      </c>
      <c r="O276" s="14" t="str">
        <f t="shared" si="37"/>
      </c>
      <c r="P276" s="14" t="str">
        <f>IF(H276="","",$D$5+SUM($O$5:O276))</f>
      </c>
    </row>
    <row r="277" spans="7:16" x14ac:dyDescent="0.35">
      <c r="G277" s="11" t="str">
        <f t="shared" si="32"/>
      </c>
      <c r="H277" s="12" t="str">
        <f t="shared" si="38"/>
      </c>
      <c r="I277" s="12" t="str">
        <f t="shared" si="33"/>
      </c>
      <c r="J277" s="11" t="str">
        <f t="shared" si="34"/>
      </c>
      <c r="K277" s="12" t="str">
        <f t="shared" si="39"/>
      </c>
      <c r="L277" s="13" t="str">
        <f>IF(H277="","",IFERROR(INDEX('Tipos BdE'!$B$7:$M$336,MATCH(DATE(YEAR(K277),MONTH(K277),1),'Tipos BdE'!$A$7:$A$336,1),MATCH($D$9,'Tipos BdE'!$B$6:$M$6,0)),0))</f>
      </c>
      <c r="M277" s="13" t="str">
        <f t="shared" si="35"/>
      </c>
      <c r="N277" s="13" t="str">
        <f t="shared" si="36"/>
      </c>
      <c r="O277" s="14" t="str">
        <f t="shared" si="37"/>
      </c>
      <c r="P277" s="14" t="str">
        <f>IF(H277="","",$D$5+SUM($O$5:O277))</f>
      </c>
    </row>
    <row r="278" spans="7:16" x14ac:dyDescent="0.35">
      <c r="G278" s="11" t="str">
        <f t="shared" si="32"/>
      </c>
      <c r="H278" s="12" t="str">
        <f t="shared" si="38"/>
      </c>
      <c r="I278" s="12" t="str">
        <f t="shared" si="33"/>
      </c>
      <c r="J278" s="11" t="str">
        <f t="shared" si="34"/>
      </c>
      <c r="K278" s="12" t="str">
        <f t="shared" si="39"/>
      </c>
      <c r="L278" s="13" t="str">
        <f>IF(H278="","",IFERROR(INDEX('Tipos BdE'!$B$7:$M$336,MATCH(DATE(YEAR(K278),MONTH(K278),1),'Tipos BdE'!$A$7:$A$336,1),MATCH($D$9,'Tipos BdE'!$B$6:$M$6,0)),0))</f>
      </c>
      <c r="M278" s="13" t="str">
        <f t="shared" si="35"/>
      </c>
      <c r="N278" s="13" t="str">
        <f t="shared" si="36"/>
      </c>
      <c r="O278" s="14" t="str">
        <f t="shared" si="37"/>
      </c>
      <c r="P278" s="14" t="str">
        <f>IF(H278="","",$D$5+SUM($O$5:O278))</f>
      </c>
    </row>
    <row r="279" spans="7:16" x14ac:dyDescent="0.35">
      <c r="G279" s="11" t="str">
        <f t="shared" si="32"/>
      </c>
      <c r="H279" s="12" t="str">
        <f t="shared" si="38"/>
      </c>
      <c r="I279" s="12" t="str">
        <f t="shared" si="33"/>
      </c>
      <c r="J279" s="11" t="str">
        <f t="shared" si="34"/>
      </c>
      <c r="K279" s="12" t="str">
        <f t="shared" si="39"/>
      </c>
      <c r="L279" s="13" t="str">
        <f>IF(H279="","",IFERROR(INDEX('Tipos BdE'!$B$7:$M$336,MATCH(DATE(YEAR(K279),MONTH(K279),1),'Tipos BdE'!$A$7:$A$336,1),MATCH($D$9,'Tipos BdE'!$B$6:$M$6,0)),0))</f>
      </c>
      <c r="M279" s="13" t="str">
        <f t="shared" si="35"/>
      </c>
      <c r="N279" s="13" t="str">
        <f t="shared" si="36"/>
      </c>
      <c r="O279" s="14" t="str">
        <f t="shared" si="37"/>
      </c>
      <c r="P279" s="14" t="str">
        <f>IF(H279="","",$D$5+SUM($O$5:O279))</f>
      </c>
    </row>
    <row r="280" spans="7:16" x14ac:dyDescent="0.35">
      <c r="G280" s="11" t="str">
        <f t="shared" si="32"/>
      </c>
      <c r="H280" s="12" t="str">
        <f t="shared" si="38"/>
      </c>
      <c r="I280" s="12" t="str">
        <f t="shared" si="33"/>
      </c>
      <c r="J280" s="11" t="str">
        <f t="shared" si="34"/>
      </c>
      <c r="K280" s="12" t="str">
        <f t="shared" si="39"/>
      </c>
      <c r="L280" s="13" t="str">
        <f>IF(H280="","",IFERROR(INDEX('Tipos BdE'!$B$7:$M$336,MATCH(DATE(YEAR(K280),MONTH(K280),1),'Tipos BdE'!$A$7:$A$336,1),MATCH($D$9,'Tipos BdE'!$B$6:$M$6,0)),0))</f>
      </c>
      <c r="M280" s="13" t="str">
        <f t="shared" si="35"/>
      </c>
      <c r="N280" s="13" t="str">
        <f t="shared" si="36"/>
      </c>
      <c r="O280" s="14" t="str">
        <f t="shared" si="37"/>
      </c>
      <c r="P280" s="14" t="str">
        <f>IF(H280="","",$D$5+SUM($O$5:O280))</f>
      </c>
    </row>
    <row r="281" spans="7:16" x14ac:dyDescent="0.35">
      <c r="G281" s="11" t="str">
        <f t="shared" si="32"/>
      </c>
      <c r="H281" s="12" t="str">
        <f t="shared" si="38"/>
      </c>
      <c r="I281" s="12" t="str">
        <f t="shared" si="33"/>
      </c>
      <c r="J281" s="11" t="str">
        <f t="shared" si="34"/>
      </c>
      <c r="K281" s="12" t="str">
        <f t="shared" si="39"/>
      </c>
      <c r="L281" s="13" t="str">
        <f>IF(H281="","",IFERROR(INDEX('Tipos BdE'!$B$7:$M$336,MATCH(DATE(YEAR(K281),MONTH(K281),1),'Tipos BdE'!$A$7:$A$336,1),MATCH($D$9,'Tipos BdE'!$B$6:$M$6,0)),0))</f>
      </c>
      <c r="M281" s="13" t="str">
        <f t="shared" si="35"/>
      </c>
      <c r="N281" s="13" t="str">
        <f t="shared" si="36"/>
      </c>
      <c r="O281" s="14" t="str">
        <f t="shared" si="37"/>
      </c>
      <c r="P281" s="14" t="str">
        <f>IF(H281="","",$D$5+SUM($O$5:O281))</f>
      </c>
    </row>
    <row r="282" spans="7:16" x14ac:dyDescent="0.35">
      <c r="G282" s="11" t="str">
        <f t="shared" si="32"/>
      </c>
      <c r="H282" s="12" t="str">
        <f t="shared" si="38"/>
      </c>
      <c r="I282" s="12" t="str">
        <f t="shared" si="33"/>
      </c>
      <c r="J282" s="11" t="str">
        <f t="shared" si="34"/>
      </c>
      <c r="K282" s="12" t="str">
        <f t="shared" si="39"/>
      </c>
      <c r="L282" s="13" t="str">
        <f>IF(H282="","",IFERROR(INDEX('Tipos BdE'!$B$7:$M$336,MATCH(DATE(YEAR(K282),MONTH(K282),1),'Tipos BdE'!$A$7:$A$336,1),MATCH($D$9,'Tipos BdE'!$B$6:$M$6,0)),0))</f>
      </c>
      <c r="M282" s="13" t="str">
        <f t="shared" si="35"/>
      </c>
      <c r="N282" s="13" t="str">
        <f t="shared" si="36"/>
      </c>
      <c r="O282" s="14" t="str">
        <f t="shared" si="37"/>
      </c>
      <c r="P282" s="14" t="str">
        <f>IF(H282="","",$D$5+SUM($O$5:O282))</f>
      </c>
    </row>
    <row r="283" spans="7:16" x14ac:dyDescent="0.35">
      <c r="G283" s="11" t="str">
        <f t="shared" si="32"/>
      </c>
      <c r="H283" s="12" t="str">
        <f t="shared" si="38"/>
      </c>
      <c r="I283" s="12" t="str">
        <f t="shared" si="33"/>
      </c>
      <c r="J283" s="11" t="str">
        <f t="shared" si="34"/>
      </c>
      <c r="K283" s="12" t="str">
        <f t="shared" si="39"/>
      </c>
      <c r="L283" s="13" t="str">
        <f>IF(H283="","",IFERROR(INDEX('Tipos BdE'!$B$7:$M$336,MATCH(DATE(YEAR(K283),MONTH(K283),1),'Tipos BdE'!$A$7:$A$336,1),MATCH($D$9,'Tipos BdE'!$B$6:$M$6,0)),0))</f>
      </c>
      <c r="M283" s="13" t="str">
        <f t="shared" si="35"/>
      </c>
      <c r="N283" s="13" t="str">
        <f t="shared" si="36"/>
      </c>
      <c r="O283" s="14" t="str">
        <f t="shared" si="37"/>
      </c>
      <c r="P283" s="14" t="str">
        <f>IF(H283="","",$D$5+SUM($O$5:O283))</f>
      </c>
    </row>
    <row r="284" spans="7:16" x14ac:dyDescent="0.35">
      <c r="G284" s="11" t="str">
        <f t="shared" si="32"/>
      </c>
      <c r="H284" s="12" t="str">
        <f t="shared" si="38"/>
      </c>
      <c r="I284" s="12" t="str">
        <f t="shared" si="33"/>
      </c>
      <c r="J284" s="11" t="str">
        <f t="shared" si="34"/>
      </c>
      <c r="K284" s="12" t="str">
        <f t="shared" si="39"/>
      </c>
      <c r="L284" s="13" t="str">
        <f>IF(H284="","",IFERROR(INDEX('Tipos BdE'!$B$7:$M$336,MATCH(DATE(YEAR(K284),MONTH(K284),1),'Tipos BdE'!$A$7:$A$336,1),MATCH($D$9,'Tipos BdE'!$B$6:$M$6,0)),0))</f>
      </c>
      <c r="M284" s="13" t="str">
        <f t="shared" si="35"/>
      </c>
      <c r="N284" s="13" t="str">
        <f t="shared" si="36"/>
      </c>
      <c r="O284" s="14" t="str">
        <f t="shared" si="37"/>
      </c>
      <c r="P284" s="14" t="str">
        <f>IF(H284="","",$D$5+SUM($O$5:O284))</f>
      </c>
    </row>
    <row r="285" spans="7:16" x14ac:dyDescent="0.35">
      <c r="G285" s="11" t="str">
        <f t="shared" si="32"/>
      </c>
      <c r="H285" s="12" t="str">
        <f t="shared" si="38"/>
      </c>
      <c r="I285" s="12" t="str">
        <f t="shared" si="33"/>
      </c>
      <c r="J285" s="11" t="str">
        <f t="shared" si="34"/>
      </c>
      <c r="K285" s="12" t="str">
        <f t="shared" si="39"/>
      </c>
      <c r="L285" s="13" t="str">
        <f>IF(H285="","",IFERROR(INDEX('Tipos BdE'!$B$7:$M$336,MATCH(DATE(YEAR(K285),MONTH(K285),1),'Tipos BdE'!$A$7:$A$336,1),MATCH($D$9,'Tipos BdE'!$B$6:$M$6,0)),0))</f>
      </c>
      <c r="M285" s="13" t="str">
        <f t="shared" si="35"/>
      </c>
      <c r="N285" s="13" t="str">
        <f t="shared" si="36"/>
      </c>
      <c r="O285" s="14" t="str">
        <f t="shared" si="37"/>
      </c>
      <c r="P285" s="14" t="str">
        <f>IF(H285="","",$D$5+SUM($O$5:O285))</f>
      </c>
    </row>
    <row r="286" spans="7:16" x14ac:dyDescent="0.35">
      <c r="G286" s="11" t="str">
        <f t="shared" si="32"/>
      </c>
      <c r="H286" s="12" t="str">
        <f t="shared" si="38"/>
      </c>
      <c r="I286" s="12" t="str">
        <f t="shared" si="33"/>
      </c>
      <c r="J286" s="11" t="str">
        <f t="shared" si="34"/>
      </c>
      <c r="K286" s="12" t="str">
        <f t="shared" si="39"/>
      </c>
      <c r="L286" s="13" t="str">
        <f>IF(H286="","",IFERROR(INDEX('Tipos BdE'!$B$7:$M$336,MATCH(DATE(YEAR(K286),MONTH(K286),1),'Tipos BdE'!$A$7:$A$336,1),MATCH($D$9,'Tipos BdE'!$B$6:$M$6,0)),0))</f>
      </c>
      <c r="M286" s="13" t="str">
        <f t="shared" si="35"/>
      </c>
      <c r="N286" s="13" t="str">
        <f t="shared" si="36"/>
      </c>
      <c r="O286" s="14" t="str">
        <f t="shared" si="37"/>
      </c>
      <c r="P286" s="14" t="str">
        <f>IF(H286="","",$D$5+SUM($O$5:O286))</f>
      </c>
    </row>
    <row r="287" spans="7:16" x14ac:dyDescent="0.35">
      <c r="G287" s="11" t="str">
        <f t="shared" si="32"/>
      </c>
      <c r="H287" s="12" t="str">
        <f t="shared" si="38"/>
      </c>
      <c r="I287" s="12" t="str">
        <f t="shared" si="33"/>
      </c>
      <c r="J287" s="11" t="str">
        <f t="shared" si="34"/>
      </c>
      <c r="K287" s="12" t="str">
        <f t="shared" si="39"/>
      </c>
      <c r="L287" s="13" t="str">
        <f>IF(H287="","",IFERROR(INDEX('Tipos BdE'!$B$7:$M$336,MATCH(DATE(YEAR(K287),MONTH(K287),1),'Tipos BdE'!$A$7:$A$336,1),MATCH($D$9,'Tipos BdE'!$B$6:$M$6,0)),0))</f>
      </c>
      <c r="M287" s="13" t="str">
        <f t="shared" si="35"/>
      </c>
      <c r="N287" s="13" t="str">
        <f t="shared" si="36"/>
      </c>
      <c r="O287" s="14" t="str">
        <f t="shared" si="37"/>
      </c>
      <c r="P287" s="14" t="str">
        <f>IF(H287="","",$D$5+SUM($O$5:O287))</f>
      </c>
    </row>
    <row r="288" spans="7:16" x14ac:dyDescent="0.35">
      <c r="G288" s="11" t="str">
        <f t="shared" si="32"/>
      </c>
      <c r="H288" s="12" t="str">
        <f t="shared" si="38"/>
      </c>
      <c r="I288" s="12" t="str">
        <f t="shared" si="33"/>
      </c>
      <c r="J288" s="11" t="str">
        <f t="shared" si="34"/>
      </c>
      <c r="K288" s="12" t="str">
        <f t="shared" si="39"/>
      </c>
      <c r="L288" s="13" t="str">
        <f>IF(H288="","",IFERROR(INDEX('Tipos BdE'!$B$7:$M$336,MATCH(DATE(YEAR(K288),MONTH(K288),1),'Tipos BdE'!$A$7:$A$336,1),MATCH($D$9,'Tipos BdE'!$B$6:$M$6,0)),0))</f>
      </c>
      <c r="M288" s="13" t="str">
        <f t="shared" si="35"/>
      </c>
      <c r="N288" s="13" t="str">
        <f t="shared" si="36"/>
      </c>
      <c r="O288" s="14" t="str">
        <f t="shared" si="37"/>
      </c>
      <c r="P288" s="14" t="str">
        <f>IF(H288="","",$D$5+SUM($O$5:O288))</f>
      </c>
    </row>
    <row r="289" spans="7:16" x14ac:dyDescent="0.35">
      <c r="G289" s="11" t="str">
        <f t="shared" si="32"/>
      </c>
      <c r="H289" s="12" t="str">
        <f t="shared" si="38"/>
      </c>
      <c r="I289" s="12" t="str">
        <f t="shared" si="33"/>
      </c>
      <c r="J289" s="11" t="str">
        <f t="shared" si="34"/>
      </c>
      <c r="K289" s="12" t="str">
        <f t="shared" si="39"/>
      </c>
      <c r="L289" s="13" t="str">
        <f>IF(H289="","",IFERROR(INDEX('Tipos BdE'!$B$7:$M$336,MATCH(DATE(YEAR(K289),MONTH(K289),1),'Tipos BdE'!$A$7:$A$336,1),MATCH($D$9,'Tipos BdE'!$B$6:$M$6,0)),0))</f>
      </c>
      <c r="M289" s="13" t="str">
        <f t="shared" si="35"/>
      </c>
      <c r="N289" s="13" t="str">
        <f t="shared" si="36"/>
      </c>
      <c r="O289" s="14" t="str">
        <f t="shared" si="37"/>
      </c>
      <c r="P289" s="14" t="str">
        <f>IF(H289="","",$D$5+SUM($O$5:O289))</f>
      </c>
    </row>
    <row r="290" spans="7:16" x14ac:dyDescent="0.35">
      <c r="G290" s="11" t="str">
        <f t="shared" si="32"/>
      </c>
      <c r="H290" s="12" t="str">
        <f t="shared" si="38"/>
      </c>
      <c r="I290" s="12" t="str">
        <f t="shared" si="33"/>
      </c>
      <c r="J290" s="11" t="str">
        <f t="shared" si="34"/>
      </c>
      <c r="K290" s="12" t="str">
        <f t="shared" si="39"/>
      </c>
      <c r="L290" s="13" t="str">
        <f>IF(H290="","",IFERROR(INDEX('Tipos BdE'!$B$7:$M$336,MATCH(DATE(YEAR(K290),MONTH(K290),1),'Tipos BdE'!$A$7:$A$336,1),MATCH($D$9,'Tipos BdE'!$B$6:$M$6,0)),0))</f>
      </c>
      <c r="M290" s="13" t="str">
        <f t="shared" si="35"/>
      </c>
      <c r="N290" s="13" t="str">
        <f t="shared" si="36"/>
      </c>
      <c r="O290" s="14" t="str">
        <f t="shared" si="37"/>
      </c>
      <c r="P290" s="14" t="str">
        <f>IF(H290="","",$D$5+SUM($O$5:O290))</f>
      </c>
    </row>
    <row r="291" spans="7:16" x14ac:dyDescent="0.35">
      <c r="G291" s="11" t="str">
        <f t="shared" si="32"/>
      </c>
      <c r="H291" s="12" t="str">
        <f t="shared" si="38"/>
      </c>
      <c r="I291" s="12" t="str">
        <f t="shared" si="33"/>
      </c>
      <c r="J291" s="11" t="str">
        <f t="shared" si="34"/>
      </c>
      <c r="K291" s="12" t="str">
        <f t="shared" si="39"/>
      </c>
      <c r="L291" s="13" t="str">
        <f>IF(H291="","",IFERROR(INDEX('Tipos BdE'!$B$7:$M$336,MATCH(DATE(YEAR(K291),MONTH(K291),1),'Tipos BdE'!$A$7:$A$336,1),MATCH($D$9,'Tipos BdE'!$B$6:$M$6,0)),0))</f>
      </c>
      <c r="M291" s="13" t="str">
        <f t="shared" si="35"/>
      </c>
      <c r="N291" s="13" t="str">
        <f t="shared" si="36"/>
      </c>
      <c r="O291" s="14" t="str">
        <f t="shared" si="37"/>
      </c>
      <c r="P291" s="14" t="str">
        <f>IF(H291="","",$D$5+SUM($O$5:O291))</f>
      </c>
    </row>
    <row r="292" spans="7:16" x14ac:dyDescent="0.35">
      <c r="G292" s="11" t="str">
        <f t="shared" si="32"/>
      </c>
      <c r="H292" s="12" t="str">
        <f t="shared" si="38"/>
      </c>
      <c r="I292" s="12" t="str">
        <f t="shared" si="33"/>
      </c>
      <c r="J292" s="11" t="str">
        <f t="shared" si="34"/>
      </c>
      <c r="K292" s="12" t="str">
        <f t="shared" si="39"/>
      </c>
      <c r="L292" s="13" t="str">
        <f>IF(H292="","",IFERROR(INDEX('Tipos BdE'!$B$7:$M$336,MATCH(DATE(YEAR(K292),MONTH(K292),1),'Tipos BdE'!$A$7:$A$336,1),MATCH($D$9,'Tipos BdE'!$B$6:$M$6,0)),0))</f>
      </c>
      <c r="M292" s="13" t="str">
        <f t="shared" si="35"/>
      </c>
      <c r="N292" s="13" t="str">
        <f t="shared" si="36"/>
      </c>
      <c r="O292" s="14" t="str">
        <f t="shared" si="37"/>
      </c>
      <c r="P292" s="14" t="str">
        <f>IF(H292="","",$D$5+SUM($O$5:O292))</f>
      </c>
    </row>
    <row r="293" spans="7:16" x14ac:dyDescent="0.35">
      <c r="G293" s="11" t="str">
        <f t="shared" si="32"/>
      </c>
      <c r="H293" s="12" t="str">
        <f t="shared" si="38"/>
      </c>
      <c r="I293" s="12" t="str">
        <f t="shared" si="33"/>
      </c>
      <c r="J293" s="11" t="str">
        <f t="shared" si="34"/>
      </c>
      <c r="K293" s="12" t="str">
        <f t="shared" si="39"/>
      </c>
      <c r="L293" s="13" t="str">
        <f>IF(H293="","",IFERROR(INDEX('Tipos BdE'!$B$7:$M$336,MATCH(DATE(YEAR(K293),MONTH(K293),1),'Tipos BdE'!$A$7:$A$336,1),MATCH($D$9,'Tipos BdE'!$B$6:$M$6,0)),0))</f>
      </c>
      <c r="M293" s="13" t="str">
        <f t="shared" si="35"/>
      </c>
      <c r="N293" s="13" t="str">
        <f t="shared" si="36"/>
      </c>
      <c r="O293" s="14" t="str">
        <f t="shared" si="37"/>
      </c>
      <c r="P293" s="14" t="str">
        <f>IF(H293="","",$D$5+SUM($O$5:O293))</f>
      </c>
    </row>
    <row r="294" spans="7:16" x14ac:dyDescent="0.35">
      <c r="G294" s="11" t="str">
        <f t="shared" si="32"/>
      </c>
      <c r="H294" s="12" t="str">
        <f t="shared" si="38"/>
      </c>
      <c r="I294" s="12" t="str">
        <f t="shared" si="33"/>
      </c>
      <c r="J294" s="11" t="str">
        <f t="shared" si="34"/>
      </c>
      <c r="K294" s="12" t="str">
        <f t="shared" si="39"/>
      </c>
      <c r="L294" s="13" t="str">
        <f>IF(H294="","",IFERROR(INDEX('Tipos BdE'!$B$7:$M$336,MATCH(DATE(YEAR(K294),MONTH(K294),1),'Tipos BdE'!$A$7:$A$336,1),MATCH($D$9,'Tipos BdE'!$B$6:$M$6,0)),0))</f>
      </c>
      <c r="M294" s="13" t="str">
        <f t="shared" si="35"/>
      </c>
      <c r="N294" s="13" t="str">
        <f t="shared" si="36"/>
      </c>
      <c r="O294" s="14" t="str">
        <f t="shared" si="37"/>
      </c>
      <c r="P294" s="14" t="str">
        <f>IF(H294="","",$D$5+SUM($O$5:O294))</f>
      </c>
    </row>
    <row r="295" spans="7:16" x14ac:dyDescent="0.35">
      <c r="G295" s="11" t="str">
        <f t="shared" si="32"/>
      </c>
      <c r="H295" s="12" t="str">
        <f t="shared" si="38"/>
      </c>
      <c r="I295" s="12" t="str">
        <f t="shared" si="33"/>
      </c>
      <c r="J295" s="11" t="str">
        <f t="shared" si="34"/>
      </c>
      <c r="K295" s="12" t="str">
        <f t="shared" si="39"/>
      </c>
      <c r="L295" s="13" t="str">
        <f>IF(H295="","",IFERROR(INDEX('Tipos BdE'!$B$7:$M$336,MATCH(DATE(YEAR(K295),MONTH(K295),1),'Tipos BdE'!$A$7:$A$336,1),MATCH($D$9,'Tipos BdE'!$B$6:$M$6,0)),0))</f>
      </c>
      <c r="M295" s="13" t="str">
        <f t="shared" si="35"/>
      </c>
      <c r="N295" s="13" t="str">
        <f t="shared" si="36"/>
      </c>
      <c r="O295" s="14" t="str">
        <f t="shared" si="37"/>
      </c>
      <c r="P295" s="14" t="str">
        <f>IF(H295="","",$D$5+SUM($O$5:O295))</f>
      </c>
    </row>
    <row r="296" spans="7:16" x14ac:dyDescent="0.35">
      <c r="G296" s="11" t="str">
        <f t="shared" si="32"/>
      </c>
      <c r="H296" s="12" t="str">
        <f t="shared" si="38"/>
      </c>
      <c r="I296" s="12" t="str">
        <f t="shared" si="33"/>
      </c>
      <c r="J296" s="11" t="str">
        <f t="shared" si="34"/>
      </c>
      <c r="K296" s="12" t="str">
        <f t="shared" si="39"/>
      </c>
      <c r="L296" s="13" t="str">
        <f>IF(H296="","",IFERROR(INDEX('Tipos BdE'!$B$7:$M$336,MATCH(DATE(YEAR(K296),MONTH(K296),1),'Tipos BdE'!$A$7:$A$336,1),MATCH($D$9,'Tipos BdE'!$B$6:$M$6,0)),0))</f>
      </c>
      <c r="M296" s="13" t="str">
        <f t="shared" si="35"/>
      </c>
      <c r="N296" s="13" t="str">
        <f t="shared" si="36"/>
      </c>
      <c r="O296" s="14" t="str">
        <f t="shared" si="37"/>
      </c>
      <c r="P296" s="14" t="str">
        <f>IF(H296="","",$D$5+SUM($O$5:O296))</f>
      </c>
    </row>
    <row r="297" spans="7:16" x14ac:dyDescent="0.35">
      <c r="G297" s="11" t="str">
        <f t="shared" si="32"/>
      </c>
      <c r="H297" s="12" t="str">
        <f t="shared" si="38"/>
      </c>
      <c r="I297" s="12" t="str">
        <f t="shared" si="33"/>
      </c>
      <c r="J297" s="11" t="str">
        <f t="shared" si="34"/>
      </c>
      <c r="K297" s="12" t="str">
        <f t="shared" si="39"/>
      </c>
      <c r="L297" s="13" t="str">
        <f>IF(H297="","",IFERROR(INDEX('Tipos BdE'!$B$7:$M$336,MATCH(DATE(YEAR(K297),MONTH(K297),1),'Tipos BdE'!$A$7:$A$336,1),MATCH($D$9,'Tipos BdE'!$B$6:$M$6,0)),0))</f>
      </c>
      <c r="M297" s="13" t="str">
        <f t="shared" si="35"/>
      </c>
      <c r="N297" s="13" t="str">
        <f t="shared" si="36"/>
      </c>
      <c r="O297" s="14" t="str">
        <f t="shared" si="37"/>
      </c>
      <c r="P297" s="14" t="str">
        <f>IF(H297="","",$D$5+SUM($O$5:O297))</f>
      </c>
    </row>
    <row r="298" spans="7:16" x14ac:dyDescent="0.35">
      <c r="G298" s="11" t="str">
        <f t="shared" si="32"/>
      </c>
      <c r="H298" s="12" t="str">
        <f t="shared" si="38"/>
      </c>
      <c r="I298" s="12" t="str">
        <f t="shared" si="33"/>
      </c>
      <c r="J298" s="11" t="str">
        <f t="shared" si="34"/>
      </c>
      <c r="K298" s="12" t="str">
        <f t="shared" si="39"/>
      </c>
      <c r="L298" s="13" t="str">
        <f>IF(H298="","",IFERROR(INDEX('Tipos BdE'!$B$7:$M$336,MATCH(DATE(YEAR(K298),MONTH(K298),1),'Tipos BdE'!$A$7:$A$336,1),MATCH($D$9,'Tipos BdE'!$B$6:$M$6,0)),0))</f>
      </c>
      <c r="M298" s="13" t="str">
        <f t="shared" si="35"/>
      </c>
      <c r="N298" s="13" t="str">
        <f t="shared" si="36"/>
      </c>
      <c r="O298" s="14" t="str">
        <f t="shared" si="37"/>
      </c>
      <c r="P298" s="14" t="str">
        <f>IF(H298="","",$D$5+SUM($O$5:O298))</f>
      </c>
    </row>
    <row r="299" spans="7:16" x14ac:dyDescent="0.35">
      <c r="G299" s="11" t="str">
        <f t="shared" si="32"/>
      </c>
      <c r="H299" s="12" t="str">
        <f t="shared" si="38"/>
      </c>
      <c r="I299" s="12" t="str">
        <f t="shared" si="33"/>
      </c>
      <c r="J299" s="11" t="str">
        <f t="shared" si="34"/>
      </c>
      <c r="K299" s="12" t="str">
        <f t="shared" si="39"/>
      </c>
      <c r="L299" s="13" t="str">
        <f>IF(H299="","",IFERROR(INDEX('Tipos BdE'!$B$7:$M$336,MATCH(DATE(YEAR(K299),MONTH(K299),1),'Tipos BdE'!$A$7:$A$336,1),MATCH($D$9,'Tipos BdE'!$B$6:$M$6,0)),0))</f>
      </c>
      <c r="M299" s="13" t="str">
        <f t="shared" si="35"/>
      </c>
      <c r="N299" s="13" t="str">
        <f t="shared" si="36"/>
      </c>
      <c r="O299" s="14" t="str">
        <f t="shared" si="37"/>
      </c>
      <c r="P299" s="14" t="str">
        <f>IF(H299="","",$D$5+SUM($O$5:O299))</f>
      </c>
    </row>
    <row r="300" spans="7:16" x14ac:dyDescent="0.35">
      <c r="G300" s="11" t="str">
        <f t="shared" si="32"/>
      </c>
      <c r="H300" s="12" t="str">
        <f t="shared" si="38"/>
      </c>
      <c r="I300" s="12" t="str">
        <f t="shared" si="33"/>
      </c>
      <c r="J300" s="11" t="str">
        <f t="shared" si="34"/>
      </c>
      <c r="K300" s="12" t="str">
        <f t="shared" si="39"/>
      </c>
      <c r="L300" s="13" t="str">
        <f>IF(H300="","",IFERROR(INDEX('Tipos BdE'!$B$7:$M$336,MATCH(DATE(YEAR(K300),MONTH(K300),1),'Tipos BdE'!$A$7:$A$336,1),MATCH($D$9,'Tipos BdE'!$B$6:$M$6,0)),0))</f>
      </c>
      <c r="M300" s="13" t="str">
        <f t="shared" si="35"/>
      </c>
      <c r="N300" s="13" t="str">
        <f t="shared" si="36"/>
      </c>
      <c r="O300" s="14" t="str">
        <f t="shared" si="37"/>
      </c>
      <c r="P300" s="14" t="str">
        <f>IF(H300="","",$D$5+SUM($O$5:O300))</f>
      </c>
    </row>
    <row r="301" spans="7:16" x14ac:dyDescent="0.35">
      <c r="G301" s="11" t="str">
        <f t="shared" si="32"/>
      </c>
      <c r="H301" s="12" t="str">
        <f t="shared" si="38"/>
      </c>
      <c r="I301" s="12" t="str">
        <f t="shared" si="33"/>
      </c>
      <c r="J301" s="11" t="str">
        <f t="shared" si="34"/>
      </c>
      <c r="K301" s="12" t="str">
        <f t="shared" si="39"/>
      </c>
      <c r="L301" s="13" t="str">
        <f>IF(H301="","",IFERROR(INDEX('Tipos BdE'!$B$7:$M$336,MATCH(DATE(YEAR(K301),MONTH(K301),1),'Tipos BdE'!$A$7:$A$336,1),MATCH($D$9,'Tipos BdE'!$B$6:$M$6,0)),0))</f>
      </c>
      <c r="M301" s="13" t="str">
        <f t="shared" si="35"/>
      </c>
      <c r="N301" s="13" t="str">
        <f t="shared" si="36"/>
      </c>
      <c r="O301" s="14" t="str">
        <f t="shared" si="37"/>
      </c>
      <c r="P301" s="14" t="str">
        <f>IF(H301="","",$D$5+SUM($O$5:O301))</f>
      </c>
    </row>
    <row r="302" spans="7:16" x14ac:dyDescent="0.35">
      <c r="G302" s="11" t="str">
        <f t="shared" si="32"/>
      </c>
      <c r="H302" s="12" t="str">
        <f t="shared" si="38"/>
      </c>
      <c r="I302" s="12" t="str">
        <f t="shared" si="33"/>
      </c>
      <c r="J302" s="11" t="str">
        <f t="shared" si="34"/>
      </c>
      <c r="K302" s="12" t="str">
        <f t="shared" si="39"/>
      </c>
      <c r="L302" s="13" t="str">
        <f>IF(H302="","",IFERROR(INDEX('Tipos BdE'!$B$7:$M$336,MATCH(DATE(YEAR(K302),MONTH(K302),1),'Tipos BdE'!$A$7:$A$336,1),MATCH($D$9,'Tipos BdE'!$B$6:$M$6,0)),0))</f>
      </c>
      <c r="M302" s="13" t="str">
        <f t="shared" si="35"/>
      </c>
      <c r="N302" s="13" t="str">
        <f t="shared" si="36"/>
      </c>
      <c r="O302" s="14" t="str">
        <f t="shared" si="37"/>
      </c>
      <c r="P302" s="14" t="str">
        <f>IF(H302="","",$D$5+SUM($O$5:O302))</f>
      </c>
    </row>
    <row r="303" spans="7:16" x14ac:dyDescent="0.35">
      <c r="G303" s="11" t="str">
        <f t="shared" si="32"/>
      </c>
      <c r="H303" s="12" t="str">
        <f t="shared" si="38"/>
      </c>
      <c r="I303" s="12" t="str">
        <f t="shared" si="33"/>
      </c>
      <c r="J303" s="11" t="str">
        <f t="shared" si="34"/>
      </c>
      <c r="K303" s="12" t="str">
        <f t="shared" si="39"/>
      </c>
      <c r="L303" s="13" t="str">
        <f>IF(H303="","",IFERROR(INDEX('Tipos BdE'!$B$7:$M$336,MATCH(DATE(YEAR(K303),MONTH(K303),1),'Tipos BdE'!$A$7:$A$336,1),MATCH($D$9,'Tipos BdE'!$B$6:$M$6,0)),0))</f>
      </c>
      <c r="M303" s="13" t="str">
        <f t="shared" si="35"/>
      </c>
      <c r="N303" s="13" t="str">
        <f t="shared" si="36"/>
      </c>
      <c r="O303" s="14" t="str">
        <f t="shared" si="37"/>
      </c>
      <c r="P303" s="14" t="str">
        <f>IF(H303="","",$D$5+SUM($O$5:O303))</f>
      </c>
    </row>
    <row r="304" spans="7:16" x14ac:dyDescent="0.35">
      <c r="G304" s="11" t="str">
        <f t="shared" si="32"/>
      </c>
      <c r="H304" s="12" t="str">
        <f t="shared" si="38"/>
      </c>
      <c r="I304" s="12" t="str">
        <f t="shared" si="33"/>
      </c>
      <c r="J304" s="11" t="str">
        <f t="shared" si="34"/>
      </c>
      <c r="K304" s="12" t="str">
        <f t="shared" si="39"/>
      </c>
      <c r="L304" s="13" t="str">
        <f>IF(H304="","",IFERROR(INDEX('Tipos BdE'!$B$7:$M$336,MATCH(DATE(YEAR(K304),MONTH(K304),1),'Tipos BdE'!$A$7:$A$336,1),MATCH($D$9,'Tipos BdE'!$B$6:$M$6,0)),0))</f>
      </c>
      <c r="M304" s="13" t="str">
        <f t="shared" si="35"/>
      </c>
      <c r="N304" s="13" t="str">
        <f t="shared" si="36"/>
      </c>
      <c r="O304" s="14" t="str">
        <f t="shared" si="37"/>
      </c>
      <c r="P304" s="14" t="str">
        <f>IF(H304="","",$D$5+SUM($O$5:O304))</f>
      </c>
    </row>
  </sheetData>
  <mergeCells count="38">
    <mergeCell ref="A24:C24"/>
    <mergeCell ref="D12:E12"/>
    <mergeCell ref="D8:E8"/>
    <mergeCell ref="A4:E4"/>
    <mergeCell ref="A11:C11"/>
    <mergeCell ref="A20:E20"/>
    <mergeCell ref="D24:E24"/>
    <mergeCell ref="D15:E15"/>
    <mergeCell ref="D5:E5"/>
    <mergeCell ref="A6:C6"/>
    <mergeCell ref="D23:E23"/>
    <mergeCell ref="D14:E14"/>
    <mergeCell ref="A7:C7"/>
    <mergeCell ref="A16:C16"/>
    <mergeCell ref="A1:P1"/>
    <mergeCell ref="A9:C9"/>
    <mergeCell ref="D18:E18"/>
    <mergeCell ref="A15:C15"/>
    <mergeCell ref="D9:E9"/>
    <mergeCell ref="A2:P2"/>
    <mergeCell ref="D6:E6"/>
    <mergeCell ref="A5:C5"/>
    <mergeCell ref="A23:C23"/>
    <mergeCell ref="D11:E11"/>
    <mergeCell ref="A8:C8"/>
    <mergeCell ref="D13:E13"/>
    <mergeCell ref="A14:C14"/>
    <mergeCell ref="A17:C17"/>
    <mergeCell ref="D17:E17"/>
    <mergeCell ref="A10:C10"/>
    <mergeCell ref="D16:E16"/>
    <mergeCell ref="A13:C13"/>
    <mergeCell ref="D7:E7"/>
    <mergeCell ref="D10:E10"/>
    <mergeCell ref="A18:C18"/>
    <mergeCell ref="A21:C21"/>
    <mergeCell ref="A12:C12"/>
    <mergeCell ref="D21:E21"/>
  </mergeCells>
  <pageMargins left="0.25" right="0.25" top="0.75" bottom="0.75" header="0.3" footer="0.3"/>
  <pageSetup paperSize="9" scale="58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a21aa5-e6e0-4ea1-a8b7-dab22934b373" xsi:nil="true"/>
    <lcf76f155ced4ddcb4097134ff3c332f xmlns="1a371a86-75ee-45af-9d35-73da47a1d8d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71ECF39F66184586F6D662D18D2F25" ma:contentTypeVersion="15" ma:contentTypeDescription="Create a new document." ma:contentTypeScope="" ma:versionID="171d50715e737e0d794c1fcb367917a8">
  <xsd:schema xmlns:xsd="http://www.w3.org/2001/XMLSchema" xmlns:xs="http://www.w3.org/2001/XMLSchema" xmlns:p="http://schemas.microsoft.com/office/2006/metadata/properties" xmlns:ns2="1a371a86-75ee-45af-9d35-73da47a1d8df" xmlns:ns3="17a21aa5-e6e0-4ea1-a8b7-dab22934b373" targetNamespace="http://schemas.microsoft.com/office/2006/metadata/properties" ma:root="true" ma:fieldsID="3ff48b03af2000c6a5d57ad670ae10f8" ns2:_="" ns3:_="">
    <xsd:import namespace="1a371a86-75ee-45af-9d35-73da47a1d8df"/>
    <xsd:import namespace="17a21aa5-e6e0-4ea1-a8b7-dab22934b3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371a86-75ee-45af-9d35-73da47a1d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f6eb35d-fa8f-4866-a1f7-1f6f59219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21aa5-e6e0-4ea1-a8b7-dab22934b3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29590b2-1846-47dc-92a0-775c83a6ea08}" ma:internalName="TaxCatchAll" ma:showField="CatchAllData" ma:web="17a21aa5-e6e0-4ea1-a8b7-dab22934b3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49E0A2-98F7-41FE-BA20-FCBC9DF31DEE}">
  <ds:schemaRefs>
    <ds:schemaRef ds:uri="http://schemas.microsoft.com/office/2006/metadata/properties"/>
    <ds:schemaRef ds:uri="http://schemas.microsoft.com/office/infopath/2007/PartnerControls"/>
    <ds:schemaRef ds:uri="17a21aa5-e6e0-4ea1-a8b7-dab22934b373"/>
    <ds:schemaRef ds:uri="1a371a86-75ee-45af-9d35-73da47a1d8df"/>
  </ds:schemaRefs>
</ds:datastoreItem>
</file>

<file path=customXml/itemProps2.xml><?xml version="1.0" encoding="utf-8"?>
<ds:datastoreItem xmlns:ds="http://schemas.openxmlformats.org/officeDocument/2006/customXml" ds:itemID="{C5271C44-2020-40E1-8747-2E1080B96F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B1A57B-DF6F-4FA5-BFE6-92399F591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Informe Subasta</vt:lpstr>
      <vt:lpstr>Comparativa Tipos</vt:lpstr>
      <vt:lpstr>Cálculo Intereses</vt:lpstr>
      <vt:lpstr>Tipos BdE</vt:lpstr>
      <vt:lpstr>Formato Cliente HO</vt:lpstr>
      <vt:lpstr>Formato Cliente CES</vt:lpstr>
      <vt:lpstr>Formato Cliente</vt:lpstr>
      <vt:lpstr>Guía</vt:lpstr>
      <vt:lpstr>BBDD Guardados</vt:lpstr>
      <vt:lpstr>BBDD Guardados Fincas</vt:lpstr>
      <vt:lpstr>CI Variable</vt:lpstr>
      <vt:lpstr>CI Variable +3%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Jose Prada</cp:lastModifiedBy>
  <cp:lastPrinted>2026-06-22T09:27:17Z</cp:lastPrinted>
  <dcterms:created xsi:type="dcterms:W3CDTF">2026-06-19T09:43:33Z</dcterms:created>
  <dcterms:modified xsi:type="dcterms:W3CDTF">2026-07-20T09:06:54Z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0x010100AD71ECF39F66184586F6D662D18D2F25</vt:lpwstr>
  </property>
  <property fmtid="{D5CDD505-2E9C-101B-9397-08002B2CF9AE}" pid="3" name="MediaServiceImageTags">
    <vt:lpwstr/>
  </property>
</Properties>
</file>